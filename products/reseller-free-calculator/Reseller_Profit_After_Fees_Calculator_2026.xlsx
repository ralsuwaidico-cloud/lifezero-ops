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E" sheetId="1" state="visible" r:id="rId3"/>
    <sheet name="Calculator" sheetId="2" state="visible" r:id="rId4"/>
    <sheet name="Fees" sheetId="3" state="visible" r:id="rId5"/>
    <sheet name="Batch (20 items)" sheetId="4" state="visible" r:id="rId6"/>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<sst xmlns="http://schemas.openxmlformats.org/spreadsheetml/2006/main" count="109" uniqueCount="96">
  <si>
    <t xml:space="preserve">Reseller profit-after-fees calculator 2026</t>
  </si>
  <si>
    <t xml:space="preserve">Free. eBay · Poshmark · Mercari · Depop · Facebook Marketplace</t>
  </si>
  <si>
    <t xml:space="preserve">WHAT THIS DOES</t>
  </si>
  <si>
    <t xml:space="preserve">One item, every platform</t>
  </si>
  <si>
    <t xml:space="preserve">Type an item's cost, price and shipping into the Calculator sheet once. It shows the fee, what you receive, your profit and your ROI on every marketplace at the same time, and names the one that pays most. A row turns red when you would lose money.</t>
  </si>
  <si>
    <t xml:space="preserve">20 at a time</t>
  </si>
  <si>
    <t xml:space="preserve">The 'Batch (20 items)' sheet does the same maths one row per item, with a dropdown to pick the marketplace per row.</t>
  </si>
  <si>
    <t xml:space="preserve">BEFORE YOU TRUST A NUMBER</t>
  </si>
  <si>
    <t xml:space="preserve">Check the rates</t>
  </si>
  <si>
    <t xml:space="preserve">Marketplaces change fees without much notice, and a stale rate quietly distorts every figure here. The Fees sheet carries a 'Rates last checked' date per row. eBay, Poshmark and Mercari were verified on 10 September 2026. Depop and Facebook Marketplace say 'not re-verified' in red — that is the honest state of those two rows. Five minutes on each platform's fee page and you can fix them yourself; everything recalculates.</t>
  </si>
  <si>
    <t xml:space="preserve">Buyer-paid shipping</t>
  </si>
  <si>
    <t xml:space="preserve">Only enter shipping that actually lands in your payout. On Poshmark the buyer pays the label directly, so leave it at 0. On eBay it usually does reach you — and eBay charges its percentage on it, which this sheet accounts for.</t>
  </si>
  <si>
    <t xml:space="preserve">Not modelled</t>
  </si>
  <si>
    <t xml:space="preserve">Promoted listings, store subscriptions, international and advertising fees, and sales tax. Add anything like that to 'Other costs'.</t>
  </si>
  <si>
    <t xml:space="preserve">HOW TO OPEN IT</t>
  </si>
  <si>
    <t xml:space="preserve">Excel</t>
  </si>
  <si>
    <t xml:space="preserve">Excel 2016 or newer. No macros, nothing to enable.</t>
  </si>
  <si>
    <t xml:space="preserve">Google Sheets</t>
  </si>
  <si>
    <t xml:space="preserve">File → Import → Upload, then 'Replace spreadsheet'. Everything works.</t>
  </si>
  <si>
    <t xml:space="preserve">IF THIS IS USEFUL</t>
  </si>
  <si>
    <t xml:space="preserve">Rate it</t>
  </si>
  <si>
    <t xml:space="preserve">A rating on the Gumroad page is the single most useful thing you can give back — it is what lets anyone else find this. It costs you ten seconds.</t>
  </si>
  <si>
    <t xml:space="preserve">The full tracker</t>
  </si>
  <si>
    <t xml:space="preserve">This prices one item. The Reseller Inventory &amp; Profit Tracker 2026 runs the business: 500 inventory items with auto-generated SKUs, fees and ROI on every sale as you type, a death pile report for stale listings with suggested markdowns, dashboards for sell-through and best platform, and a Schedule-C-style tax summary at year end. $19, one file, no subscription. https://gum.co/u/ysjnz0ld</t>
  </si>
  <si>
    <t xml:space="preserve">DISCLAIMER</t>
  </si>
  <si>
    <t xml:space="preserve">Not tax or financial advice</t>
  </si>
  <si>
    <t xml:space="preserve">Fee rates are user-editable approximations. Verify them for your own account and region before making pricing decisions.</t>
  </si>
  <si>
    <t xml:space="preserve">Type your item into the blue cells once. Every marketplace is priced below, side by side.</t>
  </si>
  <si>
    <t xml:space="preserve">What you paid for the item</t>
  </si>
  <si>
    <t xml:space="preserve">Your cost of goods — the thrift/wholesale price.</t>
  </si>
  <si>
    <t xml:space="preserve">Sale price you plan to list at</t>
  </si>
  <si>
    <t xml:space="preserve">The item price the buyer pays, before shipping.</t>
  </si>
  <si>
    <t xml:space="preserve">Buyer-paid shipping YOU receive</t>
  </si>
  <si>
    <t xml:space="preserve">0 if you offer free shipping, or if the marketplace collects it and buys the label (Poshmark). Put the amount here only when it lands in your payout (typical on eBay).</t>
  </si>
  <si>
    <t xml:space="preserve">Your shipping cost (label + packaging)</t>
  </si>
  <si>
    <t xml:space="preserve">What the label and box/poly-mailer actually cost you. Enter it even when shipping is free to the buyer — it comes out of your pocket either way.</t>
  </si>
  <si>
    <t xml:space="preserve">Other costs on this item</t>
  </si>
  <si>
    <t xml:space="preserve">Cleaning, repair, gas share, supplies.</t>
  </si>
  <si>
    <t xml:space="preserve">What each marketplace leaves you</t>
  </si>
  <si>
    <t xml:space="preserve">Marketplace</t>
  </si>
  <si>
    <t xml:space="preserve">Fee</t>
  </si>
  <si>
    <t xml:space="preserve">Fee as % of what the buyer pays</t>
  </si>
  <si>
    <t xml:space="preserve">You receive</t>
  </si>
  <si>
    <t xml:space="preserve">Your total outlay</t>
  </si>
  <si>
    <t xml:space="preserve">PROFIT</t>
  </si>
  <si>
    <t xml:space="preserve">ROI</t>
  </si>
  <si>
    <t xml:space="preserve">Rates last checked</t>
  </si>
  <si>
    <t xml:space="preserve">Best marketplace for this item</t>
  </si>
  <si>
    <t xml:space="preserve">Profit there</t>
  </si>
  <si>
    <t xml:space="preserve">Worst on this list costs you</t>
  </si>
  <si>
    <t xml:space="preserve">…more than the best one, on this single item. That is the whole point of checking before you list.</t>
  </si>
  <si>
    <t xml:space="preserve">Promoted listings, store subscriptions, international/ad fees and sales tax are not modelled. Rates marked 'not re-verified' are approximations — open the Fees sheet and check them against the marketplace's own fee page.</t>
  </si>
  <si>
    <t xml:space="preserve">Tracking a whole business, not one item?</t>
  </si>
  <si>
    <t xml:space="preserve">This sheet prices one item at a time. The full Reseller Inventory &amp; Profit Tracker 2026 does the rest of the job: 500 items of inventory with auto SKUs, every sale's fees and ROI calculated as you type, a death-pile report for anything that has sat too long, sell-through and best-platform dashboards, and a Schedule-C-style tax summary at year end. $19, one file, no subscription — https://gum.co/u/ysjnz0ld</t>
  </si>
  <si>
    <t xml:space="preserve">Marketplace fee rates</t>
  </si>
  <si>
    <t xml:space="preserve">Blue cells are yours to edit. Every calculation on the Calculator sheet reads from here.</t>
  </si>
  <si>
    <t xml:space="preserve">Fee %</t>
  </si>
  <si>
    <t xml:space="preserve">Per-order fee $</t>
  </si>
  <si>
    <t xml:space="preserve">Per-order fee $ (small orders)</t>
  </si>
  <si>
    <t xml:space="preserve">Small order up to $</t>
  </si>
  <si>
    <t xml:space="preserve">Processing %</t>
  </si>
  <si>
    <t xml:space="preserve">Fee charged on buyer-paid shipping? (Y/N)</t>
  </si>
  <si>
    <t xml:space="preserve">Flat fee applies under $</t>
  </si>
  <si>
    <t xml:space="preserve">Flat fee $</t>
  </si>
  <si>
    <t xml:space="preserve">Minimum fee $</t>
  </si>
  <si>
    <t xml:space="preserve">Notes — check against the marketplace's own fee page</t>
  </si>
  <si>
    <t xml:space="preserve">eBay</t>
  </si>
  <si>
    <t xml:space="preserve">Y</t>
  </si>
  <si>
    <t xml:space="preserve">2026-09-18</t>
  </si>
  <si>
    <t xml:space="preserve">Final value fee 13.6% of the total (item + buyer-paid shipping + handling + the sales tax eBay collects) plus $0.40 per order, or $0.30 on orders of $10 or less. Most categories; books/media and some others differ. NOT in this row: the 13.6% applies to the first $7,500 of an order and drops to 2.35% above that. This sheet charges 13.6% on the whole amount, so an order over $7,500 is costed slightly pessimistically - if you sell watches, handbags or collectibles at that level, work that one out by hand.</t>
  </si>
  <si>
    <t xml:space="preserve">Poshmark</t>
  </si>
  <si>
    <t xml:space="preserve">N</t>
  </si>
  <si>
    <t xml:space="preserve">2026-09-20</t>
  </si>
  <si>
    <t xml:space="preserve">Flat $2.95 on sales under $15, otherwise 20% of the item price. No listing fee, no monthly fee, no separate processing fee, and the 20% includes the prepaid shipping label - which is why this row has fee-on-shipping set to N and why you leave 'buyer-paid shipping you receive' at 0: the buyer pays Poshmark for shipping, not you. Poshmark trialled a different structure in 2024 and reverted it after seller pushback, so this row is worth re-checking more often than the others.</t>
  </si>
  <si>
    <t xml:space="preserve">Mercari</t>
  </si>
  <si>
    <t xml:space="preserve">2026-09-16</t>
  </si>
  <si>
    <t xml:space="preserve">Flat 10% on item + buyer-paid shipping. The old 2.9% + $0.50 seller processing fee was removed on 6 Jan 2025; buyers now pay a 3.6% Buyer Protection fee instead. NOT in this row: Mercari charges $2.00 to send a standard direct-deposit payout ($3.00 for Instant Pay). That is per payout, not per sale, so it is not a per-item fee - if you cash out once a month it is $2 across every sale that month, and if you cash out per sale it is $2 on each. Nowhere else in this sheet charges you to be paid.</t>
  </si>
  <si>
    <t xml:space="preserve">Depop</t>
  </si>
  <si>
    <t xml:space="preserve">2026-09-21</t>
  </si>
  <si>
    <t xml:space="preserve">No US selling commission since 2024 - it moved to the buyer's side as a marketplace fee, so the item has to carry a higher sticker price to look comparable. What remains on the seller is 3.3% + $0.45 payment processing via Depop Payments, charged on item + shipping + any applicable tax. NOT in this row: an optional Boosted Listing costs 12% on top, on eligible new listings from 23 March 2026 - if you boost, add 12% of the sale yourself.</t>
  </si>
  <si>
    <t xml:space="preserve">Facebook Marketplace</t>
  </si>
  <si>
    <t xml:space="preserve">2026-09-22</t>
  </si>
  <si>
    <t xml:space="preserve">10% of the buyer's total (item + the shipping you charge + the sales tax Meta collects), minimum $0.80 per order. Raised from 5% / $0.40 on 15 April 2024. Local pickup sales have no selling fee at all - price those with the 'Other' row set to 0%.</t>
  </si>
  <si>
    <t xml:space="preserve">Other / edit me</t>
  </si>
  <si>
    <t xml:space="preserve">n/a</t>
  </si>
  <si>
    <t xml:space="preserve">Blank slot — put any other marketplace's rates here.</t>
  </si>
  <si>
    <t xml:space="preserve">Price 20 items at once</t>
  </si>
  <si>
    <t xml:space="preserve">Pick a marketplace per row. Same maths as the Calculator sheet, one row per item.</t>
  </si>
  <si>
    <t xml:space="preserve">Item</t>
  </si>
  <si>
    <t xml:space="preserve">Item cost $</t>
  </si>
  <si>
    <t xml:space="preserve">Sale price $</t>
  </si>
  <si>
    <t xml:space="preserve">Buyer-paid shipping you receive $</t>
  </si>
  <si>
    <t xml:space="preserve">Your shipping cost $</t>
  </si>
  <si>
    <t xml:space="preserve">Other costs $</t>
  </si>
  <si>
    <t xml:space="preserve">Example: Patagonia fleece</t>
  </si>
  <si>
    <t xml:space="preserve">TOTAL</t>
  </si>
</sst>
</file>

<file path=xl/styles.xml><?xml version="1.0" encoding="utf-8"?>
<styleSheet xmlns="http://schemas.openxmlformats.org/spreadsheetml/2006/main">
  <numFmts count="3">
    <numFmt numFmtId="164" formatCode="General"/>
    <numFmt numFmtId="165" formatCode="\$#,##0.00;&quot;($&quot;#,##0.00\);\-"/>
    <numFmt numFmtId="166" formatCode="0.0%"/>
  </numFmts>
  <fonts count="21">
    <font>
      <sz val="11"/>
      <color theme="1"/>
      <name val="Calibri"/>
      <family val="2"/>
      <charset val="1"/>
    </font>
    <font>
      <sz val="10"/>
      <name val="Arial"/>
      <family val="0"/>
    </font>
    <font>
      <sz val="10"/>
      <name val="Arial"/>
      <family val="0"/>
    </font>
    <font>
      <sz val="10"/>
      <name val="Arial"/>
      <family val="0"/>
    </font>
    <font>
      <b val="true"/>
      <sz val="16"/>
      <color rgb="FF1F3A5F"/>
      <name val="Arial"/>
      <family val="0"/>
      <charset val="1"/>
    </font>
    <font>
      <i val="true"/>
      <sz val="9"/>
      <color rgb="FF666666"/>
      <name val="Arial"/>
      <family val="0"/>
      <charset val="1"/>
    </font>
    <font>
      <b val="true"/>
      <sz val="11"/>
      <color rgb="FFFFFFFF"/>
      <name val="Arial"/>
      <family val="0"/>
      <charset val="1"/>
    </font>
    <font>
      <b val="true"/>
      <sz val="10"/>
      <color rgb="FF1F3A5F"/>
      <name val="Arial"/>
      <family val="0"/>
      <charset val="1"/>
    </font>
    <font>
      <sz val="10"/>
      <name val="Arial"/>
      <family val="0"/>
      <charset val="1"/>
    </font>
    <font>
      <b val="true"/>
      <sz val="10"/>
      <name val="Arial"/>
      <family val="0"/>
      <charset val="1"/>
    </font>
    <font>
      <b val="true"/>
      <sz val="11"/>
      <color rgb="FF0000FF"/>
      <name val="Arial"/>
      <family val="0"/>
      <charset val="1"/>
    </font>
    <font>
      <sz val="9"/>
      <color rgb="FF666666"/>
      <name val="Arial"/>
      <family val="0"/>
      <charset val="1"/>
    </font>
    <font>
      <b val="true"/>
      <sz val="12"/>
      <color rgb="FF1F3A5F"/>
      <name val="Arial"/>
      <family val="0"/>
      <charset val="1"/>
    </font>
    <font>
      <b val="true"/>
      <sz val="10"/>
      <color rgb="FFFFFFFF"/>
      <name val="Arial"/>
      <family val="0"/>
      <charset val="1"/>
    </font>
    <font>
      <b val="true"/>
      <sz val="11"/>
      <name val="Arial"/>
      <family val="0"/>
      <charset val="1"/>
    </font>
    <font>
      <b val="true"/>
      <sz val="12"/>
      <color rgb="FF006100"/>
      <name val="Arial"/>
      <family val="0"/>
      <charset val="1"/>
    </font>
    <font>
      <b val="true"/>
      <sz val="11"/>
      <color rgb="FF006100"/>
      <name val="Arial"/>
      <family val="0"/>
      <charset val="1"/>
    </font>
    <font>
      <b val="true"/>
      <sz val="11"/>
      <color rgb="FFC00000"/>
      <name val="Arial"/>
      <family val="0"/>
      <charset val="1"/>
    </font>
    <font>
      <b val="true"/>
      <sz val="11"/>
      <color rgb="FF1F3A5F"/>
      <name val="Arial"/>
      <family val="0"/>
      <charset val="1"/>
    </font>
    <font>
      <sz val="10"/>
      <color rgb="FF0000FF"/>
      <name val="Arial"/>
      <family val="0"/>
      <charset val="1"/>
    </font>
    <font>
      <b val="true"/>
      <sz val="10"/>
      <color rgb="FF006100"/>
      <name val="Arial"/>
      <family val="0"/>
      <charset val="1"/>
    </font>
  </fonts>
  <fills count="4">
    <fill>
      <patternFill patternType="none"/>
    </fill>
    <fill>
      <patternFill patternType="gray125"/>
    </fill>
    <fill>
      <patternFill patternType="solid">
        <fgColor rgb="FF1F3A5F"/>
        <bgColor rgb="FF333333"/>
      </patternFill>
    </fill>
    <fill>
      <patternFill patternType="solid">
        <fgColor rgb="FFE9EEF5"/>
        <bgColor rgb="FFFFFFFF"/>
      </patternFill>
    </fill>
  </fills>
  <borders count="2">
    <border diagonalUp="false" diagonalDown="false">
      <left/>
      <right/>
      <top/>
      <bottom/>
      <diagonal/>
    </border>
    <border diagonalUp="false" diagonalDown="false">
      <left style="thin">
        <color rgb="FFBFC7D1"/>
      </left>
      <right style="thin">
        <color rgb="FFBFC7D1"/>
      </right>
      <top style="thin">
        <color rgb="FFBFC7D1"/>
      </top>
      <bottom style="thin">
        <color rgb="FFBFC7D1"/>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5" fontId="10" fillId="3"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2" borderId="1" xfId="0" applyFont="true" applyBorder="true" applyAlignment="true" applyProtection="false">
      <alignment horizontal="center" vertical="center" textRotation="0" wrapText="tru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5" fontId="0" fillId="0" borderId="1" xfId="0" applyFont="false" applyBorder="true" applyAlignment="false" applyProtection="false">
      <alignment horizontal="general" vertical="bottom" textRotation="0" wrapText="false" indent="0" shrinkToFit="false"/>
      <protection locked="true" hidden="false"/>
    </xf>
    <xf numFmtId="166" fontId="0" fillId="0" borderId="1" xfId="0" applyFont="false" applyBorder="true" applyAlignment="false" applyProtection="false">
      <alignment horizontal="general" vertical="bottom" textRotation="0" wrapText="false" indent="0" shrinkToFit="false"/>
      <protection locked="true" hidden="false"/>
    </xf>
    <xf numFmtId="165" fontId="14" fillId="0" borderId="1" xfId="0" applyFont="tru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true" applyProtection="false">
      <alignment horizontal="center"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5" fontId="16" fillId="0" borderId="0" xfId="0" applyFont="true" applyBorder="false" applyAlignment="false" applyProtection="false">
      <alignment horizontal="general" vertical="bottom" textRotation="0" wrapText="false" indent="0" shrinkToFit="false"/>
      <protection locked="true" hidden="false"/>
    </xf>
    <xf numFmtId="165" fontId="1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6" fontId="19" fillId="0" borderId="1" xfId="0" applyFont="true" applyBorder="true" applyAlignment="false" applyProtection="false">
      <alignment horizontal="general" vertical="bottom" textRotation="0" wrapText="false" indent="0" shrinkToFit="false"/>
      <protection locked="true" hidden="false"/>
    </xf>
    <xf numFmtId="165" fontId="19" fillId="0" borderId="1" xfId="0" applyFont="true" applyBorder="true" applyAlignment="false" applyProtection="false">
      <alignment horizontal="general" vertical="bottom" textRotation="0" wrapText="false" indent="0" shrinkToFit="false"/>
      <protection locked="true" hidden="false"/>
    </xf>
    <xf numFmtId="164" fontId="19" fillId="0" borderId="1" xfId="0" applyFont="true" applyBorder="true" applyAlignment="false" applyProtection="false">
      <alignment horizontal="general" vertical="bottom" textRotation="0" wrapText="false" indent="0" shrinkToFit="false"/>
      <protection locked="true" hidden="false"/>
    </xf>
    <xf numFmtId="164" fontId="20" fillId="0" borderId="1" xfId="0" applyFont="true" applyBorder="true" applyAlignment="true" applyProtection="false">
      <alignment horizontal="center" vertical="bottom"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5" fontId="9" fillId="0" borderId="1" xfId="0" applyFont="true" applyBorder="true" applyAlignment="false" applyProtection="false">
      <alignment horizontal="general" vertical="bottom" textRotation="0" wrapText="false" indent="0" shrinkToFit="false"/>
      <protection locked="true" hidden="false"/>
    </xf>
    <xf numFmtId="165" fontId="14"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ont>
        <name val="Arial"/>
        <charset val="1"/>
        <family val="0"/>
        <color rgb="FF9C0006"/>
      </font>
      <fill>
        <patternFill>
          <bgColor rgb="FFFFC7CE"/>
        </patternFill>
      </fill>
    </dxf>
  </dxfs>
  <colors>
    <indexedColors>
      <rgbColor rgb="FF000000"/>
      <rgbColor rgb="FFFFFFFF"/>
      <rgbColor rgb="FFC00000"/>
      <rgbColor rgb="FF00FF00"/>
      <rgbColor rgb="FF0000FF"/>
      <rgbColor rgb="FFFFFF00"/>
      <rgbColor rgb="FFFF00FF"/>
      <rgbColor rgb="FF00FFFF"/>
      <rgbColor rgb="FF9C0006"/>
      <rgbColor rgb="FF006100"/>
      <rgbColor rgb="FF000080"/>
      <rgbColor rgb="FF808000"/>
      <rgbColor rgb="FF800080"/>
      <rgbColor rgb="FF008080"/>
      <rgbColor rgb="FFBFC7D1"/>
      <rgbColor rgb="FF808080"/>
      <rgbColor rgb="FF9999FF"/>
      <rgbColor rgb="FF993366"/>
      <rgbColor rgb="FFFFFFCC"/>
      <rgbColor rgb="FFE9EEF5"/>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7CE"/>
      <rgbColor rgb="FF3366FF"/>
      <rgbColor rgb="FF33CCCC"/>
      <rgbColor rgb="FF99CC00"/>
      <rgbColor rgb="FFFFCC00"/>
      <rgbColor rgb="FFFF9900"/>
      <rgbColor rgb="FFFF6600"/>
      <rgbColor rgb="FF666666"/>
      <rgbColor rgb="FF969696"/>
      <rgbColor rgb="FF1F3A5F"/>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2"/>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2" min="2" style="0" width="108"/>
  </cols>
  <sheetData>
    <row r="1" customFormat="false" ht="19.7"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23.85" hidden="false" customHeight="false" outlineLevel="0" collapsed="false">
      <c r="A5" s="5" t="s">
        <v>3</v>
      </c>
      <c r="B5" s="6" t="s">
        <v>4</v>
      </c>
    </row>
    <row r="6" customFormat="false" ht="15" hidden="false" customHeight="false" outlineLevel="0" collapsed="false">
      <c r="A6" s="5" t="s">
        <v>5</v>
      </c>
      <c r="B6" s="6" t="s">
        <v>6</v>
      </c>
    </row>
    <row r="7" customFormat="false" ht="15" hidden="false" customHeight="false" outlineLevel="0" collapsed="false">
      <c r="A7" s="5"/>
      <c r="B7" s="6"/>
    </row>
    <row r="8" customFormat="false" ht="15" hidden="false" customHeight="false" outlineLevel="0" collapsed="false">
      <c r="A8" s="3" t="s">
        <v>7</v>
      </c>
      <c r="B8" s="4"/>
    </row>
    <row r="9" customFormat="false" ht="35.05" hidden="false" customHeight="false" outlineLevel="0" collapsed="false">
      <c r="A9" s="5" t="s">
        <v>8</v>
      </c>
      <c r="B9" s="6" t="s">
        <v>9</v>
      </c>
    </row>
    <row r="10" customFormat="false" ht="23.85" hidden="false" customHeight="false" outlineLevel="0" collapsed="false">
      <c r="A10" s="5" t="s">
        <v>10</v>
      </c>
      <c r="B10" s="6" t="s">
        <v>11</v>
      </c>
    </row>
    <row r="11" customFormat="false" ht="15" hidden="false" customHeight="false" outlineLevel="0" collapsed="false">
      <c r="A11" s="5" t="s">
        <v>12</v>
      </c>
      <c r="B11" s="6" t="s">
        <v>13</v>
      </c>
    </row>
    <row r="12" customFormat="false" ht="15" hidden="false" customHeight="false" outlineLevel="0" collapsed="false">
      <c r="A12" s="5"/>
      <c r="B12" s="6"/>
    </row>
    <row r="13" customFormat="false" ht="15" hidden="false" customHeight="false" outlineLevel="0" collapsed="false">
      <c r="A13" s="3" t="s">
        <v>14</v>
      </c>
      <c r="B13" s="4"/>
    </row>
    <row r="14" customFormat="false" ht="15" hidden="false" customHeight="false" outlineLevel="0" collapsed="false">
      <c r="A14" s="5" t="s">
        <v>15</v>
      </c>
      <c r="B14" s="6" t="s">
        <v>16</v>
      </c>
    </row>
    <row r="15" customFormat="false" ht="15" hidden="false" customHeight="false" outlineLevel="0" collapsed="false">
      <c r="A15" s="5" t="s">
        <v>17</v>
      </c>
      <c r="B15" s="6" t="s">
        <v>18</v>
      </c>
    </row>
    <row r="16" customFormat="false" ht="15" hidden="false" customHeight="false" outlineLevel="0" collapsed="false">
      <c r="A16" s="5"/>
      <c r="B16" s="6"/>
    </row>
    <row r="17" customFormat="false" ht="15" hidden="false" customHeight="false" outlineLevel="0" collapsed="false">
      <c r="A17" s="3" t="s">
        <v>19</v>
      </c>
      <c r="B17" s="4"/>
    </row>
    <row r="18" customFormat="false" ht="15" hidden="false" customHeight="false" outlineLevel="0" collapsed="false">
      <c r="A18" s="5" t="s">
        <v>20</v>
      </c>
      <c r="B18" s="6" t="s">
        <v>21</v>
      </c>
    </row>
    <row r="19" customFormat="false" ht="35.05" hidden="false" customHeight="false" outlineLevel="0" collapsed="false">
      <c r="A19" s="5" t="s">
        <v>22</v>
      </c>
      <c r="B19" s="6" t="s">
        <v>23</v>
      </c>
    </row>
    <row r="20" customFormat="false" ht="15" hidden="false" customHeight="false" outlineLevel="0" collapsed="false">
      <c r="A20" s="5"/>
      <c r="B20" s="6"/>
    </row>
    <row r="21" customFormat="false" ht="15" hidden="false" customHeight="false" outlineLevel="0" collapsed="false">
      <c r="A21" s="3" t="s">
        <v>24</v>
      </c>
      <c r="B21" s="4"/>
    </row>
    <row r="22" customFormat="false" ht="15" hidden="false" customHeight="false" outlineLevel="0" collapsed="false">
      <c r="A22" s="5" t="s">
        <v>25</v>
      </c>
      <c r="B22" s="6" t="s">
        <v>26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3" min="2" style="0" width="16"/>
    <col collapsed="false" customWidth="true" hidden="false" outlineLevel="0" max="4" min="4" style="0" width="14"/>
    <col collapsed="false" customWidth="true" hidden="false" outlineLevel="0" max="5" min="5" style="0" width="15"/>
    <col collapsed="false" customWidth="true" hidden="false" outlineLevel="0" max="6" min="6" style="0" width="14"/>
    <col collapsed="false" customWidth="true" hidden="false" outlineLevel="0" max="7" min="7" style="0" width="10"/>
    <col collapsed="false" customWidth="true" hidden="false" outlineLevel="0" max="8" min="8" style="0" width="16"/>
  </cols>
  <sheetData>
    <row r="1" customFormat="false" ht="19.7" hidden="false" customHeight="false" outlineLevel="0" collapsed="false">
      <c r="A1" s="1" t="s">
        <v>0</v>
      </c>
    </row>
    <row r="2" customFormat="false" ht="15" hidden="false" customHeight="false" outlineLevel="0" collapsed="false">
      <c r="A2" s="2" t="s">
        <v>27</v>
      </c>
    </row>
    <row r="4" customFormat="false" ht="30" hidden="false" customHeight="true" outlineLevel="0" collapsed="false">
      <c r="A4" s="7" t="s">
        <v>28</v>
      </c>
      <c r="B4" s="8" t="n">
        <v>12</v>
      </c>
      <c r="C4" s="9" t="s">
        <v>29</v>
      </c>
      <c r="D4" s="9"/>
      <c r="E4" s="9"/>
      <c r="F4" s="9"/>
      <c r="G4" s="9"/>
      <c r="H4" s="9"/>
    </row>
    <row r="5" customFormat="false" ht="30" hidden="false" customHeight="true" outlineLevel="0" collapsed="false">
      <c r="A5" s="7" t="s">
        <v>30</v>
      </c>
      <c r="B5" s="8" t="n">
        <v>45</v>
      </c>
      <c r="C5" s="9" t="s">
        <v>31</v>
      </c>
      <c r="D5" s="9"/>
      <c r="E5" s="9"/>
      <c r="F5" s="9"/>
      <c r="G5" s="9"/>
      <c r="H5" s="9"/>
    </row>
    <row r="6" customFormat="false" ht="30" hidden="false" customHeight="true" outlineLevel="0" collapsed="false">
      <c r="A6" s="7" t="s">
        <v>32</v>
      </c>
      <c r="B6" s="8" t="n">
        <v>0</v>
      </c>
      <c r="C6" s="9" t="s">
        <v>33</v>
      </c>
      <c r="D6" s="9"/>
      <c r="E6" s="9"/>
      <c r="F6" s="9"/>
      <c r="G6" s="9"/>
      <c r="H6" s="9"/>
    </row>
    <row r="7" customFormat="false" ht="30" hidden="false" customHeight="true" outlineLevel="0" collapsed="false">
      <c r="A7" s="7" t="s">
        <v>34</v>
      </c>
      <c r="B7" s="8" t="n">
        <v>6.5</v>
      </c>
      <c r="C7" s="9" t="s">
        <v>35</v>
      </c>
      <c r="D7" s="9"/>
      <c r="E7" s="9"/>
      <c r="F7" s="9"/>
      <c r="G7" s="9"/>
      <c r="H7" s="9"/>
    </row>
    <row r="8" customFormat="false" ht="30" hidden="false" customHeight="true" outlineLevel="0" collapsed="false">
      <c r="A8" s="7" t="s">
        <v>36</v>
      </c>
      <c r="B8" s="8" t="n">
        <v>0.5</v>
      </c>
      <c r="C8" s="9" t="s">
        <v>37</v>
      </c>
      <c r="D8" s="9"/>
      <c r="E8" s="9"/>
      <c r="F8" s="9"/>
      <c r="G8" s="9"/>
      <c r="H8" s="9"/>
    </row>
    <row r="10" customFormat="false" ht="15" hidden="false" customHeight="false" outlineLevel="0" collapsed="false">
      <c r="A10" s="10" t="s">
        <v>38</v>
      </c>
    </row>
    <row r="11" customFormat="false" ht="33.75" hidden="false" customHeight="true" outlineLevel="0" collapsed="false">
      <c r="A11" s="11" t="s">
        <v>39</v>
      </c>
      <c r="B11" s="11" t="s">
        <v>40</v>
      </c>
      <c r="C11" s="11" t="s">
        <v>41</v>
      </c>
      <c r="D11" s="11" t="s">
        <v>42</v>
      </c>
      <c r="E11" s="11" t="s">
        <v>43</v>
      </c>
      <c r="F11" s="11" t="s">
        <v>44</v>
      </c>
      <c r="G11" s="11" t="s">
        <v>45</v>
      </c>
      <c r="H11" s="11" t="s">
        <v>46</v>
      </c>
    </row>
    <row r="12" customFormat="false" ht="15" hidden="false" customHeight="false" outlineLevel="0" collapsed="false">
      <c r="A12" s="12" t="str">
        <f aca="false">Fees!$A$4</f>
        <v>eBay</v>
      </c>
      <c r="B12" s="13" t="n">
        <f aca="false">MAX(IF(AND(Fees!$H$4&gt;0,$B$5&lt;Fees!$H$4),Fees!$I$4,($B$5+IF(Fees!$G$4="Y",$B$6,0))*Fees!$B$4+IF(AND(Fees!$E$4&gt;0,$B$5&lt;=Fees!$E$4),Fees!$D$4,Fees!$C$4)+($B$5+IF(Fees!$G$4="Y",$B$6,0))*Fees!$F$4),Fees!$J$4)</f>
        <v>6.52</v>
      </c>
      <c r="C12" s="14" t="n">
        <f aca="false">IF(($B$5+$B$6)&lt;=0,"-",B12/($B$5+$B$6))</f>
        <v>0.144888888888889</v>
      </c>
      <c r="D12" s="13" t="n">
        <f aca="false">$B$5+$B$6-B12</f>
        <v>38.48</v>
      </c>
      <c r="E12" s="13" t="n">
        <f aca="false">($B$4+$B$7+$B$8)</f>
        <v>19</v>
      </c>
      <c r="F12" s="15" t="n">
        <f aca="false">D12-E12</f>
        <v>19.48</v>
      </c>
      <c r="G12" s="14" t="n">
        <f aca="false">IF(($B$4+$B$7+$B$8)&lt;=0,"-",F12/($B$4+$B$7+$B$8))</f>
        <v>1.02526315789474</v>
      </c>
      <c r="H12" s="16" t="str">
        <f aca="false">Fees!$K$4</f>
        <v>2026-09-18</v>
      </c>
    </row>
    <row r="13" customFormat="false" ht="15" hidden="false" customHeight="false" outlineLevel="0" collapsed="false">
      <c r="A13" s="12" t="str">
        <f aca="false">Fees!$A$5</f>
        <v>Poshmark</v>
      </c>
      <c r="B13" s="13" t="n">
        <f aca="false">MAX(IF(AND(Fees!$H$5&gt;0,$B$5&lt;Fees!$H$5),Fees!$I$5,($B$5+IF(Fees!$G$5="Y",$B$6,0))*Fees!$B$5+IF(AND(Fees!$E$5&gt;0,$B$5&lt;=Fees!$E$5),Fees!$D$5,Fees!$C$5)+($B$5+IF(Fees!$G$5="Y",$B$6,0))*Fees!$F$5),Fees!$J$5)</f>
        <v>9</v>
      </c>
      <c r="C13" s="14" t="n">
        <f aca="false">IF(($B$5+$B$6)&lt;=0,"-",B13/($B$5+$B$6))</f>
        <v>0.2</v>
      </c>
      <c r="D13" s="13" t="n">
        <f aca="false">$B$5+$B$6-B13</f>
        <v>36</v>
      </c>
      <c r="E13" s="13" t="n">
        <f aca="false">($B$4+$B$7+$B$8)</f>
        <v>19</v>
      </c>
      <c r="F13" s="15" t="n">
        <f aca="false">D13-E13</f>
        <v>17</v>
      </c>
      <c r="G13" s="14" t="n">
        <f aca="false">IF(($B$4+$B$7+$B$8)&lt;=0,"-",F13/($B$4+$B$7+$B$8))</f>
        <v>0.894736842105263</v>
      </c>
      <c r="H13" s="16" t="str">
        <f aca="false">Fees!$K$5</f>
        <v>2026-09-20</v>
      </c>
    </row>
    <row r="14" customFormat="false" ht="15" hidden="false" customHeight="false" outlineLevel="0" collapsed="false">
      <c r="A14" s="12" t="str">
        <f aca="false">Fees!$A$6</f>
        <v>Mercari</v>
      </c>
      <c r="B14" s="13" t="n">
        <f aca="false">MAX(IF(AND(Fees!$H$6&gt;0,$B$5&lt;Fees!$H$6),Fees!$I$6,($B$5+IF(Fees!$G$6="Y",$B$6,0))*Fees!$B$6+IF(AND(Fees!$E$6&gt;0,$B$5&lt;=Fees!$E$6),Fees!$D$6,Fees!$C$6)+($B$5+IF(Fees!$G$6="Y",$B$6,0))*Fees!$F$6),Fees!$J$6)</f>
        <v>4.5</v>
      </c>
      <c r="C14" s="14" t="n">
        <f aca="false">IF(($B$5+$B$6)&lt;=0,"-",B14/($B$5+$B$6))</f>
        <v>0.1</v>
      </c>
      <c r="D14" s="13" t="n">
        <f aca="false">$B$5+$B$6-B14</f>
        <v>40.5</v>
      </c>
      <c r="E14" s="13" t="n">
        <f aca="false">($B$4+$B$7+$B$8)</f>
        <v>19</v>
      </c>
      <c r="F14" s="15" t="n">
        <f aca="false">D14-E14</f>
        <v>21.5</v>
      </c>
      <c r="G14" s="14" t="n">
        <f aca="false">IF(($B$4+$B$7+$B$8)&lt;=0,"-",F14/($B$4+$B$7+$B$8))</f>
        <v>1.13157894736842</v>
      </c>
      <c r="H14" s="16" t="str">
        <f aca="false">Fees!$K$6</f>
        <v>2026-09-16</v>
      </c>
    </row>
    <row r="15" customFormat="false" ht="15" hidden="false" customHeight="false" outlineLevel="0" collapsed="false">
      <c r="A15" s="12" t="str">
        <f aca="false">Fees!$A$7</f>
        <v>Depop</v>
      </c>
      <c r="B15" s="13" t="n">
        <f aca="false">MAX(IF(AND(Fees!$H$7&gt;0,$B$5&lt;Fees!$H$7),Fees!$I$7,($B$5+IF(Fees!$G$7="Y",$B$6,0))*Fees!$B$7+IF(AND(Fees!$E$7&gt;0,$B$5&lt;=Fees!$E$7),Fees!$D$7,Fees!$C$7)+($B$5+IF(Fees!$G$7="Y",$B$6,0))*Fees!$F$7),Fees!$J$7)</f>
        <v>1.935</v>
      </c>
      <c r="C15" s="14" t="n">
        <f aca="false">IF(($B$5+$B$6)&lt;=0,"-",B15/($B$5+$B$6))</f>
        <v>0.043</v>
      </c>
      <c r="D15" s="13" t="n">
        <f aca="false">$B$5+$B$6-B15</f>
        <v>43.065</v>
      </c>
      <c r="E15" s="13" t="n">
        <f aca="false">($B$4+$B$7+$B$8)</f>
        <v>19</v>
      </c>
      <c r="F15" s="15" t="n">
        <f aca="false">D15-E15</f>
        <v>24.065</v>
      </c>
      <c r="G15" s="14" t="n">
        <f aca="false">IF(($B$4+$B$7+$B$8)&lt;=0,"-",F15/($B$4+$B$7+$B$8))</f>
        <v>1.26657894736842</v>
      </c>
      <c r="H15" s="16" t="str">
        <f aca="false">Fees!$K$7</f>
        <v>2026-09-21</v>
      </c>
    </row>
    <row r="16" customFormat="false" ht="15" hidden="false" customHeight="false" outlineLevel="0" collapsed="false">
      <c r="A16" s="12" t="str">
        <f aca="false">Fees!$A$8</f>
        <v>Facebook Marketplace</v>
      </c>
      <c r="B16" s="13" t="n">
        <f aca="false">MAX(IF(AND(Fees!$H$8&gt;0,$B$5&lt;Fees!$H$8),Fees!$I$8,($B$5+IF(Fees!$G$8="Y",$B$6,0))*Fees!$B$8+IF(AND(Fees!$E$8&gt;0,$B$5&lt;=Fees!$E$8),Fees!$D$8,Fees!$C$8)+($B$5+IF(Fees!$G$8="Y",$B$6,0))*Fees!$F$8),Fees!$J$8)</f>
        <v>4.5</v>
      </c>
      <c r="C16" s="14" t="n">
        <f aca="false">IF(($B$5+$B$6)&lt;=0,"-",B16/($B$5+$B$6))</f>
        <v>0.1</v>
      </c>
      <c r="D16" s="13" t="n">
        <f aca="false">$B$5+$B$6-B16</f>
        <v>40.5</v>
      </c>
      <c r="E16" s="13" t="n">
        <f aca="false">($B$4+$B$7+$B$8)</f>
        <v>19</v>
      </c>
      <c r="F16" s="15" t="n">
        <f aca="false">D16-E16</f>
        <v>21.5</v>
      </c>
      <c r="G16" s="14" t="n">
        <f aca="false">IF(($B$4+$B$7+$B$8)&lt;=0,"-",F16/($B$4+$B$7+$B$8))</f>
        <v>1.13157894736842</v>
      </c>
      <c r="H16" s="16" t="str">
        <f aca="false">Fees!$K$8</f>
        <v>2026-09-22</v>
      </c>
    </row>
    <row r="17" customFormat="false" ht="15" hidden="false" customHeight="false" outlineLevel="0" collapsed="false">
      <c r="A17" s="12" t="str">
        <f aca="false">Fees!$A$9</f>
        <v>Other / edit me</v>
      </c>
      <c r="B17" s="13" t="n">
        <f aca="false">MAX(IF(AND(Fees!$H$9&gt;0,$B$5&lt;Fees!$H$9),Fees!$I$9,($B$5+IF(Fees!$G$9="Y",$B$6,0))*Fees!$B$9+IF(AND(Fees!$E$9&gt;0,$B$5&lt;=Fees!$E$9),Fees!$D$9,Fees!$C$9)+($B$5+IF(Fees!$G$9="Y",$B$6,0))*Fees!$F$9),Fees!$J$9)</f>
        <v>4.5</v>
      </c>
      <c r="C17" s="14" t="n">
        <f aca="false">IF(($B$5+$B$6)&lt;=0,"-",B17/($B$5+$B$6))</f>
        <v>0.1</v>
      </c>
      <c r="D17" s="13" t="n">
        <f aca="false">$B$5+$B$6-B17</f>
        <v>40.5</v>
      </c>
      <c r="E17" s="13" t="n">
        <f aca="false">($B$4+$B$7+$B$8)</f>
        <v>19</v>
      </c>
      <c r="F17" s="15" t="n">
        <f aca="false">D17-E17</f>
        <v>21.5</v>
      </c>
      <c r="G17" s="14" t="n">
        <f aca="false">IF(($B$4+$B$7+$B$8)&lt;=0,"-",F17/($B$4+$B$7+$B$8))</f>
        <v>1.13157894736842</v>
      </c>
      <c r="H17" s="16" t="str">
        <f aca="false">Fees!$K$9</f>
        <v>n/a</v>
      </c>
    </row>
    <row r="19" customFormat="false" ht="15" hidden="false" customHeight="false" outlineLevel="0" collapsed="false">
      <c r="A19" s="10" t="s">
        <v>47</v>
      </c>
      <c r="B19" s="17" t="str">
        <f aca="false">INDEX(A12:A17,MATCH(MAX(F12:F17),F12:F17,0))</f>
        <v>Depop</v>
      </c>
    </row>
    <row r="20" customFormat="false" ht="15" hidden="false" customHeight="false" outlineLevel="0" collapsed="false">
      <c r="A20" s="7" t="s">
        <v>48</v>
      </c>
      <c r="B20" s="18" t="n">
        <f aca="false">MAX(F12:F17)</f>
        <v>24.065</v>
      </c>
    </row>
    <row r="21" customFormat="false" ht="15" hidden="false" customHeight="false" outlineLevel="0" collapsed="false">
      <c r="A21" s="7" t="s">
        <v>49</v>
      </c>
      <c r="B21" s="19" t="n">
        <f aca="false">MAX(F12:F17)-MIN(F12:F17)</f>
        <v>7.065</v>
      </c>
      <c r="C21" s="2" t="s">
        <v>50</v>
      </c>
    </row>
    <row r="23" customFormat="false" ht="15" hidden="false" customHeight="false" outlineLevel="0" collapsed="false">
      <c r="A23" s="20" t="s">
        <v>51</v>
      </c>
      <c r="B23" s="20"/>
      <c r="C23" s="20"/>
      <c r="D23" s="20"/>
      <c r="E23" s="20"/>
      <c r="F23" s="20"/>
      <c r="G23" s="20"/>
      <c r="H23" s="20"/>
    </row>
    <row r="25" customFormat="false" ht="15" hidden="false" customHeight="false" outlineLevel="0" collapsed="false">
      <c r="A25" s="21" t="s">
        <v>52</v>
      </c>
    </row>
    <row r="26" customFormat="false" ht="57.75" hidden="false" customHeight="true" outlineLevel="0" collapsed="false">
      <c r="A26" s="22" t="s">
        <v>53</v>
      </c>
      <c r="B26" s="22"/>
      <c r="C26" s="22"/>
      <c r="D26" s="22"/>
      <c r="E26" s="22"/>
      <c r="F26" s="22"/>
      <c r="G26" s="22"/>
      <c r="H26" s="22"/>
    </row>
  </sheetData>
  <mergeCells count="7">
    <mergeCell ref="C4:H4"/>
    <mergeCell ref="C5:H5"/>
    <mergeCell ref="C6:H6"/>
    <mergeCell ref="C7:H7"/>
    <mergeCell ref="C8:H8"/>
    <mergeCell ref="A23:H23"/>
    <mergeCell ref="A26:H26"/>
  </mergeCells>
  <conditionalFormatting sqref="A12:H17">
    <cfRule type="expression" priority="2" aboveAverage="0" equalAverage="0" bottom="0" percent="0" rank="0" text="" dxfId="0">
      <formula>$F12&lt;0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9"/>
    <col collapsed="false" customWidth="true" hidden="false" outlineLevel="0" max="3" min="3" style="0" width="13"/>
    <col collapsed="false" customWidth="true" hidden="false" outlineLevel="0" max="4" min="4" style="0" width="15"/>
    <col collapsed="false" customWidth="true" hidden="false" outlineLevel="0" max="5" min="5" style="0" width="14"/>
    <col collapsed="false" customWidth="true" hidden="false" outlineLevel="0" max="6" min="6" style="0" width="12"/>
    <col collapsed="false" customWidth="true" hidden="false" outlineLevel="0" max="7" min="7" style="0" width="16"/>
    <col collapsed="false" customWidth="true" hidden="false" outlineLevel="0" max="8" min="8" style="0" width="15"/>
    <col collapsed="false" customWidth="true" hidden="false" outlineLevel="0" max="9" min="9" style="0" width="11"/>
    <col collapsed="false" customWidth="true" hidden="false" outlineLevel="0" max="10" min="10" style="0" width="13"/>
    <col collapsed="false" customWidth="true" hidden="false" outlineLevel="0" max="11" min="11" style="0" width="15"/>
    <col collapsed="false" customWidth="true" hidden="false" outlineLevel="0" max="12" min="12" style="0" width="78"/>
  </cols>
  <sheetData>
    <row r="1" customFormat="false" ht="19.7" hidden="false" customHeight="false" outlineLevel="0" collapsed="false">
      <c r="A1" s="1" t="s">
        <v>54</v>
      </c>
    </row>
    <row r="2" customFormat="false" ht="15" hidden="false" customHeight="false" outlineLevel="0" collapsed="false">
      <c r="A2" s="2" t="s">
        <v>55</v>
      </c>
    </row>
    <row r="3" customFormat="false" ht="33.75" hidden="false" customHeight="true" outlineLevel="0" collapsed="false">
      <c r="A3" s="11" t="s">
        <v>39</v>
      </c>
      <c r="B3" s="11" t="s">
        <v>56</v>
      </c>
      <c r="C3" s="11" t="s">
        <v>57</v>
      </c>
      <c r="D3" s="11" t="s">
        <v>58</v>
      </c>
      <c r="E3" s="11" t="s">
        <v>59</v>
      </c>
      <c r="F3" s="11" t="s">
        <v>60</v>
      </c>
      <c r="G3" s="11" t="s">
        <v>61</v>
      </c>
      <c r="H3" s="11" t="s">
        <v>62</v>
      </c>
      <c r="I3" s="11" t="s">
        <v>63</v>
      </c>
      <c r="J3" s="11" t="s">
        <v>64</v>
      </c>
      <c r="K3" s="11" t="s">
        <v>46</v>
      </c>
      <c r="L3" s="11" t="s">
        <v>65</v>
      </c>
    </row>
    <row r="4" customFormat="false" ht="57.45" hidden="false" customHeight="false" outlineLevel="0" collapsed="false">
      <c r="A4" s="12" t="s">
        <v>66</v>
      </c>
      <c r="B4" s="23" t="n">
        <v>0.136</v>
      </c>
      <c r="C4" s="24" t="n">
        <v>0.4</v>
      </c>
      <c r="D4" s="24" t="n">
        <v>0.3</v>
      </c>
      <c r="E4" s="24" t="n">
        <v>10</v>
      </c>
      <c r="F4" s="23" t="n">
        <v>0</v>
      </c>
      <c r="G4" s="25" t="s">
        <v>67</v>
      </c>
      <c r="H4" s="24" t="n">
        <v>0</v>
      </c>
      <c r="I4" s="24" t="n">
        <v>0</v>
      </c>
      <c r="J4" s="24" t="n">
        <v>0</v>
      </c>
      <c r="K4" s="26" t="s">
        <v>68</v>
      </c>
      <c r="L4" s="27" t="s">
        <v>69</v>
      </c>
    </row>
    <row r="5" customFormat="false" ht="46.25" hidden="false" customHeight="false" outlineLevel="0" collapsed="false">
      <c r="A5" s="12" t="s">
        <v>70</v>
      </c>
      <c r="B5" s="23" t="n">
        <v>0.2</v>
      </c>
      <c r="C5" s="24" t="n">
        <v>0</v>
      </c>
      <c r="D5" s="24" t="n">
        <v>0</v>
      </c>
      <c r="E5" s="24" t="n">
        <v>0</v>
      </c>
      <c r="F5" s="23" t="n">
        <v>0</v>
      </c>
      <c r="G5" s="25" t="s">
        <v>71</v>
      </c>
      <c r="H5" s="24" t="n">
        <v>15</v>
      </c>
      <c r="I5" s="24" t="n">
        <v>2.95</v>
      </c>
      <c r="J5" s="24" t="n">
        <v>0</v>
      </c>
      <c r="K5" s="26" t="s">
        <v>72</v>
      </c>
      <c r="L5" s="27" t="s">
        <v>73</v>
      </c>
    </row>
    <row r="6" customFormat="false" ht="57.45" hidden="false" customHeight="false" outlineLevel="0" collapsed="false">
      <c r="A6" s="12" t="s">
        <v>74</v>
      </c>
      <c r="B6" s="23" t="n">
        <v>0.1</v>
      </c>
      <c r="C6" s="24" t="n">
        <v>0</v>
      </c>
      <c r="D6" s="24" t="n">
        <v>0</v>
      </c>
      <c r="E6" s="24" t="n">
        <v>0</v>
      </c>
      <c r="F6" s="23" t="n">
        <v>0</v>
      </c>
      <c r="G6" s="25" t="s">
        <v>67</v>
      </c>
      <c r="H6" s="24" t="n">
        <v>0</v>
      </c>
      <c r="I6" s="24" t="n">
        <v>0</v>
      </c>
      <c r="J6" s="24" t="n">
        <v>0</v>
      </c>
      <c r="K6" s="26" t="s">
        <v>75</v>
      </c>
      <c r="L6" s="27" t="s">
        <v>76</v>
      </c>
    </row>
    <row r="7" customFormat="false" ht="46.25" hidden="false" customHeight="false" outlineLevel="0" collapsed="false">
      <c r="A7" s="12" t="s">
        <v>77</v>
      </c>
      <c r="B7" s="23" t="n">
        <v>0</v>
      </c>
      <c r="C7" s="24" t="n">
        <v>0.45</v>
      </c>
      <c r="D7" s="24" t="n">
        <v>0.45</v>
      </c>
      <c r="E7" s="24" t="n">
        <v>0</v>
      </c>
      <c r="F7" s="23" t="n">
        <v>0.033</v>
      </c>
      <c r="G7" s="25" t="s">
        <v>67</v>
      </c>
      <c r="H7" s="24" t="n">
        <v>0</v>
      </c>
      <c r="I7" s="24" t="n">
        <v>0</v>
      </c>
      <c r="J7" s="24" t="n">
        <v>0</v>
      </c>
      <c r="K7" s="26" t="s">
        <v>78</v>
      </c>
      <c r="L7" s="27" t="s">
        <v>79</v>
      </c>
    </row>
    <row r="8" customFormat="false" ht="23.85" hidden="false" customHeight="false" outlineLevel="0" collapsed="false">
      <c r="A8" s="12" t="s">
        <v>80</v>
      </c>
      <c r="B8" s="23" t="n">
        <v>0.1</v>
      </c>
      <c r="C8" s="24" t="n">
        <v>0</v>
      </c>
      <c r="D8" s="24" t="n">
        <v>0</v>
      </c>
      <c r="E8" s="24" t="n">
        <v>0</v>
      </c>
      <c r="F8" s="23" t="n">
        <v>0</v>
      </c>
      <c r="G8" s="25" t="s">
        <v>67</v>
      </c>
      <c r="H8" s="24" t="n">
        <v>0</v>
      </c>
      <c r="I8" s="24" t="n">
        <v>0</v>
      </c>
      <c r="J8" s="24" t="n">
        <v>0.8</v>
      </c>
      <c r="K8" s="26" t="s">
        <v>81</v>
      </c>
      <c r="L8" s="27" t="s">
        <v>82</v>
      </c>
    </row>
    <row r="9" customFormat="false" ht="15" hidden="false" customHeight="false" outlineLevel="0" collapsed="false">
      <c r="A9" s="12" t="s">
        <v>83</v>
      </c>
      <c r="B9" s="23" t="n">
        <v>0.1</v>
      </c>
      <c r="C9" s="24" t="n">
        <v>0</v>
      </c>
      <c r="D9" s="24" t="n">
        <v>0</v>
      </c>
      <c r="E9" s="24" t="n">
        <v>0</v>
      </c>
      <c r="F9" s="23" t="n">
        <v>0</v>
      </c>
      <c r="G9" s="25" t="s">
        <v>67</v>
      </c>
      <c r="H9" s="24" t="n">
        <v>0</v>
      </c>
      <c r="I9" s="24" t="n">
        <v>0</v>
      </c>
      <c r="J9" s="24" t="n">
        <v>0</v>
      </c>
      <c r="K9" s="26" t="s">
        <v>84</v>
      </c>
      <c r="L9" s="27" t="s">
        <v>85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2" min="2" style="0" width="20"/>
    <col collapsed="false" customWidth="true" hidden="false" outlineLevel="0" max="4" min="3" style="0" width="12"/>
    <col collapsed="false" customWidth="true" hidden="false" outlineLevel="0" max="5" min="5" style="0" width="16"/>
    <col collapsed="false" customWidth="true" hidden="false" outlineLevel="0" max="6" min="6" style="0" width="15"/>
    <col collapsed="false" customWidth="true" hidden="false" outlineLevel="0" max="8" min="7" style="0" width="12"/>
    <col collapsed="false" customWidth="true" hidden="false" outlineLevel="0" max="10" min="9" style="0" width="13"/>
    <col collapsed="false" customWidth="true" hidden="false" outlineLevel="0" max="11" min="11" style="0" width="10"/>
  </cols>
  <sheetData>
    <row r="1" customFormat="false" ht="19.7" hidden="false" customHeight="false" outlineLevel="0" collapsed="false">
      <c r="A1" s="1" t="s">
        <v>86</v>
      </c>
    </row>
    <row r="2" customFormat="false" ht="15" hidden="false" customHeight="false" outlineLevel="0" collapsed="false">
      <c r="A2" s="2" t="s">
        <v>87</v>
      </c>
    </row>
    <row r="3" customFormat="false" ht="33.75" hidden="false" customHeight="true" outlineLevel="0" collapsed="false">
      <c r="A3" s="11" t="s">
        <v>88</v>
      </c>
      <c r="B3" s="11" t="s">
        <v>39</v>
      </c>
      <c r="C3" s="11" t="s">
        <v>89</v>
      </c>
      <c r="D3" s="11" t="s">
        <v>90</v>
      </c>
      <c r="E3" s="11" t="s">
        <v>91</v>
      </c>
      <c r="F3" s="11" t="s">
        <v>92</v>
      </c>
      <c r="G3" s="11" t="s">
        <v>93</v>
      </c>
      <c r="H3" s="11" t="s">
        <v>40</v>
      </c>
      <c r="I3" s="11" t="s">
        <v>42</v>
      </c>
      <c r="J3" s="11" t="s">
        <v>44</v>
      </c>
      <c r="K3" s="11" t="s">
        <v>45</v>
      </c>
    </row>
    <row r="4" customFormat="false" ht="15" hidden="false" customHeight="false" outlineLevel="0" collapsed="false">
      <c r="A4" s="25" t="s">
        <v>94</v>
      </c>
      <c r="B4" s="25" t="s">
        <v>66</v>
      </c>
      <c r="C4" s="24" t="n">
        <v>12</v>
      </c>
      <c r="D4" s="24" t="n">
        <v>45</v>
      </c>
      <c r="E4" s="24" t="n">
        <v>0</v>
      </c>
      <c r="F4" s="24" t="n">
        <v>6.5</v>
      </c>
      <c r="G4" s="24" t="n">
        <v>0.5</v>
      </c>
      <c r="H4" s="13" t="n">
        <f aca="false">IF($B4="","",MAX(IF(AND(INDEX(Fees!$H$4:$H$9,MATCH($B4,Fees!$A$4:$A$9,0))&gt;0,$D4&lt;INDEX(Fees!$H$4:$H$9,MATCH($B4,Fees!$A$4:$A$9,0))),INDEX(Fees!$I$4:$I$9,MATCH($B4,Fees!$A$4:$A$9,0)),($D4+IF(INDEX(Fees!$G$4:$G$9,MATCH($B4,Fees!$A$4:$A$9,0))="Y",$E4,0))*INDEX(Fees!$B$4:$B$9,MATCH($B4,Fees!$A$4:$A$9,0))+IF(AND(INDEX(Fees!$E$4:$E$9,MATCH($B4,Fees!$A$4:$A$9,0))&gt;0,$D4&lt;=INDEX(Fees!$E$4:$E$9,MATCH($B4,Fees!$A$4:$A$9,0))),INDEX(Fees!$D$4:$D$9,MATCH($B4,Fees!$A$4:$A$9,0)),INDEX(Fees!$C$4:$C$9,MATCH($B4,Fees!$A$4:$A$9,0)))+($D4+IF(INDEX(Fees!$G$4:$G$9,MATCH($B4,Fees!$A$4:$A$9,0))="Y",$E4,0))*INDEX(Fees!$F$4:$F$9,MATCH($B4,Fees!$A$4:$A$9,0))),INDEX(Fees!$J$4:$J$9,MATCH($B4,Fees!$A$4:$A$9,0))))</f>
        <v>6.52</v>
      </c>
      <c r="I4" s="13" t="n">
        <f aca="false">IF($B4="","",$D4+$E4-$H4)</f>
        <v>38.48</v>
      </c>
      <c r="J4" s="28" t="n">
        <f aca="false">IF($B4="","",$I4-($C4+$F4+$G4))</f>
        <v>19.48</v>
      </c>
      <c r="K4" s="14" t="n">
        <f aca="false">IF(OR($B4="",($C4+$F4+$G4)&lt;=0),"",$J4/($C4+$F4+$G4))</f>
        <v>1.02526315789474</v>
      </c>
    </row>
    <row r="5" customFormat="false" ht="15" hidden="false" customHeight="false" outlineLevel="0" collapsed="false">
      <c r="A5" s="25"/>
      <c r="B5" s="25"/>
      <c r="C5" s="24"/>
      <c r="D5" s="24"/>
      <c r="E5" s="24"/>
      <c r="F5" s="24"/>
      <c r="G5" s="24"/>
      <c r="H5" s="13" t="str">
        <f aca="false">IF($B5="","",MAX(IF(AND(INDEX(Fees!$H$4:$H$9,MATCH($B5,Fees!$A$4:$A$9,0))&gt;0,$D5&lt;INDEX(Fees!$H$4:$H$9,MATCH($B5,Fees!$A$4:$A$9,0))),INDEX(Fees!$I$4:$I$9,MATCH($B5,Fees!$A$4:$A$9,0)),($D5+IF(INDEX(Fees!$G$4:$G$9,MATCH($B5,Fees!$A$4:$A$9,0))="Y",$E5,0))*INDEX(Fees!$B$4:$B$9,MATCH($B5,Fees!$A$4:$A$9,0))+IF(AND(INDEX(Fees!$E$4:$E$9,MATCH($B5,Fees!$A$4:$A$9,0))&gt;0,$D5&lt;=INDEX(Fees!$E$4:$E$9,MATCH($B5,Fees!$A$4:$A$9,0))),INDEX(Fees!$D$4:$D$9,MATCH($B5,Fees!$A$4:$A$9,0)),INDEX(Fees!$C$4:$C$9,MATCH($B5,Fees!$A$4:$A$9,0)))+($D5+IF(INDEX(Fees!$G$4:$G$9,MATCH($B5,Fees!$A$4:$A$9,0))="Y",$E5,0))*INDEX(Fees!$F$4:$F$9,MATCH($B5,Fees!$A$4:$A$9,0))),INDEX(Fees!$J$4:$J$9,MATCH($B5,Fees!$A$4:$A$9,0))))</f>
        <v/>
      </c>
      <c r="I5" s="13" t="str">
        <f aca="false">IF($B5="","",$D5+$E5-$H5)</f>
        <v/>
      </c>
      <c r="J5" s="28" t="str">
        <f aca="false">IF($B5="","",$I5-($C5+$F5+$G5))</f>
        <v/>
      </c>
      <c r="K5" s="14" t="str">
        <f aca="false">IF(OR($B5="",($C5+$F5+$G5)&lt;=0),"",$J5/($C5+$F5+$G5))</f>
        <v/>
      </c>
    </row>
    <row r="6" customFormat="false" ht="15" hidden="false" customHeight="false" outlineLevel="0" collapsed="false">
      <c r="A6" s="25"/>
      <c r="B6" s="25"/>
      <c r="C6" s="24"/>
      <c r="D6" s="24"/>
      <c r="E6" s="24"/>
      <c r="F6" s="24"/>
      <c r="G6" s="24"/>
      <c r="H6" s="13" t="str">
        <f aca="false">IF($B6="","",MAX(IF(AND(INDEX(Fees!$H$4:$H$9,MATCH($B6,Fees!$A$4:$A$9,0))&gt;0,$D6&lt;INDEX(Fees!$H$4:$H$9,MATCH($B6,Fees!$A$4:$A$9,0))),INDEX(Fees!$I$4:$I$9,MATCH($B6,Fees!$A$4:$A$9,0)),($D6+IF(INDEX(Fees!$G$4:$G$9,MATCH($B6,Fees!$A$4:$A$9,0))="Y",$E6,0))*INDEX(Fees!$B$4:$B$9,MATCH($B6,Fees!$A$4:$A$9,0))+IF(AND(INDEX(Fees!$E$4:$E$9,MATCH($B6,Fees!$A$4:$A$9,0))&gt;0,$D6&lt;=INDEX(Fees!$E$4:$E$9,MATCH($B6,Fees!$A$4:$A$9,0))),INDEX(Fees!$D$4:$D$9,MATCH($B6,Fees!$A$4:$A$9,0)),INDEX(Fees!$C$4:$C$9,MATCH($B6,Fees!$A$4:$A$9,0)))+($D6+IF(INDEX(Fees!$G$4:$G$9,MATCH($B6,Fees!$A$4:$A$9,0))="Y",$E6,0))*INDEX(Fees!$F$4:$F$9,MATCH($B6,Fees!$A$4:$A$9,0))),INDEX(Fees!$J$4:$J$9,MATCH($B6,Fees!$A$4:$A$9,0))))</f>
        <v/>
      </c>
      <c r="I6" s="13" t="str">
        <f aca="false">IF($B6="","",$D6+$E6-$H6)</f>
        <v/>
      </c>
      <c r="J6" s="28" t="str">
        <f aca="false">IF($B6="","",$I6-($C6+$F6+$G6))</f>
        <v/>
      </c>
      <c r="K6" s="14" t="str">
        <f aca="false">IF(OR($B6="",($C6+$F6+$G6)&lt;=0),"",$J6/($C6+$F6+$G6))</f>
        <v/>
      </c>
    </row>
    <row r="7" customFormat="false" ht="15" hidden="false" customHeight="false" outlineLevel="0" collapsed="false">
      <c r="A7" s="25"/>
      <c r="B7" s="25"/>
      <c r="C7" s="24"/>
      <c r="D7" s="24"/>
      <c r="E7" s="24"/>
      <c r="F7" s="24"/>
      <c r="G7" s="24"/>
      <c r="H7" s="13" t="str">
        <f aca="false">IF($B7="","",MAX(IF(AND(INDEX(Fees!$H$4:$H$9,MATCH($B7,Fees!$A$4:$A$9,0))&gt;0,$D7&lt;INDEX(Fees!$H$4:$H$9,MATCH($B7,Fees!$A$4:$A$9,0))),INDEX(Fees!$I$4:$I$9,MATCH($B7,Fees!$A$4:$A$9,0)),($D7+IF(INDEX(Fees!$G$4:$G$9,MATCH($B7,Fees!$A$4:$A$9,0))="Y",$E7,0))*INDEX(Fees!$B$4:$B$9,MATCH($B7,Fees!$A$4:$A$9,0))+IF(AND(INDEX(Fees!$E$4:$E$9,MATCH($B7,Fees!$A$4:$A$9,0))&gt;0,$D7&lt;=INDEX(Fees!$E$4:$E$9,MATCH($B7,Fees!$A$4:$A$9,0))),INDEX(Fees!$D$4:$D$9,MATCH($B7,Fees!$A$4:$A$9,0)),INDEX(Fees!$C$4:$C$9,MATCH($B7,Fees!$A$4:$A$9,0)))+($D7+IF(INDEX(Fees!$G$4:$G$9,MATCH($B7,Fees!$A$4:$A$9,0))="Y",$E7,0))*INDEX(Fees!$F$4:$F$9,MATCH($B7,Fees!$A$4:$A$9,0))),INDEX(Fees!$J$4:$J$9,MATCH($B7,Fees!$A$4:$A$9,0))))</f>
        <v/>
      </c>
      <c r="I7" s="13" t="str">
        <f aca="false">IF($B7="","",$D7+$E7-$H7)</f>
        <v/>
      </c>
      <c r="J7" s="28" t="str">
        <f aca="false">IF($B7="","",$I7-($C7+$F7+$G7))</f>
        <v/>
      </c>
      <c r="K7" s="14" t="str">
        <f aca="false">IF(OR($B7="",($C7+$F7+$G7)&lt;=0),"",$J7/($C7+$F7+$G7))</f>
        <v/>
      </c>
    </row>
    <row r="8" customFormat="false" ht="15" hidden="false" customHeight="false" outlineLevel="0" collapsed="false">
      <c r="A8" s="25"/>
      <c r="B8" s="25"/>
      <c r="C8" s="24"/>
      <c r="D8" s="24"/>
      <c r="E8" s="24"/>
      <c r="F8" s="24"/>
      <c r="G8" s="24"/>
      <c r="H8" s="13" t="str">
        <f aca="false">IF($B8="","",MAX(IF(AND(INDEX(Fees!$H$4:$H$9,MATCH($B8,Fees!$A$4:$A$9,0))&gt;0,$D8&lt;INDEX(Fees!$H$4:$H$9,MATCH($B8,Fees!$A$4:$A$9,0))),INDEX(Fees!$I$4:$I$9,MATCH($B8,Fees!$A$4:$A$9,0)),($D8+IF(INDEX(Fees!$G$4:$G$9,MATCH($B8,Fees!$A$4:$A$9,0))="Y",$E8,0))*INDEX(Fees!$B$4:$B$9,MATCH($B8,Fees!$A$4:$A$9,0))+IF(AND(INDEX(Fees!$E$4:$E$9,MATCH($B8,Fees!$A$4:$A$9,0))&gt;0,$D8&lt;=INDEX(Fees!$E$4:$E$9,MATCH($B8,Fees!$A$4:$A$9,0))),INDEX(Fees!$D$4:$D$9,MATCH($B8,Fees!$A$4:$A$9,0)),INDEX(Fees!$C$4:$C$9,MATCH($B8,Fees!$A$4:$A$9,0)))+($D8+IF(INDEX(Fees!$G$4:$G$9,MATCH($B8,Fees!$A$4:$A$9,0))="Y",$E8,0))*INDEX(Fees!$F$4:$F$9,MATCH($B8,Fees!$A$4:$A$9,0))),INDEX(Fees!$J$4:$J$9,MATCH($B8,Fees!$A$4:$A$9,0))))</f>
        <v/>
      </c>
      <c r="I8" s="13" t="str">
        <f aca="false">IF($B8="","",$D8+$E8-$H8)</f>
        <v/>
      </c>
      <c r="J8" s="28" t="str">
        <f aca="false">IF($B8="","",$I8-($C8+$F8+$G8))</f>
        <v/>
      </c>
      <c r="K8" s="14" t="str">
        <f aca="false">IF(OR($B8="",($C8+$F8+$G8)&lt;=0),"",$J8/($C8+$F8+$G8))</f>
        <v/>
      </c>
    </row>
    <row r="9" customFormat="false" ht="15" hidden="false" customHeight="false" outlineLevel="0" collapsed="false">
      <c r="A9" s="25"/>
      <c r="B9" s="25"/>
      <c r="C9" s="24"/>
      <c r="D9" s="24"/>
      <c r="E9" s="24"/>
      <c r="F9" s="24"/>
      <c r="G9" s="24"/>
      <c r="H9" s="13" t="str">
        <f aca="false">IF($B9="","",MAX(IF(AND(INDEX(Fees!$H$4:$H$9,MATCH($B9,Fees!$A$4:$A$9,0))&gt;0,$D9&lt;INDEX(Fees!$H$4:$H$9,MATCH($B9,Fees!$A$4:$A$9,0))),INDEX(Fees!$I$4:$I$9,MATCH($B9,Fees!$A$4:$A$9,0)),($D9+IF(INDEX(Fees!$G$4:$G$9,MATCH($B9,Fees!$A$4:$A$9,0))="Y",$E9,0))*INDEX(Fees!$B$4:$B$9,MATCH($B9,Fees!$A$4:$A$9,0))+IF(AND(INDEX(Fees!$E$4:$E$9,MATCH($B9,Fees!$A$4:$A$9,0))&gt;0,$D9&lt;=INDEX(Fees!$E$4:$E$9,MATCH($B9,Fees!$A$4:$A$9,0))),INDEX(Fees!$D$4:$D$9,MATCH($B9,Fees!$A$4:$A$9,0)),INDEX(Fees!$C$4:$C$9,MATCH($B9,Fees!$A$4:$A$9,0)))+($D9+IF(INDEX(Fees!$G$4:$G$9,MATCH($B9,Fees!$A$4:$A$9,0))="Y",$E9,0))*INDEX(Fees!$F$4:$F$9,MATCH($B9,Fees!$A$4:$A$9,0))),INDEX(Fees!$J$4:$J$9,MATCH($B9,Fees!$A$4:$A$9,0))))</f>
        <v/>
      </c>
      <c r="I9" s="13" t="str">
        <f aca="false">IF($B9="","",$D9+$E9-$H9)</f>
        <v/>
      </c>
      <c r="J9" s="28" t="str">
        <f aca="false">IF($B9="","",$I9-($C9+$F9+$G9))</f>
        <v/>
      </c>
      <c r="K9" s="14" t="str">
        <f aca="false">IF(OR($B9="",($C9+$F9+$G9)&lt;=0),"",$J9/($C9+$F9+$G9))</f>
        <v/>
      </c>
    </row>
    <row r="10" customFormat="false" ht="15" hidden="false" customHeight="false" outlineLevel="0" collapsed="false">
      <c r="A10" s="25"/>
      <c r="B10" s="25"/>
      <c r="C10" s="24"/>
      <c r="D10" s="24"/>
      <c r="E10" s="24"/>
      <c r="F10" s="24"/>
      <c r="G10" s="24"/>
      <c r="H10" s="13" t="str">
        <f aca="false">IF($B10="","",MAX(IF(AND(INDEX(Fees!$H$4:$H$9,MATCH($B10,Fees!$A$4:$A$9,0))&gt;0,$D10&lt;INDEX(Fees!$H$4:$H$9,MATCH($B10,Fees!$A$4:$A$9,0))),INDEX(Fees!$I$4:$I$9,MATCH($B10,Fees!$A$4:$A$9,0)),($D10+IF(INDEX(Fees!$G$4:$G$9,MATCH($B10,Fees!$A$4:$A$9,0))="Y",$E10,0))*INDEX(Fees!$B$4:$B$9,MATCH($B10,Fees!$A$4:$A$9,0))+IF(AND(INDEX(Fees!$E$4:$E$9,MATCH($B10,Fees!$A$4:$A$9,0))&gt;0,$D10&lt;=INDEX(Fees!$E$4:$E$9,MATCH($B10,Fees!$A$4:$A$9,0))),INDEX(Fees!$D$4:$D$9,MATCH($B10,Fees!$A$4:$A$9,0)),INDEX(Fees!$C$4:$C$9,MATCH($B10,Fees!$A$4:$A$9,0)))+($D10+IF(INDEX(Fees!$G$4:$G$9,MATCH($B10,Fees!$A$4:$A$9,0))="Y",$E10,0))*INDEX(Fees!$F$4:$F$9,MATCH($B10,Fees!$A$4:$A$9,0))),INDEX(Fees!$J$4:$J$9,MATCH($B10,Fees!$A$4:$A$9,0))))</f>
        <v/>
      </c>
      <c r="I10" s="13" t="str">
        <f aca="false">IF($B10="","",$D10+$E10-$H10)</f>
        <v/>
      </c>
      <c r="J10" s="28" t="str">
        <f aca="false">IF($B10="","",$I10-($C10+$F10+$G10))</f>
        <v/>
      </c>
      <c r="K10" s="14" t="str">
        <f aca="false">IF(OR($B10="",($C10+$F10+$G10)&lt;=0),"",$J10/($C10+$F10+$G10))</f>
        <v/>
      </c>
    </row>
    <row r="11" customFormat="false" ht="15" hidden="false" customHeight="false" outlineLevel="0" collapsed="false">
      <c r="A11" s="25"/>
      <c r="B11" s="25"/>
      <c r="C11" s="24"/>
      <c r="D11" s="24"/>
      <c r="E11" s="24"/>
      <c r="F11" s="24"/>
      <c r="G11" s="24"/>
      <c r="H11" s="13" t="str">
        <f aca="false">IF($B11="","",MAX(IF(AND(INDEX(Fees!$H$4:$H$9,MATCH($B11,Fees!$A$4:$A$9,0))&gt;0,$D11&lt;INDEX(Fees!$H$4:$H$9,MATCH($B11,Fees!$A$4:$A$9,0))),INDEX(Fees!$I$4:$I$9,MATCH($B11,Fees!$A$4:$A$9,0)),($D11+IF(INDEX(Fees!$G$4:$G$9,MATCH($B11,Fees!$A$4:$A$9,0))="Y",$E11,0))*INDEX(Fees!$B$4:$B$9,MATCH($B11,Fees!$A$4:$A$9,0))+IF(AND(INDEX(Fees!$E$4:$E$9,MATCH($B11,Fees!$A$4:$A$9,0))&gt;0,$D11&lt;=INDEX(Fees!$E$4:$E$9,MATCH($B11,Fees!$A$4:$A$9,0))),INDEX(Fees!$D$4:$D$9,MATCH($B11,Fees!$A$4:$A$9,0)),INDEX(Fees!$C$4:$C$9,MATCH($B11,Fees!$A$4:$A$9,0)))+($D11+IF(INDEX(Fees!$G$4:$G$9,MATCH($B11,Fees!$A$4:$A$9,0))="Y",$E11,0))*INDEX(Fees!$F$4:$F$9,MATCH($B11,Fees!$A$4:$A$9,0))),INDEX(Fees!$J$4:$J$9,MATCH($B11,Fees!$A$4:$A$9,0))))</f>
        <v/>
      </c>
      <c r="I11" s="13" t="str">
        <f aca="false">IF($B11="","",$D11+$E11-$H11)</f>
        <v/>
      </c>
      <c r="J11" s="28" t="str">
        <f aca="false">IF($B11="","",$I11-($C11+$F11+$G11))</f>
        <v/>
      </c>
      <c r="K11" s="14" t="str">
        <f aca="false">IF(OR($B11="",($C11+$F11+$G11)&lt;=0),"",$J11/($C11+$F11+$G11))</f>
        <v/>
      </c>
    </row>
    <row r="12" customFormat="false" ht="15" hidden="false" customHeight="false" outlineLevel="0" collapsed="false">
      <c r="A12" s="25"/>
      <c r="B12" s="25"/>
      <c r="C12" s="24"/>
      <c r="D12" s="24"/>
      <c r="E12" s="24"/>
      <c r="F12" s="24"/>
      <c r="G12" s="24"/>
      <c r="H12" s="13" t="str">
        <f aca="false">IF($B12="","",MAX(IF(AND(INDEX(Fees!$H$4:$H$9,MATCH($B12,Fees!$A$4:$A$9,0))&gt;0,$D12&lt;INDEX(Fees!$H$4:$H$9,MATCH($B12,Fees!$A$4:$A$9,0))),INDEX(Fees!$I$4:$I$9,MATCH($B12,Fees!$A$4:$A$9,0)),($D12+IF(INDEX(Fees!$G$4:$G$9,MATCH($B12,Fees!$A$4:$A$9,0))="Y",$E12,0))*INDEX(Fees!$B$4:$B$9,MATCH($B12,Fees!$A$4:$A$9,0))+IF(AND(INDEX(Fees!$E$4:$E$9,MATCH($B12,Fees!$A$4:$A$9,0))&gt;0,$D12&lt;=INDEX(Fees!$E$4:$E$9,MATCH($B12,Fees!$A$4:$A$9,0))),INDEX(Fees!$D$4:$D$9,MATCH($B12,Fees!$A$4:$A$9,0)),INDEX(Fees!$C$4:$C$9,MATCH($B12,Fees!$A$4:$A$9,0)))+($D12+IF(INDEX(Fees!$G$4:$G$9,MATCH($B12,Fees!$A$4:$A$9,0))="Y",$E12,0))*INDEX(Fees!$F$4:$F$9,MATCH($B12,Fees!$A$4:$A$9,0))),INDEX(Fees!$J$4:$J$9,MATCH($B12,Fees!$A$4:$A$9,0))))</f>
        <v/>
      </c>
      <c r="I12" s="13" t="str">
        <f aca="false">IF($B12="","",$D12+$E12-$H12)</f>
        <v/>
      </c>
      <c r="J12" s="28" t="str">
        <f aca="false">IF($B12="","",$I12-($C12+$F12+$G12))</f>
        <v/>
      </c>
      <c r="K12" s="14" t="str">
        <f aca="false">IF(OR($B12="",($C12+$F12+$G12)&lt;=0),"",$J12/($C12+$F12+$G12))</f>
        <v/>
      </c>
    </row>
    <row r="13" customFormat="false" ht="15" hidden="false" customHeight="false" outlineLevel="0" collapsed="false">
      <c r="A13" s="25"/>
      <c r="B13" s="25"/>
      <c r="C13" s="24"/>
      <c r="D13" s="24"/>
      <c r="E13" s="24"/>
      <c r="F13" s="24"/>
      <c r="G13" s="24"/>
      <c r="H13" s="13" t="str">
        <f aca="false">IF($B13="","",MAX(IF(AND(INDEX(Fees!$H$4:$H$9,MATCH($B13,Fees!$A$4:$A$9,0))&gt;0,$D13&lt;INDEX(Fees!$H$4:$H$9,MATCH($B13,Fees!$A$4:$A$9,0))),INDEX(Fees!$I$4:$I$9,MATCH($B13,Fees!$A$4:$A$9,0)),($D13+IF(INDEX(Fees!$G$4:$G$9,MATCH($B13,Fees!$A$4:$A$9,0))="Y",$E13,0))*INDEX(Fees!$B$4:$B$9,MATCH($B13,Fees!$A$4:$A$9,0))+IF(AND(INDEX(Fees!$E$4:$E$9,MATCH($B13,Fees!$A$4:$A$9,0))&gt;0,$D13&lt;=INDEX(Fees!$E$4:$E$9,MATCH($B13,Fees!$A$4:$A$9,0))),INDEX(Fees!$D$4:$D$9,MATCH($B13,Fees!$A$4:$A$9,0)),INDEX(Fees!$C$4:$C$9,MATCH($B13,Fees!$A$4:$A$9,0)))+($D13+IF(INDEX(Fees!$G$4:$G$9,MATCH($B13,Fees!$A$4:$A$9,0))="Y",$E13,0))*INDEX(Fees!$F$4:$F$9,MATCH($B13,Fees!$A$4:$A$9,0))),INDEX(Fees!$J$4:$J$9,MATCH($B13,Fees!$A$4:$A$9,0))))</f>
        <v/>
      </c>
      <c r="I13" s="13" t="str">
        <f aca="false">IF($B13="","",$D13+$E13-$H13)</f>
        <v/>
      </c>
      <c r="J13" s="28" t="str">
        <f aca="false">IF($B13="","",$I13-($C13+$F13+$G13))</f>
        <v/>
      </c>
      <c r="K13" s="14" t="str">
        <f aca="false">IF(OR($B13="",($C13+$F13+$G13)&lt;=0),"",$J13/($C13+$F13+$G13))</f>
        <v/>
      </c>
    </row>
    <row r="14" customFormat="false" ht="15" hidden="false" customHeight="false" outlineLevel="0" collapsed="false">
      <c r="A14" s="25"/>
      <c r="B14" s="25"/>
      <c r="C14" s="24"/>
      <c r="D14" s="24"/>
      <c r="E14" s="24"/>
      <c r="F14" s="24"/>
      <c r="G14" s="24"/>
      <c r="H14" s="13" t="str">
        <f aca="false">IF($B14="","",MAX(IF(AND(INDEX(Fees!$H$4:$H$9,MATCH($B14,Fees!$A$4:$A$9,0))&gt;0,$D14&lt;INDEX(Fees!$H$4:$H$9,MATCH($B14,Fees!$A$4:$A$9,0))),INDEX(Fees!$I$4:$I$9,MATCH($B14,Fees!$A$4:$A$9,0)),($D14+IF(INDEX(Fees!$G$4:$G$9,MATCH($B14,Fees!$A$4:$A$9,0))="Y",$E14,0))*INDEX(Fees!$B$4:$B$9,MATCH($B14,Fees!$A$4:$A$9,0))+IF(AND(INDEX(Fees!$E$4:$E$9,MATCH($B14,Fees!$A$4:$A$9,0))&gt;0,$D14&lt;=INDEX(Fees!$E$4:$E$9,MATCH($B14,Fees!$A$4:$A$9,0))),INDEX(Fees!$D$4:$D$9,MATCH($B14,Fees!$A$4:$A$9,0)),INDEX(Fees!$C$4:$C$9,MATCH($B14,Fees!$A$4:$A$9,0)))+($D14+IF(INDEX(Fees!$G$4:$G$9,MATCH($B14,Fees!$A$4:$A$9,0))="Y",$E14,0))*INDEX(Fees!$F$4:$F$9,MATCH($B14,Fees!$A$4:$A$9,0))),INDEX(Fees!$J$4:$J$9,MATCH($B14,Fees!$A$4:$A$9,0))))</f>
        <v/>
      </c>
      <c r="I14" s="13" t="str">
        <f aca="false">IF($B14="","",$D14+$E14-$H14)</f>
        <v/>
      </c>
      <c r="J14" s="28" t="str">
        <f aca="false">IF($B14="","",$I14-($C14+$F14+$G14))</f>
        <v/>
      </c>
      <c r="K14" s="14" t="str">
        <f aca="false">IF(OR($B14="",($C14+$F14+$G14)&lt;=0),"",$J14/($C14+$F14+$G14))</f>
        <v/>
      </c>
    </row>
    <row r="15" customFormat="false" ht="15" hidden="false" customHeight="false" outlineLevel="0" collapsed="false">
      <c r="A15" s="25"/>
      <c r="B15" s="25"/>
      <c r="C15" s="24"/>
      <c r="D15" s="24"/>
      <c r="E15" s="24"/>
      <c r="F15" s="24"/>
      <c r="G15" s="24"/>
      <c r="H15" s="13" t="str">
        <f aca="false">IF($B15="","",MAX(IF(AND(INDEX(Fees!$H$4:$H$9,MATCH($B15,Fees!$A$4:$A$9,0))&gt;0,$D15&lt;INDEX(Fees!$H$4:$H$9,MATCH($B15,Fees!$A$4:$A$9,0))),INDEX(Fees!$I$4:$I$9,MATCH($B15,Fees!$A$4:$A$9,0)),($D15+IF(INDEX(Fees!$G$4:$G$9,MATCH($B15,Fees!$A$4:$A$9,0))="Y",$E15,0))*INDEX(Fees!$B$4:$B$9,MATCH($B15,Fees!$A$4:$A$9,0))+IF(AND(INDEX(Fees!$E$4:$E$9,MATCH($B15,Fees!$A$4:$A$9,0))&gt;0,$D15&lt;=INDEX(Fees!$E$4:$E$9,MATCH($B15,Fees!$A$4:$A$9,0))),INDEX(Fees!$D$4:$D$9,MATCH($B15,Fees!$A$4:$A$9,0)),INDEX(Fees!$C$4:$C$9,MATCH($B15,Fees!$A$4:$A$9,0)))+($D15+IF(INDEX(Fees!$G$4:$G$9,MATCH($B15,Fees!$A$4:$A$9,0))="Y",$E15,0))*INDEX(Fees!$F$4:$F$9,MATCH($B15,Fees!$A$4:$A$9,0))),INDEX(Fees!$J$4:$J$9,MATCH($B15,Fees!$A$4:$A$9,0))))</f>
        <v/>
      </c>
      <c r="I15" s="13" t="str">
        <f aca="false">IF($B15="","",$D15+$E15-$H15)</f>
        <v/>
      </c>
      <c r="J15" s="28" t="str">
        <f aca="false">IF($B15="","",$I15-($C15+$F15+$G15))</f>
        <v/>
      </c>
      <c r="K15" s="14" t="str">
        <f aca="false">IF(OR($B15="",($C15+$F15+$G15)&lt;=0),"",$J15/($C15+$F15+$G15))</f>
        <v/>
      </c>
    </row>
    <row r="16" customFormat="false" ht="15" hidden="false" customHeight="false" outlineLevel="0" collapsed="false">
      <c r="A16" s="25"/>
      <c r="B16" s="25"/>
      <c r="C16" s="24"/>
      <c r="D16" s="24"/>
      <c r="E16" s="24"/>
      <c r="F16" s="24"/>
      <c r="G16" s="24"/>
      <c r="H16" s="13" t="str">
        <f aca="false">IF($B16="","",MAX(IF(AND(INDEX(Fees!$H$4:$H$9,MATCH($B16,Fees!$A$4:$A$9,0))&gt;0,$D16&lt;INDEX(Fees!$H$4:$H$9,MATCH($B16,Fees!$A$4:$A$9,0))),INDEX(Fees!$I$4:$I$9,MATCH($B16,Fees!$A$4:$A$9,0)),($D16+IF(INDEX(Fees!$G$4:$G$9,MATCH($B16,Fees!$A$4:$A$9,0))="Y",$E16,0))*INDEX(Fees!$B$4:$B$9,MATCH($B16,Fees!$A$4:$A$9,0))+IF(AND(INDEX(Fees!$E$4:$E$9,MATCH($B16,Fees!$A$4:$A$9,0))&gt;0,$D16&lt;=INDEX(Fees!$E$4:$E$9,MATCH($B16,Fees!$A$4:$A$9,0))),INDEX(Fees!$D$4:$D$9,MATCH($B16,Fees!$A$4:$A$9,0)),INDEX(Fees!$C$4:$C$9,MATCH($B16,Fees!$A$4:$A$9,0)))+($D16+IF(INDEX(Fees!$G$4:$G$9,MATCH($B16,Fees!$A$4:$A$9,0))="Y",$E16,0))*INDEX(Fees!$F$4:$F$9,MATCH($B16,Fees!$A$4:$A$9,0))),INDEX(Fees!$J$4:$J$9,MATCH($B16,Fees!$A$4:$A$9,0))))</f>
        <v/>
      </c>
      <c r="I16" s="13" t="str">
        <f aca="false">IF($B16="","",$D16+$E16-$H16)</f>
        <v/>
      </c>
      <c r="J16" s="28" t="str">
        <f aca="false">IF($B16="","",$I16-($C16+$F16+$G16))</f>
        <v/>
      </c>
      <c r="K16" s="14" t="str">
        <f aca="false">IF(OR($B16="",($C16+$F16+$G16)&lt;=0),"",$J16/($C16+$F16+$G16))</f>
        <v/>
      </c>
    </row>
    <row r="17" customFormat="false" ht="15" hidden="false" customHeight="false" outlineLevel="0" collapsed="false">
      <c r="A17" s="25"/>
      <c r="B17" s="25"/>
      <c r="C17" s="24"/>
      <c r="D17" s="24"/>
      <c r="E17" s="24"/>
      <c r="F17" s="24"/>
      <c r="G17" s="24"/>
      <c r="H17" s="13" t="str">
        <f aca="false">IF($B17="","",MAX(IF(AND(INDEX(Fees!$H$4:$H$9,MATCH($B17,Fees!$A$4:$A$9,0))&gt;0,$D17&lt;INDEX(Fees!$H$4:$H$9,MATCH($B17,Fees!$A$4:$A$9,0))),INDEX(Fees!$I$4:$I$9,MATCH($B17,Fees!$A$4:$A$9,0)),($D17+IF(INDEX(Fees!$G$4:$G$9,MATCH($B17,Fees!$A$4:$A$9,0))="Y",$E17,0))*INDEX(Fees!$B$4:$B$9,MATCH($B17,Fees!$A$4:$A$9,0))+IF(AND(INDEX(Fees!$E$4:$E$9,MATCH($B17,Fees!$A$4:$A$9,0))&gt;0,$D17&lt;=INDEX(Fees!$E$4:$E$9,MATCH($B17,Fees!$A$4:$A$9,0))),INDEX(Fees!$D$4:$D$9,MATCH($B17,Fees!$A$4:$A$9,0)),INDEX(Fees!$C$4:$C$9,MATCH($B17,Fees!$A$4:$A$9,0)))+($D17+IF(INDEX(Fees!$G$4:$G$9,MATCH($B17,Fees!$A$4:$A$9,0))="Y",$E17,0))*INDEX(Fees!$F$4:$F$9,MATCH($B17,Fees!$A$4:$A$9,0))),INDEX(Fees!$J$4:$J$9,MATCH($B17,Fees!$A$4:$A$9,0))))</f>
        <v/>
      </c>
      <c r="I17" s="13" t="str">
        <f aca="false">IF($B17="","",$D17+$E17-$H17)</f>
        <v/>
      </c>
      <c r="J17" s="28" t="str">
        <f aca="false">IF($B17="","",$I17-($C17+$F17+$G17))</f>
        <v/>
      </c>
      <c r="K17" s="14" t="str">
        <f aca="false">IF(OR($B17="",($C17+$F17+$G17)&lt;=0),"",$J17/($C17+$F17+$G17))</f>
        <v/>
      </c>
    </row>
    <row r="18" customFormat="false" ht="15" hidden="false" customHeight="false" outlineLevel="0" collapsed="false">
      <c r="A18" s="25"/>
      <c r="B18" s="25"/>
      <c r="C18" s="24"/>
      <c r="D18" s="24"/>
      <c r="E18" s="24"/>
      <c r="F18" s="24"/>
      <c r="G18" s="24"/>
      <c r="H18" s="13" t="str">
        <f aca="false">IF($B18="","",MAX(IF(AND(INDEX(Fees!$H$4:$H$9,MATCH($B18,Fees!$A$4:$A$9,0))&gt;0,$D18&lt;INDEX(Fees!$H$4:$H$9,MATCH($B18,Fees!$A$4:$A$9,0))),INDEX(Fees!$I$4:$I$9,MATCH($B18,Fees!$A$4:$A$9,0)),($D18+IF(INDEX(Fees!$G$4:$G$9,MATCH($B18,Fees!$A$4:$A$9,0))="Y",$E18,0))*INDEX(Fees!$B$4:$B$9,MATCH($B18,Fees!$A$4:$A$9,0))+IF(AND(INDEX(Fees!$E$4:$E$9,MATCH($B18,Fees!$A$4:$A$9,0))&gt;0,$D18&lt;=INDEX(Fees!$E$4:$E$9,MATCH($B18,Fees!$A$4:$A$9,0))),INDEX(Fees!$D$4:$D$9,MATCH($B18,Fees!$A$4:$A$9,0)),INDEX(Fees!$C$4:$C$9,MATCH($B18,Fees!$A$4:$A$9,0)))+($D18+IF(INDEX(Fees!$G$4:$G$9,MATCH($B18,Fees!$A$4:$A$9,0))="Y",$E18,0))*INDEX(Fees!$F$4:$F$9,MATCH($B18,Fees!$A$4:$A$9,0))),INDEX(Fees!$J$4:$J$9,MATCH($B18,Fees!$A$4:$A$9,0))))</f>
        <v/>
      </c>
      <c r="I18" s="13" t="str">
        <f aca="false">IF($B18="","",$D18+$E18-$H18)</f>
        <v/>
      </c>
      <c r="J18" s="28" t="str">
        <f aca="false">IF($B18="","",$I18-($C18+$F18+$G18))</f>
        <v/>
      </c>
      <c r="K18" s="14" t="str">
        <f aca="false">IF(OR($B18="",($C18+$F18+$G18)&lt;=0),"",$J18/($C18+$F18+$G18))</f>
        <v/>
      </c>
    </row>
    <row r="19" customFormat="false" ht="15" hidden="false" customHeight="false" outlineLevel="0" collapsed="false">
      <c r="A19" s="25"/>
      <c r="B19" s="25"/>
      <c r="C19" s="24"/>
      <c r="D19" s="24"/>
      <c r="E19" s="24"/>
      <c r="F19" s="24"/>
      <c r="G19" s="24"/>
      <c r="H19" s="13" t="str">
        <f aca="false">IF($B19="","",MAX(IF(AND(INDEX(Fees!$H$4:$H$9,MATCH($B19,Fees!$A$4:$A$9,0))&gt;0,$D19&lt;INDEX(Fees!$H$4:$H$9,MATCH($B19,Fees!$A$4:$A$9,0))),INDEX(Fees!$I$4:$I$9,MATCH($B19,Fees!$A$4:$A$9,0)),($D19+IF(INDEX(Fees!$G$4:$G$9,MATCH($B19,Fees!$A$4:$A$9,0))="Y",$E19,0))*INDEX(Fees!$B$4:$B$9,MATCH($B19,Fees!$A$4:$A$9,0))+IF(AND(INDEX(Fees!$E$4:$E$9,MATCH($B19,Fees!$A$4:$A$9,0))&gt;0,$D19&lt;=INDEX(Fees!$E$4:$E$9,MATCH($B19,Fees!$A$4:$A$9,0))),INDEX(Fees!$D$4:$D$9,MATCH($B19,Fees!$A$4:$A$9,0)),INDEX(Fees!$C$4:$C$9,MATCH($B19,Fees!$A$4:$A$9,0)))+($D19+IF(INDEX(Fees!$G$4:$G$9,MATCH($B19,Fees!$A$4:$A$9,0))="Y",$E19,0))*INDEX(Fees!$F$4:$F$9,MATCH($B19,Fees!$A$4:$A$9,0))),INDEX(Fees!$J$4:$J$9,MATCH($B19,Fees!$A$4:$A$9,0))))</f>
        <v/>
      </c>
      <c r="I19" s="13" t="str">
        <f aca="false">IF($B19="","",$D19+$E19-$H19)</f>
        <v/>
      </c>
      <c r="J19" s="28" t="str">
        <f aca="false">IF($B19="","",$I19-($C19+$F19+$G19))</f>
        <v/>
      </c>
      <c r="K19" s="14" t="str">
        <f aca="false">IF(OR($B19="",($C19+$F19+$G19)&lt;=0),"",$J19/($C19+$F19+$G19))</f>
        <v/>
      </c>
    </row>
    <row r="20" customFormat="false" ht="15" hidden="false" customHeight="false" outlineLevel="0" collapsed="false">
      <c r="A20" s="25"/>
      <c r="B20" s="25"/>
      <c r="C20" s="24"/>
      <c r="D20" s="24"/>
      <c r="E20" s="24"/>
      <c r="F20" s="24"/>
      <c r="G20" s="24"/>
      <c r="H20" s="13" t="str">
        <f aca="false">IF($B20="","",MAX(IF(AND(INDEX(Fees!$H$4:$H$9,MATCH($B20,Fees!$A$4:$A$9,0))&gt;0,$D20&lt;INDEX(Fees!$H$4:$H$9,MATCH($B20,Fees!$A$4:$A$9,0))),INDEX(Fees!$I$4:$I$9,MATCH($B20,Fees!$A$4:$A$9,0)),($D20+IF(INDEX(Fees!$G$4:$G$9,MATCH($B20,Fees!$A$4:$A$9,0))="Y",$E20,0))*INDEX(Fees!$B$4:$B$9,MATCH($B20,Fees!$A$4:$A$9,0))+IF(AND(INDEX(Fees!$E$4:$E$9,MATCH($B20,Fees!$A$4:$A$9,0))&gt;0,$D20&lt;=INDEX(Fees!$E$4:$E$9,MATCH($B20,Fees!$A$4:$A$9,0))),INDEX(Fees!$D$4:$D$9,MATCH($B20,Fees!$A$4:$A$9,0)),INDEX(Fees!$C$4:$C$9,MATCH($B20,Fees!$A$4:$A$9,0)))+($D20+IF(INDEX(Fees!$G$4:$G$9,MATCH($B20,Fees!$A$4:$A$9,0))="Y",$E20,0))*INDEX(Fees!$F$4:$F$9,MATCH($B20,Fees!$A$4:$A$9,0))),INDEX(Fees!$J$4:$J$9,MATCH($B20,Fees!$A$4:$A$9,0))))</f>
        <v/>
      </c>
      <c r="I20" s="13" t="str">
        <f aca="false">IF($B20="","",$D20+$E20-$H20)</f>
        <v/>
      </c>
      <c r="J20" s="28" t="str">
        <f aca="false">IF($B20="","",$I20-($C20+$F20+$G20))</f>
        <v/>
      </c>
      <c r="K20" s="14" t="str">
        <f aca="false">IF(OR($B20="",($C20+$F20+$G20)&lt;=0),"",$J20/($C20+$F20+$G20))</f>
        <v/>
      </c>
    </row>
    <row r="21" customFormat="false" ht="15" hidden="false" customHeight="false" outlineLevel="0" collapsed="false">
      <c r="A21" s="25"/>
      <c r="B21" s="25"/>
      <c r="C21" s="24"/>
      <c r="D21" s="24"/>
      <c r="E21" s="24"/>
      <c r="F21" s="24"/>
      <c r="G21" s="24"/>
      <c r="H21" s="13" t="str">
        <f aca="false">IF($B21="","",MAX(IF(AND(INDEX(Fees!$H$4:$H$9,MATCH($B21,Fees!$A$4:$A$9,0))&gt;0,$D21&lt;INDEX(Fees!$H$4:$H$9,MATCH($B21,Fees!$A$4:$A$9,0))),INDEX(Fees!$I$4:$I$9,MATCH($B21,Fees!$A$4:$A$9,0)),($D21+IF(INDEX(Fees!$G$4:$G$9,MATCH($B21,Fees!$A$4:$A$9,0))="Y",$E21,0))*INDEX(Fees!$B$4:$B$9,MATCH($B21,Fees!$A$4:$A$9,0))+IF(AND(INDEX(Fees!$E$4:$E$9,MATCH($B21,Fees!$A$4:$A$9,0))&gt;0,$D21&lt;=INDEX(Fees!$E$4:$E$9,MATCH($B21,Fees!$A$4:$A$9,0))),INDEX(Fees!$D$4:$D$9,MATCH($B21,Fees!$A$4:$A$9,0)),INDEX(Fees!$C$4:$C$9,MATCH($B21,Fees!$A$4:$A$9,0)))+($D21+IF(INDEX(Fees!$G$4:$G$9,MATCH($B21,Fees!$A$4:$A$9,0))="Y",$E21,0))*INDEX(Fees!$F$4:$F$9,MATCH($B21,Fees!$A$4:$A$9,0))),INDEX(Fees!$J$4:$J$9,MATCH($B21,Fees!$A$4:$A$9,0))))</f>
        <v/>
      </c>
      <c r="I21" s="13" t="str">
        <f aca="false">IF($B21="","",$D21+$E21-$H21)</f>
        <v/>
      </c>
      <c r="J21" s="28" t="str">
        <f aca="false">IF($B21="","",$I21-($C21+$F21+$G21))</f>
        <v/>
      </c>
      <c r="K21" s="14" t="str">
        <f aca="false">IF(OR($B21="",($C21+$F21+$G21)&lt;=0),"",$J21/($C21+$F21+$G21))</f>
        <v/>
      </c>
    </row>
    <row r="22" customFormat="false" ht="15" hidden="false" customHeight="false" outlineLevel="0" collapsed="false">
      <c r="A22" s="25"/>
      <c r="B22" s="25"/>
      <c r="C22" s="24"/>
      <c r="D22" s="24"/>
      <c r="E22" s="24"/>
      <c r="F22" s="24"/>
      <c r="G22" s="24"/>
      <c r="H22" s="13" t="str">
        <f aca="false">IF($B22="","",MAX(IF(AND(INDEX(Fees!$H$4:$H$9,MATCH($B22,Fees!$A$4:$A$9,0))&gt;0,$D22&lt;INDEX(Fees!$H$4:$H$9,MATCH($B22,Fees!$A$4:$A$9,0))),INDEX(Fees!$I$4:$I$9,MATCH($B22,Fees!$A$4:$A$9,0)),($D22+IF(INDEX(Fees!$G$4:$G$9,MATCH($B22,Fees!$A$4:$A$9,0))="Y",$E22,0))*INDEX(Fees!$B$4:$B$9,MATCH($B22,Fees!$A$4:$A$9,0))+IF(AND(INDEX(Fees!$E$4:$E$9,MATCH($B22,Fees!$A$4:$A$9,0))&gt;0,$D22&lt;=INDEX(Fees!$E$4:$E$9,MATCH($B22,Fees!$A$4:$A$9,0))),INDEX(Fees!$D$4:$D$9,MATCH($B22,Fees!$A$4:$A$9,0)),INDEX(Fees!$C$4:$C$9,MATCH($B22,Fees!$A$4:$A$9,0)))+($D22+IF(INDEX(Fees!$G$4:$G$9,MATCH($B22,Fees!$A$4:$A$9,0))="Y",$E22,0))*INDEX(Fees!$F$4:$F$9,MATCH($B22,Fees!$A$4:$A$9,0))),INDEX(Fees!$J$4:$J$9,MATCH($B22,Fees!$A$4:$A$9,0))))</f>
        <v/>
      </c>
      <c r="I22" s="13" t="str">
        <f aca="false">IF($B22="","",$D22+$E22-$H22)</f>
        <v/>
      </c>
      <c r="J22" s="28" t="str">
        <f aca="false">IF($B22="","",$I22-($C22+$F22+$G22))</f>
        <v/>
      </c>
      <c r="K22" s="14" t="str">
        <f aca="false">IF(OR($B22="",($C22+$F22+$G22)&lt;=0),"",$J22/($C22+$F22+$G22))</f>
        <v/>
      </c>
    </row>
    <row r="23" customFormat="false" ht="15" hidden="false" customHeight="false" outlineLevel="0" collapsed="false">
      <c r="A23" s="25"/>
      <c r="B23" s="25"/>
      <c r="C23" s="24"/>
      <c r="D23" s="24"/>
      <c r="E23" s="24"/>
      <c r="F23" s="24"/>
      <c r="G23" s="24"/>
      <c r="H23" s="13" t="str">
        <f aca="false">IF($B23="","",MAX(IF(AND(INDEX(Fees!$H$4:$H$9,MATCH($B23,Fees!$A$4:$A$9,0))&gt;0,$D23&lt;INDEX(Fees!$H$4:$H$9,MATCH($B23,Fees!$A$4:$A$9,0))),INDEX(Fees!$I$4:$I$9,MATCH($B23,Fees!$A$4:$A$9,0)),($D23+IF(INDEX(Fees!$G$4:$G$9,MATCH($B23,Fees!$A$4:$A$9,0))="Y",$E23,0))*INDEX(Fees!$B$4:$B$9,MATCH($B23,Fees!$A$4:$A$9,0))+IF(AND(INDEX(Fees!$E$4:$E$9,MATCH($B23,Fees!$A$4:$A$9,0))&gt;0,$D23&lt;=INDEX(Fees!$E$4:$E$9,MATCH($B23,Fees!$A$4:$A$9,0))),INDEX(Fees!$D$4:$D$9,MATCH($B23,Fees!$A$4:$A$9,0)),INDEX(Fees!$C$4:$C$9,MATCH($B23,Fees!$A$4:$A$9,0)))+($D23+IF(INDEX(Fees!$G$4:$G$9,MATCH($B23,Fees!$A$4:$A$9,0))="Y",$E23,0))*INDEX(Fees!$F$4:$F$9,MATCH($B23,Fees!$A$4:$A$9,0))),INDEX(Fees!$J$4:$J$9,MATCH($B23,Fees!$A$4:$A$9,0))))</f>
        <v/>
      </c>
      <c r="I23" s="13" t="str">
        <f aca="false">IF($B23="","",$D23+$E23-$H23)</f>
        <v/>
      </c>
      <c r="J23" s="28" t="str">
        <f aca="false">IF($B23="","",$I23-($C23+$F23+$G23))</f>
        <v/>
      </c>
      <c r="K23" s="14" t="str">
        <f aca="false">IF(OR($B23="",($C23+$F23+$G23)&lt;=0),"",$J23/($C23+$F23+$G23))</f>
        <v/>
      </c>
    </row>
    <row r="25" customFormat="false" ht="15" hidden="false" customHeight="false" outlineLevel="0" collapsed="false">
      <c r="A25" s="21" t="s">
        <v>95</v>
      </c>
      <c r="J25" s="29" t="n">
        <f aca="false">SUM(J4:J23)</f>
        <v>19.48</v>
      </c>
    </row>
  </sheetData>
  <conditionalFormatting sqref="A4:K23">
    <cfRule type="expression" priority="2" aboveAverage="0" equalAverage="0" bottom="0" percent="0" rank="0" text="" dxfId="0">
      <formula>AND($B4&lt;&gt;"",$J4&lt;0)</formula>
    </cfRule>
  </conditionalFormatting>
  <dataValidations count="1">
    <dataValidation allowBlank="true" errorStyle="stop" operator="between" showDropDown="false" showErrorMessage="false" showInputMessage="false" sqref="B4:B23" type="list">
      <formula1>"eBay,Poshmark,Mercari,Depop,Facebook Marketplace,Other / edit me"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2026-09-22T07:23:43Z</dcterms:created>
  <dc:creator>openpyxl</dc:creator>
  <dc:description/>
  <dc:language>en-US</dc:language>
  <cp:lastModifiedBy/>
  <dcterms:modified xsi:type="dcterms:W3CDTF">2026-09-22T07:23:43Z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