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Calculator" sheetId="2" state="visible" r:id="rId4"/>
    <sheet name="Fees" sheetId="3" state="visible" r:id="rId5"/>
    <sheet name="Batch (20 item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<sst xmlns="http://schemas.openxmlformats.org/spreadsheetml/2006/main" count="109" uniqueCount="94">
  <si>
    <t xml:space="preserve">Reseller profit-after-fees calculator 2026</t>
  </si>
  <si>
    <t xml:space="preserve">Free. eBay · Poshmark · Mercari · Depop · Facebook Marketplace</t>
  </si>
  <si>
    <t xml:space="preserve">WHAT THIS DOES</t>
  </si>
  <si>
    <t xml:space="preserve">One item, every platform</t>
  </si>
  <si>
    <t xml:space="preserve">Type an item's cost, price and shipping into the Calculator sheet once. It shows the fee, what you receive, your profit and your ROI on every marketplace at the same time, and names the one that pays most. A row turns red when you would lose money.</t>
  </si>
  <si>
    <t xml:space="preserve">20 at a time</t>
  </si>
  <si>
    <t xml:space="preserve">The 'Batch (20 items)' sheet does the same maths one row per item, with a dropdown to pick the marketplace per row.</t>
  </si>
  <si>
    <t xml:space="preserve">BEFORE YOU TRUST A NUMBER</t>
  </si>
  <si>
    <t xml:space="preserve">Check the rates</t>
  </si>
  <si>
    <t xml:space="preserve">Marketplaces change fees without much notice, and a stale rate quietly distorts every figure here. The Fees sheet carries a 'Rates last checked' date per row. eBay, Poshmark and Mercari were verified on 10 September 2026. Depop and Facebook Marketplace say 'not re-verified' in red — that is the honest state of those two rows. Five minutes on each platform's fee page and you can fix them yourself; everything recalculates.</t>
  </si>
  <si>
    <t xml:space="preserve">Buyer-paid shipping</t>
  </si>
  <si>
    <t xml:space="preserve">Only enter shipping that actually lands in your payout. On Poshmark the buyer pays the label directly, so leave it at 0. On eBay it usually does reach you — and eBay charges its percentage on it, which this sheet accounts for.</t>
  </si>
  <si>
    <t xml:space="preserve">Not modelled</t>
  </si>
  <si>
    <t xml:space="preserve">Promoted listings, store subscriptions, international and advertising fees, and sales tax. Add anything like that to 'Other costs'.</t>
  </si>
  <si>
    <t xml:space="preserve">HOW TO OPEN IT</t>
  </si>
  <si>
    <t xml:space="preserve">Excel</t>
  </si>
  <si>
    <t xml:space="preserve">Excel 2016 or newer. No macros, nothing to enable.</t>
  </si>
  <si>
    <t xml:space="preserve">Google Sheets</t>
  </si>
  <si>
    <t xml:space="preserve">File → Import → Upload, then 'Replace spreadsheet'. Everything works.</t>
  </si>
  <si>
    <t xml:space="preserve">IF THIS IS USEFUL</t>
  </si>
  <si>
    <t xml:space="preserve">Rate it</t>
  </si>
  <si>
    <t xml:space="preserve">A rating on the Gumroad page is the single most useful thing you can give back — it is what lets anyone else find this. It costs you ten seconds.</t>
  </si>
  <si>
    <t xml:space="preserve">The full tracker</t>
  </si>
  <si>
    <t xml:space="preserve">This prices one item. The Reseller Inventory &amp; Profit Tracker 2026 runs the business: 500 inventory items with auto-generated SKUs, fees and ROI on every sale as you type, a death pile report for stale listings with suggested markdowns, dashboards for sell-through and best platform, and a Schedule-C-style tax summary at year end. $19, one file, no subscription. https://gum.co/u/ysjnz0ld</t>
  </si>
  <si>
    <t xml:space="preserve">DISCLAIMER</t>
  </si>
  <si>
    <t xml:space="preserve">Not tax or financial advice</t>
  </si>
  <si>
    <t xml:space="preserve">Fee rates are user-editable approximations. Verify them for your own account and region before making pricing decisions.</t>
  </si>
  <si>
    <t xml:space="preserve">Type your item into the blue cells once. Every marketplace is priced below, side by side.</t>
  </si>
  <si>
    <t xml:space="preserve">What you paid for the item</t>
  </si>
  <si>
    <t xml:space="preserve">Your cost of goods — the thrift/wholesale price.</t>
  </si>
  <si>
    <t xml:space="preserve">Sale price you plan to list at</t>
  </si>
  <si>
    <t xml:space="preserve">The item price the buyer pays, before shipping.</t>
  </si>
  <si>
    <t xml:space="preserve">Buyer-paid shipping YOU receive</t>
  </si>
  <si>
    <t xml:space="preserve">0 if you offer free shipping, or if the marketplace collects it and buys the label (Poshmark). Put the amount here only when it lands in your payout (typical on eBay).</t>
  </si>
  <si>
    <t xml:space="preserve">Your shipping cost (label + packaging)</t>
  </si>
  <si>
    <t xml:space="preserve">What the label and box/poly-mailer actually cost you. Enter it even when shipping is free to the buyer — it comes out of your pocket either way.</t>
  </si>
  <si>
    <t xml:space="preserve">Other costs on this item</t>
  </si>
  <si>
    <t xml:space="preserve">Cleaning, repair, gas share, supplies.</t>
  </si>
  <si>
    <t xml:space="preserve">What each marketplace leaves you</t>
  </si>
  <si>
    <t xml:space="preserve">Marketplace</t>
  </si>
  <si>
    <t xml:space="preserve">Fee</t>
  </si>
  <si>
    <t xml:space="preserve">Fee as % of what the buyer pays</t>
  </si>
  <si>
    <t xml:space="preserve">You receive</t>
  </si>
  <si>
    <t xml:space="preserve">Your total outlay</t>
  </si>
  <si>
    <t xml:space="preserve">PROFIT</t>
  </si>
  <si>
    <t xml:space="preserve">ROI</t>
  </si>
  <si>
    <t xml:space="preserve">Rates last checked</t>
  </si>
  <si>
    <t xml:space="preserve">Best marketplace for this item</t>
  </si>
  <si>
    <t xml:space="preserve">Profit there</t>
  </si>
  <si>
    <t xml:space="preserve">Worst on this list costs you</t>
  </si>
  <si>
    <t xml:space="preserve">…more than the best one, on this single item. That is the whole point of checking before you list.</t>
  </si>
  <si>
    <t xml:space="preserve">Promoted listings, store subscriptions, international/ad fees and sales tax are not modelled. Rates marked 'not re-verified' are approximations — open the Fees sheet and check them against the marketplace's own fee page.</t>
  </si>
  <si>
    <t xml:space="preserve">Tracking a whole business, not one item?</t>
  </si>
  <si>
    <t xml:space="preserve">This sheet prices one item at a time. The full Reseller Inventory &amp; Profit Tracker 2026 does the rest of the job: 500 items of inventory with auto SKUs, every sale's fees and ROI calculated as you type, a death-pile report for anything that has sat too long, sell-through and best-platform dashboards, and a Schedule-C-style tax summary at year end. $19, one file, no subscription — https://gum.co/u/ysjnz0ld</t>
  </si>
  <si>
    <t xml:space="preserve">Marketplace fee rates</t>
  </si>
  <si>
    <t xml:space="preserve">Blue cells are yours to edit. Every calculation on the Calculator sheet reads from here.</t>
  </si>
  <si>
    <t xml:space="preserve">Fee %</t>
  </si>
  <si>
    <t xml:space="preserve">Per-order fee $</t>
  </si>
  <si>
    <t xml:space="preserve">Per-order fee $ (small orders)</t>
  </si>
  <si>
    <t xml:space="preserve">Small order up to $</t>
  </si>
  <si>
    <t xml:space="preserve">Processing %</t>
  </si>
  <si>
    <t xml:space="preserve">Fee charged on buyer-paid shipping? (Y/N)</t>
  </si>
  <si>
    <t xml:space="preserve">Flat fee applies under $</t>
  </si>
  <si>
    <t xml:space="preserve">Flat fee $</t>
  </si>
  <si>
    <t xml:space="preserve">Minimum fee $</t>
  </si>
  <si>
    <t xml:space="preserve">Notes — check against the marketplace's own fee page</t>
  </si>
  <si>
    <t xml:space="preserve">eBay</t>
  </si>
  <si>
    <t xml:space="preserve">Y</t>
  </si>
  <si>
    <t xml:space="preserve">2026-09-10</t>
  </si>
  <si>
    <t xml:space="preserve">Final value fee 13.6% of the total (item + buyer-paid shipping + handling) plus $0.40 per order, or $0.30 on orders of $10 or less. Most categories; books/media and some others differ.</t>
  </si>
  <si>
    <t xml:space="preserve">Poshmark</t>
  </si>
  <si>
    <t xml:space="preserve">N</t>
  </si>
  <si>
    <t xml:space="preserve">Flat $2.95 on sales under $15, otherwise 20% of the sale price. No separate processing fee. The buyer pays shipping directly, so leave 'buyer-paid shipping you receive' at 0.</t>
  </si>
  <si>
    <t xml:space="preserve">Mercari</t>
  </si>
  <si>
    <t xml:space="preserve">2026-09-16</t>
  </si>
  <si>
    <t xml:space="preserve">Flat 10% on item + buyer-paid shipping. The old 2.9% + $0.50 seller processing fee was removed on 6 Jan 2025; buyers now pay a 3.6% Buyer Protection fee instead. NOT in this row: Mercari charges $2.00 to send a standard direct-deposit payout ($3.00 for Instant Pay). That is per payout, not per sale, so it is not a per-item fee - if you cash out once a month it is $2 across every sale that month, and if you cash out per sale it is $2 on each. Nowhere else in this sheet charges you to be paid.</t>
  </si>
  <si>
    <t xml:space="preserve">Depop</t>
  </si>
  <si>
    <t xml:space="preserve">2026-09-11</t>
  </si>
  <si>
    <t xml:space="preserve">No US selling commission since 2024 - it moved to the buyer. What remains on the seller is 3.3% + $0.45 payment processing, charged on item + shipping + tax. An optional Boosted Listing costs 12% on top if you use one; this row does not include it.</t>
  </si>
  <si>
    <t xml:space="preserve">Facebook Marketplace</t>
  </si>
  <si>
    <t xml:space="preserve">10% of the buyer's total (item + the shipping you charge + the sales tax Meta collects), minimum $0.80 per order. Raised from 5% / $0.40 on 15 April 2024. Local pickup sales have no selling fee at all - price those with the 'Other' row set to 0%.</t>
  </si>
  <si>
    <t xml:space="preserve">Other / edit me</t>
  </si>
  <si>
    <t xml:space="preserve">n/a</t>
  </si>
  <si>
    <t xml:space="preserve">Blank slot — put any other marketplace's rates here.</t>
  </si>
  <si>
    <t xml:space="preserve">Price 20 items at once</t>
  </si>
  <si>
    <t xml:space="preserve">Pick a marketplace per row. Same maths as the Calculator sheet, one row per item.</t>
  </si>
  <si>
    <t xml:space="preserve">Item</t>
  </si>
  <si>
    <t xml:space="preserve">Item cost $</t>
  </si>
  <si>
    <t xml:space="preserve">Sale price $</t>
  </si>
  <si>
    <t xml:space="preserve">Buyer-paid shipping you receive $</t>
  </si>
  <si>
    <t xml:space="preserve">Your shipping cost $</t>
  </si>
  <si>
    <t xml:space="preserve">Other costs $</t>
  </si>
  <si>
    <t xml:space="preserve">Example: Patagonia fleece</t>
  </si>
  <si>
    <t xml:space="preserve">TOTAL</t>
  </si>
</sst>
</file>

<file path=xl/styles.xml><?xml version="1.0" encoding="utf-8"?>
<styleSheet xmlns="http://schemas.openxmlformats.org/spreadsheetml/2006/main">
  <numFmts count="3">
    <numFmt numFmtId="164" formatCode="General"/>
    <numFmt numFmtId="165" formatCode="\$#,##0.00;&quot;($&quot;#,##0.00\);\-"/>
    <numFmt numFmtId="166" formatCode="0.0%"/>
  </numFmts>
  <fonts count="21">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9"/>
      <color rgb="FF666666"/>
      <name val="Arial"/>
      <family val="0"/>
      <charset val="1"/>
    </font>
    <font>
      <b val="true"/>
      <sz val="11"/>
      <color rgb="FFFFFFFF"/>
      <name val="Arial"/>
      <family val="0"/>
      <charset val="1"/>
    </font>
    <font>
      <b val="true"/>
      <sz val="10"/>
      <color rgb="FF1F3A5F"/>
      <name val="Arial"/>
      <family val="0"/>
      <charset val="1"/>
    </font>
    <font>
      <sz val="10"/>
      <name val="Arial"/>
      <family val="0"/>
      <charset val="1"/>
    </font>
    <font>
      <b val="true"/>
      <sz val="10"/>
      <name val="Arial"/>
      <family val="0"/>
      <charset val="1"/>
    </font>
    <font>
      <b val="true"/>
      <sz val="11"/>
      <color rgb="FF0000FF"/>
      <name val="Arial"/>
      <family val="0"/>
      <charset val="1"/>
    </font>
    <font>
      <sz val="9"/>
      <color rgb="FF666666"/>
      <name val="Arial"/>
      <family val="0"/>
      <charset val="1"/>
    </font>
    <font>
      <b val="true"/>
      <sz val="12"/>
      <color rgb="FF1F3A5F"/>
      <name val="Arial"/>
      <family val="0"/>
      <charset val="1"/>
    </font>
    <font>
      <b val="true"/>
      <sz val="10"/>
      <color rgb="FFFFFFFF"/>
      <name val="Arial"/>
      <family val="0"/>
      <charset val="1"/>
    </font>
    <font>
      <b val="true"/>
      <sz val="11"/>
      <name val="Arial"/>
      <family val="0"/>
      <charset val="1"/>
    </font>
    <font>
      <b val="true"/>
      <sz val="12"/>
      <color rgb="FF006100"/>
      <name val="Arial"/>
      <family val="0"/>
      <charset val="1"/>
    </font>
    <font>
      <b val="true"/>
      <sz val="11"/>
      <color rgb="FF006100"/>
      <name val="Arial"/>
      <family val="0"/>
      <charset val="1"/>
    </font>
    <font>
      <b val="true"/>
      <sz val="11"/>
      <color rgb="FFC00000"/>
      <name val="Arial"/>
      <family val="0"/>
      <charset val="1"/>
    </font>
    <font>
      <b val="true"/>
      <sz val="11"/>
      <color rgb="FF1F3A5F"/>
      <name val="Arial"/>
      <family val="0"/>
      <charset val="1"/>
    </font>
    <font>
      <sz val="10"/>
      <color rgb="FF0000FF"/>
      <name val="Arial"/>
      <family val="0"/>
      <charset val="1"/>
    </font>
    <font>
      <b val="true"/>
      <sz val="10"/>
      <color rgb="FF006100"/>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E9EEF5"/>
        <bgColor rgb="FFFFFFFF"/>
      </patternFill>
    </fill>
  </fills>
  <borders count="2">
    <border diagonalUp="false" diagonalDown="false">
      <left/>
      <right/>
      <top/>
      <bottom/>
      <diagonal/>
    </border>
    <border diagonalUp="false" diagonalDown="false">
      <left style="thin">
        <color rgb="FFBFC7D1"/>
      </left>
      <right style="thin">
        <color rgb="FFBFC7D1"/>
      </right>
      <top style="thin">
        <color rgb="FFBFC7D1"/>
      </top>
      <bottom style="thin">
        <color rgb="FFBFC7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3"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6"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6" fontId="19" fillId="0" borderId="1" xfId="0" applyFont="true" applyBorder="true" applyAlignment="false" applyProtection="false">
      <alignment horizontal="general" vertical="bottom" textRotation="0" wrapText="false" indent="0" shrinkToFit="false"/>
      <protection locked="true" hidden="false"/>
    </xf>
    <xf numFmtId="165" fontId="19"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Arial"/>
        <charset val="1"/>
        <family val="0"/>
        <color rgb="FF9C0006"/>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6100"/>
      <rgbColor rgb="FF000080"/>
      <rgbColor rgb="FF808000"/>
      <rgbColor rgb="FF800080"/>
      <rgbColor rgb="FF008080"/>
      <rgbColor rgb="FFBFC7D1"/>
      <rgbColor rgb="FF808080"/>
      <rgbColor rgb="FF9999FF"/>
      <rgbColor rgb="FF993366"/>
      <rgbColor rgb="FFFFFFCC"/>
      <rgbColor rgb="FFE9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66"/>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08"/>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A5" s="5" t="s">
        <v>3</v>
      </c>
      <c r="B5" s="6" t="s">
        <v>4</v>
      </c>
    </row>
    <row r="6" customFormat="false" ht="15" hidden="false" customHeight="false" outlineLevel="0" collapsed="false">
      <c r="A6" s="5" t="s">
        <v>5</v>
      </c>
      <c r="B6" s="6" t="s">
        <v>6</v>
      </c>
    </row>
    <row r="7" customFormat="false" ht="15" hidden="false" customHeight="false" outlineLevel="0" collapsed="false">
      <c r="A7" s="5"/>
      <c r="B7" s="6"/>
    </row>
    <row r="8" customFormat="false" ht="15" hidden="false" customHeight="false" outlineLevel="0" collapsed="false">
      <c r="A8" s="3" t="s">
        <v>7</v>
      </c>
      <c r="B8" s="4"/>
    </row>
    <row r="9" customFormat="false" ht="35.05" hidden="false" customHeight="false" outlineLevel="0" collapsed="false">
      <c r="A9" s="5" t="s">
        <v>8</v>
      </c>
      <c r="B9" s="6" t="s">
        <v>9</v>
      </c>
    </row>
    <row r="10" customFormat="false" ht="23.85" hidden="false" customHeight="false" outlineLevel="0" collapsed="false">
      <c r="A10" s="5" t="s">
        <v>10</v>
      </c>
      <c r="B10" s="6" t="s">
        <v>11</v>
      </c>
    </row>
    <row r="11" customFormat="false" ht="15" hidden="false" customHeight="false" outlineLevel="0" collapsed="false">
      <c r="A11" s="5" t="s">
        <v>12</v>
      </c>
      <c r="B11" s="6" t="s">
        <v>13</v>
      </c>
    </row>
    <row r="12" customFormat="false" ht="15" hidden="false" customHeight="false" outlineLevel="0" collapsed="false">
      <c r="A12" s="5"/>
      <c r="B12" s="6"/>
    </row>
    <row r="13" customFormat="false" ht="15" hidden="false" customHeight="false" outlineLevel="0" collapsed="false">
      <c r="A13" s="3" t="s">
        <v>14</v>
      </c>
      <c r="B13" s="4"/>
    </row>
    <row r="14" customFormat="false" ht="15" hidden="false" customHeight="false" outlineLevel="0" collapsed="false">
      <c r="A14" s="5" t="s">
        <v>15</v>
      </c>
      <c r="B14" s="6" t="s">
        <v>16</v>
      </c>
    </row>
    <row r="15" customFormat="false" ht="15" hidden="false" customHeight="false" outlineLevel="0" collapsed="false">
      <c r="A15" s="5" t="s">
        <v>17</v>
      </c>
      <c r="B15" s="6" t="s">
        <v>18</v>
      </c>
    </row>
    <row r="16" customFormat="false" ht="15" hidden="false" customHeight="false" outlineLevel="0" collapsed="false">
      <c r="A16" s="5"/>
      <c r="B16" s="6"/>
    </row>
    <row r="17" customFormat="false" ht="15" hidden="false" customHeight="false" outlineLevel="0" collapsed="false">
      <c r="A17" s="3" t="s">
        <v>19</v>
      </c>
      <c r="B17" s="4"/>
    </row>
    <row r="18" customFormat="false" ht="15" hidden="false" customHeight="false" outlineLevel="0" collapsed="false">
      <c r="A18" s="5" t="s">
        <v>20</v>
      </c>
      <c r="B18" s="6" t="s">
        <v>21</v>
      </c>
    </row>
    <row r="19" customFormat="false" ht="35.05" hidden="false" customHeight="false" outlineLevel="0" collapsed="false">
      <c r="A19" s="5" t="s">
        <v>22</v>
      </c>
      <c r="B19" s="6" t="s">
        <v>23</v>
      </c>
    </row>
    <row r="20" customFormat="false" ht="15" hidden="false" customHeight="false" outlineLevel="0" collapsed="false">
      <c r="A20" s="5"/>
      <c r="B20" s="6"/>
    </row>
    <row r="21" customFormat="false" ht="15" hidden="false" customHeight="false" outlineLevel="0" collapsed="false">
      <c r="A21" s="3" t="s">
        <v>24</v>
      </c>
      <c r="B21" s="4"/>
    </row>
    <row r="22" customFormat="false" ht="15" hidden="false" customHeight="false" outlineLevel="0" collapsed="false">
      <c r="A22" s="5" t="s">
        <v>25</v>
      </c>
      <c r="B22" s="6"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3" min="2" style="0" width="16"/>
    <col collapsed="false" customWidth="true" hidden="false" outlineLevel="0" max="4" min="4" style="0" width="14"/>
    <col collapsed="false" customWidth="true" hidden="false" outlineLevel="0" max="5" min="5" style="0" width="15"/>
    <col collapsed="false" customWidth="true" hidden="false" outlineLevel="0" max="6" min="6" style="0" width="14"/>
    <col collapsed="false" customWidth="true" hidden="false" outlineLevel="0" max="7" min="7" style="0" width="10"/>
    <col collapsed="false" customWidth="true" hidden="false" outlineLevel="0" max="8" min="8" style="0" width="16"/>
  </cols>
  <sheetData>
    <row r="1" customFormat="false" ht="19.7" hidden="false" customHeight="false" outlineLevel="0" collapsed="false">
      <c r="A1" s="1" t="s">
        <v>0</v>
      </c>
    </row>
    <row r="2" customFormat="false" ht="15" hidden="false" customHeight="false" outlineLevel="0" collapsed="false">
      <c r="A2" s="2" t="s">
        <v>27</v>
      </c>
    </row>
    <row r="4" customFormat="false" ht="30" hidden="false" customHeight="true" outlineLevel="0" collapsed="false">
      <c r="A4" s="7" t="s">
        <v>28</v>
      </c>
      <c r="B4" s="8" t="n">
        <v>12</v>
      </c>
      <c r="C4" s="9" t="s">
        <v>29</v>
      </c>
      <c r="D4" s="9"/>
      <c r="E4" s="9"/>
      <c r="F4" s="9"/>
      <c r="G4" s="9"/>
      <c r="H4" s="9"/>
    </row>
    <row r="5" customFormat="false" ht="30" hidden="false" customHeight="true" outlineLevel="0" collapsed="false">
      <c r="A5" s="7" t="s">
        <v>30</v>
      </c>
      <c r="B5" s="8" t="n">
        <v>45</v>
      </c>
      <c r="C5" s="9" t="s">
        <v>31</v>
      </c>
      <c r="D5" s="9"/>
      <c r="E5" s="9"/>
      <c r="F5" s="9"/>
      <c r="G5" s="9"/>
      <c r="H5" s="9"/>
    </row>
    <row r="6" customFormat="false" ht="30" hidden="false" customHeight="true" outlineLevel="0" collapsed="false">
      <c r="A6" s="7" t="s">
        <v>32</v>
      </c>
      <c r="B6" s="8" t="n">
        <v>0</v>
      </c>
      <c r="C6" s="9" t="s">
        <v>33</v>
      </c>
      <c r="D6" s="9"/>
      <c r="E6" s="9"/>
      <c r="F6" s="9"/>
      <c r="G6" s="9"/>
      <c r="H6" s="9"/>
    </row>
    <row r="7" customFormat="false" ht="30" hidden="false" customHeight="true" outlineLevel="0" collapsed="false">
      <c r="A7" s="7" t="s">
        <v>34</v>
      </c>
      <c r="B7" s="8" t="n">
        <v>6.5</v>
      </c>
      <c r="C7" s="9" t="s">
        <v>35</v>
      </c>
      <c r="D7" s="9"/>
      <c r="E7" s="9"/>
      <c r="F7" s="9"/>
      <c r="G7" s="9"/>
      <c r="H7" s="9"/>
    </row>
    <row r="8" customFormat="false" ht="30" hidden="false" customHeight="true" outlineLevel="0" collapsed="false">
      <c r="A8" s="7" t="s">
        <v>36</v>
      </c>
      <c r="B8" s="8" t="n">
        <v>0.5</v>
      </c>
      <c r="C8" s="9" t="s">
        <v>37</v>
      </c>
      <c r="D8" s="9"/>
      <c r="E8" s="9"/>
      <c r="F8" s="9"/>
      <c r="G8" s="9"/>
      <c r="H8" s="9"/>
    </row>
    <row r="10" customFormat="false" ht="15" hidden="false" customHeight="false" outlineLevel="0" collapsed="false">
      <c r="A10" s="10" t="s">
        <v>38</v>
      </c>
    </row>
    <row r="11" customFormat="false" ht="33.75" hidden="false" customHeight="true" outlineLevel="0" collapsed="false">
      <c r="A11" s="11" t="s">
        <v>39</v>
      </c>
      <c r="B11" s="11" t="s">
        <v>40</v>
      </c>
      <c r="C11" s="11" t="s">
        <v>41</v>
      </c>
      <c r="D11" s="11" t="s">
        <v>42</v>
      </c>
      <c r="E11" s="11" t="s">
        <v>43</v>
      </c>
      <c r="F11" s="11" t="s">
        <v>44</v>
      </c>
      <c r="G11" s="11" t="s">
        <v>45</v>
      </c>
      <c r="H11" s="11" t="s">
        <v>46</v>
      </c>
    </row>
    <row r="12" customFormat="false" ht="15" hidden="false" customHeight="false" outlineLevel="0" collapsed="false">
      <c r="A12" s="12" t="str">
        <f aca="false">Fees!$A$4</f>
        <v>eBay</v>
      </c>
      <c r="B12" s="13" t="n">
        <f aca="false">MAX(IF(AND(Fees!$H$4&gt;0,$B$5&lt;Fees!$H$4),Fees!$I$4,($B$5+IF(Fees!$G$4="Y",$B$6,0))*Fees!$B$4+IF(AND(Fees!$E$4&gt;0,$B$5&lt;=Fees!$E$4),Fees!$D$4,Fees!$C$4)+($B$5+IF(Fees!$G$4="Y",$B$6,0))*Fees!$F$4),Fees!$J$4)</f>
        <v>6.52</v>
      </c>
      <c r="C12" s="14" t="n">
        <f aca="false">IF(($B$5+$B$6)&lt;=0,"-",B12/($B$5+$B$6))</f>
        <v>0.144888888888889</v>
      </c>
      <c r="D12" s="13" t="n">
        <f aca="false">$B$5+$B$6-B12</f>
        <v>38.48</v>
      </c>
      <c r="E12" s="13" t="n">
        <f aca="false">($B$4+$B$7+$B$8)</f>
        <v>19</v>
      </c>
      <c r="F12" s="15" t="n">
        <f aca="false">D12-E12</f>
        <v>19.48</v>
      </c>
      <c r="G12" s="14" t="n">
        <f aca="false">IF(($B$4+$B$7+$B$8)&lt;=0,"-",F12/($B$4+$B$7+$B$8))</f>
        <v>1.02526315789474</v>
      </c>
      <c r="H12" s="16" t="str">
        <f aca="false">Fees!$K$4</f>
        <v>2026-09-10</v>
      </c>
    </row>
    <row r="13" customFormat="false" ht="15" hidden="false" customHeight="false" outlineLevel="0" collapsed="false">
      <c r="A13" s="12" t="str">
        <f aca="false">Fees!$A$5</f>
        <v>Poshmark</v>
      </c>
      <c r="B13" s="13" t="n">
        <f aca="false">MAX(IF(AND(Fees!$H$5&gt;0,$B$5&lt;Fees!$H$5),Fees!$I$5,($B$5+IF(Fees!$G$5="Y",$B$6,0))*Fees!$B$5+IF(AND(Fees!$E$5&gt;0,$B$5&lt;=Fees!$E$5),Fees!$D$5,Fees!$C$5)+($B$5+IF(Fees!$G$5="Y",$B$6,0))*Fees!$F$5),Fees!$J$5)</f>
        <v>9</v>
      </c>
      <c r="C13" s="14" t="n">
        <f aca="false">IF(($B$5+$B$6)&lt;=0,"-",B13/($B$5+$B$6))</f>
        <v>0.2</v>
      </c>
      <c r="D13" s="13" t="n">
        <f aca="false">$B$5+$B$6-B13</f>
        <v>36</v>
      </c>
      <c r="E13" s="13" t="n">
        <f aca="false">($B$4+$B$7+$B$8)</f>
        <v>19</v>
      </c>
      <c r="F13" s="15" t="n">
        <f aca="false">D13-E13</f>
        <v>17</v>
      </c>
      <c r="G13" s="14" t="n">
        <f aca="false">IF(($B$4+$B$7+$B$8)&lt;=0,"-",F13/($B$4+$B$7+$B$8))</f>
        <v>0.894736842105263</v>
      </c>
      <c r="H13" s="16" t="str">
        <f aca="false">Fees!$K$5</f>
        <v>2026-09-10</v>
      </c>
    </row>
    <row r="14" customFormat="false" ht="15" hidden="false" customHeight="false" outlineLevel="0" collapsed="false">
      <c r="A14" s="12" t="str">
        <f aca="false">Fees!$A$6</f>
        <v>Mercari</v>
      </c>
      <c r="B14" s="13" t="n">
        <f aca="false">MAX(IF(AND(Fees!$H$6&gt;0,$B$5&lt;Fees!$H$6),Fees!$I$6,($B$5+IF(Fees!$G$6="Y",$B$6,0))*Fees!$B$6+IF(AND(Fees!$E$6&gt;0,$B$5&lt;=Fees!$E$6),Fees!$D$6,Fees!$C$6)+($B$5+IF(Fees!$G$6="Y",$B$6,0))*Fees!$F$6),Fees!$J$6)</f>
        <v>4.5</v>
      </c>
      <c r="C14" s="14" t="n">
        <f aca="false">IF(($B$5+$B$6)&lt;=0,"-",B14/($B$5+$B$6))</f>
        <v>0.1</v>
      </c>
      <c r="D14" s="13" t="n">
        <f aca="false">$B$5+$B$6-B14</f>
        <v>40.5</v>
      </c>
      <c r="E14" s="13" t="n">
        <f aca="false">($B$4+$B$7+$B$8)</f>
        <v>19</v>
      </c>
      <c r="F14" s="15" t="n">
        <f aca="false">D14-E14</f>
        <v>21.5</v>
      </c>
      <c r="G14" s="14" t="n">
        <f aca="false">IF(($B$4+$B$7+$B$8)&lt;=0,"-",F14/($B$4+$B$7+$B$8))</f>
        <v>1.13157894736842</v>
      </c>
      <c r="H14" s="16" t="str">
        <f aca="false">Fees!$K$6</f>
        <v>2026-09-16</v>
      </c>
    </row>
    <row r="15" customFormat="false" ht="15" hidden="false" customHeight="false" outlineLevel="0" collapsed="false">
      <c r="A15" s="12" t="str">
        <f aca="false">Fees!$A$7</f>
        <v>Depop</v>
      </c>
      <c r="B15" s="13" t="n">
        <f aca="false">MAX(IF(AND(Fees!$H$7&gt;0,$B$5&lt;Fees!$H$7),Fees!$I$7,($B$5+IF(Fees!$G$7="Y",$B$6,0))*Fees!$B$7+IF(AND(Fees!$E$7&gt;0,$B$5&lt;=Fees!$E$7),Fees!$D$7,Fees!$C$7)+($B$5+IF(Fees!$G$7="Y",$B$6,0))*Fees!$F$7),Fees!$J$7)</f>
        <v>1.935</v>
      </c>
      <c r="C15" s="14" t="n">
        <f aca="false">IF(($B$5+$B$6)&lt;=0,"-",B15/($B$5+$B$6))</f>
        <v>0.043</v>
      </c>
      <c r="D15" s="13" t="n">
        <f aca="false">$B$5+$B$6-B15</f>
        <v>43.065</v>
      </c>
      <c r="E15" s="13" t="n">
        <f aca="false">($B$4+$B$7+$B$8)</f>
        <v>19</v>
      </c>
      <c r="F15" s="15" t="n">
        <f aca="false">D15-E15</f>
        <v>24.065</v>
      </c>
      <c r="G15" s="14" t="n">
        <f aca="false">IF(($B$4+$B$7+$B$8)&lt;=0,"-",F15/($B$4+$B$7+$B$8))</f>
        <v>1.26657894736842</v>
      </c>
      <c r="H15" s="16" t="str">
        <f aca="false">Fees!$K$7</f>
        <v>2026-09-11</v>
      </c>
    </row>
    <row r="16" customFormat="false" ht="15" hidden="false" customHeight="false" outlineLevel="0" collapsed="false">
      <c r="A16" s="12" t="str">
        <f aca="false">Fees!$A$8</f>
        <v>Facebook Marketplace</v>
      </c>
      <c r="B16" s="13" t="n">
        <f aca="false">MAX(IF(AND(Fees!$H$8&gt;0,$B$5&lt;Fees!$H$8),Fees!$I$8,($B$5+IF(Fees!$G$8="Y",$B$6,0))*Fees!$B$8+IF(AND(Fees!$E$8&gt;0,$B$5&lt;=Fees!$E$8),Fees!$D$8,Fees!$C$8)+($B$5+IF(Fees!$G$8="Y",$B$6,0))*Fees!$F$8),Fees!$J$8)</f>
        <v>4.5</v>
      </c>
      <c r="C16" s="14" t="n">
        <f aca="false">IF(($B$5+$B$6)&lt;=0,"-",B16/($B$5+$B$6))</f>
        <v>0.1</v>
      </c>
      <c r="D16" s="13" t="n">
        <f aca="false">$B$5+$B$6-B16</f>
        <v>40.5</v>
      </c>
      <c r="E16" s="13" t="n">
        <f aca="false">($B$4+$B$7+$B$8)</f>
        <v>19</v>
      </c>
      <c r="F16" s="15" t="n">
        <f aca="false">D16-E16</f>
        <v>21.5</v>
      </c>
      <c r="G16" s="14" t="n">
        <f aca="false">IF(($B$4+$B$7+$B$8)&lt;=0,"-",F16/($B$4+$B$7+$B$8))</f>
        <v>1.13157894736842</v>
      </c>
      <c r="H16" s="16" t="str">
        <f aca="false">Fees!$K$8</f>
        <v>2026-09-11</v>
      </c>
    </row>
    <row r="17" customFormat="false" ht="15" hidden="false" customHeight="false" outlineLevel="0" collapsed="false">
      <c r="A17" s="12" t="str">
        <f aca="false">Fees!$A$9</f>
        <v>Other / edit me</v>
      </c>
      <c r="B17" s="13" t="n">
        <f aca="false">MAX(IF(AND(Fees!$H$9&gt;0,$B$5&lt;Fees!$H$9),Fees!$I$9,($B$5+IF(Fees!$G$9="Y",$B$6,0))*Fees!$B$9+IF(AND(Fees!$E$9&gt;0,$B$5&lt;=Fees!$E$9),Fees!$D$9,Fees!$C$9)+($B$5+IF(Fees!$G$9="Y",$B$6,0))*Fees!$F$9),Fees!$J$9)</f>
        <v>4.5</v>
      </c>
      <c r="C17" s="14" t="n">
        <f aca="false">IF(($B$5+$B$6)&lt;=0,"-",B17/($B$5+$B$6))</f>
        <v>0.1</v>
      </c>
      <c r="D17" s="13" t="n">
        <f aca="false">$B$5+$B$6-B17</f>
        <v>40.5</v>
      </c>
      <c r="E17" s="13" t="n">
        <f aca="false">($B$4+$B$7+$B$8)</f>
        <v>19</v>
      </c>
      <c r="F17" s="15" t="n">
        <f aca="false">D17-E17</f>
        <v>21.5</v>
      </c>
      <c r="G17" s="14" t="n">
        <f aca="false">IF(($B$4+$B$7+$B$8)&lt;=0,"-",F17/($B$4+$B$7+$B$8))</f>
        <v>1.13157894736842</v>
      </c>
      <c r="H17" s="16" t="str">
        <f aca="false">Fees!$K$9</f>
        <v>n/a</v>
      </c>
    </row>
    <row r="19" customFormat="false" ht="15" hidden="false" customHeight="false" outlineLevel="0" collapsed="false">
      <c r="A19" s="10" t="s">
        <v>47</v>
      </c>
      <c r="B19" s="17" t="str">
        <f aca="false">INDEX(A12:A17,MATCH(MAX(F12:F17),F12:F17,0))</f>
        <v>Depop</v>
      </c>
    </row>
    <row r="20" customFormat="false" ht="15" hidden="false" customHeight="false" outlineLevel="0" collapsed="false">
      <c r="A20" s="7" t="s">
        <v>48</v>
      </c>
      <c r="B20" s="18" t="n">
        <f aca="false">MAX(F12:F17)</f>
        <v>24.065</v>
      </c>
    </row>
    <row r="21" customFormat="false" ht="15" hidden="false" customHeight="false" outlineLevel="0" collapsed="false">
      <c r="A21" s="7" t="s">
        <v>49</v>
      </c>
      <c r="B21" s="19" t="n">
        <f aca="false">MAX(F12:F17)-MIN(F12:F17)</f>
        <v>7.065</v>
      </c>
      <c r="C21" s="2" t="s">
        <v>50</v>
      </c>
    </row>
    <row r="23" customFormat="false" ht="15" hidden="false" customHeight="false" outlineLevel="0" collapsed="false">
      <c r="A23" s="20" t="s">
        <v>51</v>
      </c>
      <c r="B23" s="20"/>
      <c r="C23" s="20"/>
      <c r="D23" s="20"/>
      <c r="E23" s="20"/>
      <c r="F23" s="20"/>
      <c r="G23" s="20"/>
      <c r="H23" s="20"/>
    </row>
    <row r="25" customFormat="false" ht="15" hidden="false" customHeight="false" outlineLevel="0" collapsed="false">
      <c r="A25" s="21" t="s">
        <v>52</v>
      </c>
    </row>
    <row r="26" customFormat="false" ht="57.75" hidden="false" customHeight="true" outlineLevel="0" collapsed="false">
      <c r="A26" s="22" t="s">
        <v>53</v>
      </c>
      <c r="B26" s="22"/>
      <c r="C26" s="22"/>
      <c r="D26" s="22"/>
      <c r="E26" s="22"/>
      <c r="F26" s="22"/>
      <c r="G26" s="22"/>
      <c r="H26" s="22"/>
    </row>
  </sheetData>
  <mergeCells count="7">
    <mergeCell ref="C4:H4"/>
    <mergeCell ref="C5:H5"/>
    <mergeCell ref="C6:H6"/>
    <mergeCell ref="C7:H7"/>
    <mergeCell ref="C8:H8"/>
    <mergeCell ref="A23:H23"/>
    <mergeCell ref="A26:H26"/>
  </mergeCells>
  <conditionalFormatting sqref="A12:H17">
    <cfRule type="expression" priority="2" aboveAverage="0" equalAverage="0" bottom="0" percent="0" rank="0" text="" dxfId="0">
      <formula>$F12&lt;0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9"/>
    <col collapsed="false" customWidth="true" hidden="false" outlineLevel="0" max="3" min="3" style="0" width="13"/>
    <col collapsed="false" customWidth="true" hidden="false" outlineLevel="0" max="4" min="4" style="0" width="15"/>
    <col collapsed="false" customWidth="true" hidden="false" outlineLevel="0" max="5" min="5" style="0" width="14"/>
    <col collapsed="false" customWidth="true" hidden="false" outlineLevel="0" max="6" min="6" style="0" width="12"/>
    <col collapsed="false" customWidth="true" hidden="false" outlineLevel="0" max="7" min="7" style="0" width="16"/>
    <col collapsed="false" customWidth="true" hidden="false" outlineLevel="0" max="8" min="8" style="0" width="15"/>
    <col collapsed="false" customWidth="true" hidden="false" outlineLevel="0" max="9" min="9" style="0" width="11"/>
    <col collapsed="false" customWidth="true" hidden="false" outlineLevel="0" max="10" min="10" style="0" width="13"/>
    <col collapsed="false" customWidth="true" hidden="false" outlineLevel="0" max="11" min="11" style="0" width="15"/>
    <col collapsed="false" customWidth="true" hidden="false" outlineLevel="0" max="12" min="12" style="0" width="78"/>
  </cols>
  <sheetData>
    <row r="1" customFormat="false" ht="19.7" hidden="false" customHeight="false" outlineLevel="0" collapsed="false">
      <c r="A1" s="1" t="s">
        <v>54</v>
      </c>
    </row>
    <row r="2" customFormat="false" ht="15" hidden="false" customHeight="false" outlineLevel="0" collapsed="false">
      <c r="A2" s="2" t="s">
        <v>55</v>
      </c>
    </row>
    <row r="3" customFormat="false" ht="33.75" hidden="false" customHeight="true" outlineLevel="0" collapsed="false">
      <c r="A3" s="11" t="s">
        <v>39</v>
      </c>
      <c r="B3" s="11" t="s">
        <v>56</v>
      </c>
      <c r="C3" s="11" t="s">
        <v>57</v>
      </c>
      <c r="D3" s="11" t="s">
        <v>58</v>
      </c>
      <c r="E3" s="11" t="s">
        <v>59</v>
      </c>
      <c r="F3" s="11" t="s">
        <v>60</v>
      </c>
      <c r="G3" s="11" t="s">
        <v>61</v>
      </c>
      <c r="H3" s="11" t="s">
        <v>62</v>
      </c>
      <c r="I3" s="11" t="s">
        <v>63</v>
      </c>
      <c r="J3" s="11" t="s">
        <v>64</v>
      </c>
      <c r="K3" s="11" t="s">
        <v>46</v>
      </c>
      <c r="L3" s="11" t="s">
        <v>65</v>
      </c>
    </row>
    <row r="4" customFormat="false" ht="23.85" hidden="false" customHeight="false" outlineLevel="0" collapsed="false">
      <c r="A4" s="12" t="s">
        <v>66</v>
      </c>
      <c r="B4" s="23" t="n">
        <v>0.136</v>
      </c>
      <c r="C4" s="24" t="n">
        <v>0.4</v>
      </c>
      <c r="D4" s="24" t="n">
        <v>0.3</v>
      </c>
      <c r="E4" s="24" t="n">
        <v>10</v>
      </c>
      <c r="F4" s="23" t="n">
        <v>0</v>
      </c>
      <c r="G4" s="25" t="s">
        <v>67</v>
      </c>
      <c r="H4" s="24" t="n">
        <v>0</v>
      </c>
      <c r="I4" s="24" t="n">
        <v>0</v>
      </c>
      <c r="J4" s="24" t="n">
        <v>0</v>
      </c>
      <c r="K4" s="26" t="s">
        <v>68</v>
      </c>
      <c r="L4" s="27" t="s">
        <v>69</v>
      </c>
    </row>
    <row r="5" customFormat="false" ht="23.85" hidden="false" customHeight="false" outlineLevel="0" collapsed="false">
      <c r="A5" s="12" t="s">
        <v>70</v>
      </c>
      <c r="B5" s="23" t="n">
        <v>0.2</v>
      </c>
      <c r="C5" s="24" t="n">
        <v>0</v>
      </c>
      <c r="D5" s="24" t="n">
        <v>0</v>
      </c>
      <c r="E5" s="24" t="n">
        <v>0</v>
      </c>
      <c r="F5" s="23" t="n">
        <v>0</v>
      </c>
      <c r="G5" s="25" t="s">
        <v>71</v>
      </c>
      <c r="H5" s="24" t="n">
        <v>15</v>
      </c>
      <c r="I5" s="24" t="n">
        <v>2.95</v>
      </c>
      <c r="J5" s="24" t="n">
        <v>0</v>
      </c>
      <c r="K5" s="26" t="s">
        <v>68</v>
      </c>
      <c r="L5" s="27" t="s">
        <v>72</v>
      </c>
    </row>
    <row r="6" customFormat="false" ht="57.45" hidden="false" customHeight="false" outlineLevel="0" collapsed="false">
      <c r="A6" s="12" t="s">
        <v>73</v>
      </c>
      <c r="B6" s="23" t="n">
        <v>0.1</v>
      </c>
      <c r="C6" s="24" t="n">
        <v>0</v>
      </c>
      <c r="D6" s="24" t="n">
        <v>0</v>
      </c>
      <c r="E6" s="24" t="n">
        <v>0</v>
      </c>
      <c r="F6" s="23" t="n">
        <v>0</v>
      </c>
      <c r="G6" s="25" t="s">
        <v>67</v>
      </c>
      <c r="H6" s="24" t="n">
        <v>0</v>
      </c>
      <c r="I6" s="24" t="n">
        <v>0</v>
      </c>
      <c r="J6" s="24" t="n">
        <v>0</v>
      </c>
      <c r="K6" s="26" t="s">
        <v>74</v>
      </c>
      <c r="L6" s="27" t="s">
        <v>75</v>
      </c>
    </row>
    <row r="7" customFormat="false" ht="35.05" hidden="false" customHeight="false" outlineLevel="0" collapsed="false">
      <c r="A7" s="12" t="s">
        <v>76</v>
      </c>
      <c r="B7" s="23" t="n">
        <v>0</v>
      </c>
      <c r="C7" s="24" t="n">
        <v>0.45</v>
      </c>
      <c r="D7" s="24" t="n">
        <v>0.45</v>
      </c>
      <c r="E7" s="24" t="n">
        <v>0</v>
      </c>
      <c r="F7" s="23" t="n">
        <v>0.033</v>
      </c>
      <c r="G7" s="25" t="s">
        <v>67</v>
      </c>
      <c r="H7" s="24" t="n">
        <v>0</v>
      </c>
      <c r="I7" s="24" t="n">
        <v>0</v>
      </c>
      <c r="J7" s="24" t="n">
        <v>0</v>
      </c>
      <c r="K7" s="26" t="s">
        <v>77</v>
      </c>
      <c r="L7" s="27" t="s">
        <v>78</v>
      </c>
    </row>
    <row r="8" customFormat="false" ht="23.85" hidden="false" customHeight="false" outlineLevel="0" collapsed="false">
      <c r="A8" s="12" t="s">
        <v>79</v>
      </c>
      <c r="B8" s="23" t="n">
        <v>0.1</v>
      </c>
      <c r="C8" s="24" t="n">
        <v>0</v>
      </c>
      <c r="D8" s="24" t="n">
        <v>0</v>
      </c>
      <c r="E8" s="24" t="n">
        <v>0</v>
      </c>
      <c r="F8" s="23" t="n">
        <v>0</v>
      </c>
      <c r="G8" s="25" t="s">
        <v>67</v>
      </c>
      <c r="H8" s="24" t="n">
        <v>0</v>
      </c>
      <c r="I8" s="24" t="n">
        <v>0</v>
      </c>
      <c r="J8" s="24" t="n">
        <v>0.8</v>
      </c>
      <c r="K8" s="26" t="s">
        <v>77</v>
      </c>
      <c r="L8" s="27" t="s">
        <v>80</v>
      </c>
    </row>
    <row r="9" customFormat="false" ht="15" hidden="false" customHeight="false" outlineLevel="0" collapsed="false">
      <c r="A9" s="12" t="s">
        <v>81</v>
      </c>
      <c r="B9" s="23" t="n">
        <v>0.1</v>
      </c>
      <c r="C9" s="24" t="n">
        <v>0</v>
      </c>
      <c r="D9" s="24" t="n">
        <v>0</v>
      </c>
      <c r="E9" s="24" t="n">
        <v>0</v>
      </c>
      <c r="F9" s="23" t="n">
        <v>0</v>
      </c>
      <c r="G9" s="25" t="s">
        <v>67</v>
      </c>
      <c r="H9" s="24" t="n">
        <v>0</v>
      </c>
      <c r="I9" s="24" t="n">
        <v>0</v>
      </c>
      <c r="J9" s="24" t="n">
        <v>0</v>
      </c>
      <c r="K9" s="26" t="s">
        <v>82</v>
      </c>
      <c r="L9" s="27" t="s">
        <v>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20"/>
    <col collapsed="false" customWidth="true" hidden="false" outlineLevel="0" max="4" min="3" style="0" width="12"/>
    <col collapsed="false" customWidth="true" hidden="false" outlineLevel="0" max="5" min="5" style="0" width="16"/>
    <col collapsed="false" customWidth="true" hidden="false" outlineLevel="0" max="6" min="6" style="0" width="15"/>
    <col collapsed="false" customWidth="true" hidden="false" outlineLevel="0" max="8" min="7" style="0" width="12"/>
    <col collapsed="false" customWidth="true" hidden="false" outlineLevel="0" max="10" min="9" style="0" width="13"/>
    <col collapsed="false" customWidth="true" hidden="false" outlineLevel="0" max="11" min="11" style="0" width="10"/>
  </cols>
  <sheetData>
    <row r="1" customFormat="false" ht="19.7" hidden="false" customHeight="false" outlineLevel="0" collapsed="false">
      <c r="A1" s="1" t="s">
        <v>84</v>
      </c>
    </row>
    <row r="2" customFormat="false" ht="15" hidden="false" customHeight="false" outlineLevel="0" collapsed="false">
      <c r="A2" s="2" t="s">
        <v>85</v>
      </c>
    </row>
    <row r="3" customFormat="false" ht="33.75" hidden="false" customHeight="true" outlineLevel="0" collapsed="false">
      <c r="A3" s="11" t="s">
        <v>86</v>
      </c>
      <c r="B3" s="11" t="s">
        <v>39</v>
      </c>
      <c r="C3" s="11" t="s">
        <v>87</v>
      </c>
      <c r="D3" s="11" t="s">
        <v>88</v>
      </c>
      <c r="E3" s="11" t="s">
        <v>89</v>
      </c>
      <c r="F3" s="11" t="s">
        <v>90</v>
      </c>
      <c r="G3" s="11" t="s">
        <v>91</v>
      </c>
      <c r="H3" s="11" t="s">
        <v>40</v>
      </c>
      <c r="I3" s="11" t="s">
        <v>42</v>
      </c>
      <c r="J3" s="11" t="s">
        <v>44</v>
      </c>
      <c r="K3" s="11" t="s">
        <v>45</v>
      </c>
    </row>
    <row r="4" customFormat="false" ht="15" hidden="false" customHeight="false" outlineLevel="0" collapsed="false">
      <c r="A4" s="25" t="s">
        <v>92</v>
      </c>
      <c r="B4" s="25" t="s">
        <v>66</v>
      </c>
      <c r="C4" s="24" t="n">
        <v>12</v>
      </c>
      <c r="D4" s="24" t="n">
        <v>45</v>
      </c>
      <c r="E4" s="24" t="n">
        <v>0</v>
      </c>
      <c r="F4" s="24" t="n">
        <v>6.5</v>
      </c>
      <c r="G4" s="24" t="n">
        <v>0.5</v>
      </c>
      <c r="H4" s="13" t="n">
        <f aca="false">IF($B4="","",MAX(IF(AND(INDEX(Fees!$H$4:$H$9,MATCH($B4,Fees!$A$4:$A$9,0))&gt;0,$D4&lt;INDEX(Fees!$H$4:$H$9,MATCH($B4,Fees!$A$4:$A$9,0))),INDEX(Fees!$I$4:$I$9,MATCH($B4,Fees!$A$4:$A$9,0)),($D4+IF(INDEX(Fees!$G$4:$G$9,MATCH($B4,Fees!$A$4:$A$9,0))="Y",$E4,0))*INDEX(Fees!$B$4:$B$9,MATCH($B4,Fees!$A$4:$A$9,0))+IF(AND(INDEX(Fees!$E$4:$E$9,MATCH($B4,Fees!$A$4:$A$9,0))&gt;0,$D4&lt;=INDEX(Fees!$E$4:$E$9,MATCH($B4,Fees!$A$4:$A$9,0))),INDEX(Fees!$D$4:$D$9,MATCH($B4,Fees!$A$4:$A$9,0)),INDEX(Fees!$C$4:$C$9,MATCH($B4,Fees!$A$4:$A$9,0)))+($D4+IF(INDEX(Fees!$G$4:$G$9,MATCH($B4,Fees!$A$4:$A$9,0))="Y",$E4,0))*INDEX(Fees!$F$4:$F$9,MATCH($B4,Fees!$A$4:$A$9,0))),INDEX(Fees!$J$4:$J$9,MATCH($B4,Fees!$A$4:$A$9,0))))</f>
        <v>6.52</v>
      </c>
      <c r="I4" s="13" t="n">
        <f aca="false">IF($B4="","",$D4+$E4-$H4)</f>
        <v>38.48</v>
      </c>
      <c r="J4" s="28" t="n">
        <f aca="false">IF($B4="","",$I4-($C4+$F4+$G4))</f>
        <v>19.48</v>
      </c>
      <c r="K4" s="14" t="n">
        <f aca="false">IF(OR($B4="",($C4+$F4+$G4)&lt;=0),"",$J4/($C4+$F4+$G4))</f>
        <v>1.02526315789474</v>
      </c>
    </row>
    <row r="5" customFormat="false" ht="15" hidden="false" customHeight="false" outlineLevel="0" collapsed="false">
      <c r="A5" s="25"/>
      <c r="B5" s="25"/>
      <c r="C5" s="24"/>
      <c r="D5" s="24"/>
      <c r="E5" s="24"/>
      <c r="F5" s="24"/>
      <c r="G5" s="24"/>
      <c r="H5" s="13" t="str">
        <f aca="false">IF($B5="","",MAX(IF(AND(INDEX(Fees!$H$4:$H$9,MATCH($B5,Fees!$A$4:$A$9,0))&gt;0,$D5&lt;INDEX(Fees!$H$4:$H$9,MATCH($B5,Fees!$A$4:$A$9,0))),INDEX(Fees!$I$4:$I$9,MATCH($B5,Fees!$A$4:$A$9,0)),($D5+IF(INDEX(Fees!$G$4:$G$9,MATCH($B5,Fees!$A$4:$A$9,0))="Y",$E5,0))*INDEX(Fees!$B$4:$B$9,MATCH($B5,Fees!$A$4:$A$9,0))+IF(AND(INDEX(Fees!$E$4:$E$9,MATCH($B5,Fees!$A$4:$A$9,0))&gt;0,$D5&lt;=INDEX(Fees!$E$4:$E$9,MATCH($B5,Fees!$A$4:$A$9,0))),INDEX(Fees!$D$4:$D$9,MATCH($B5,Fees!$A$4:$A$9,0)),INDEX(Fees!$C$4:$C$9,MATCH($B5,Fees!$A$4:$A$9,0)))+($D5+IF(INDEX(Fees!$G$4:$G$9,MATCH($B5,Fees!$A$4:$A$9,0))="Y",$E5,0))*INDEX(Fees!$F$4:$F$9,MATCH($B5,Fees!$A$4:$A$9,0))),INDEX(Fees!$J$4:$J$9,MATCH($B5,Fees!$A$4:$A$9,0))))</f>
        <v/>
      </c>
      <c r="I5" s="13" t="str">
        <f aca="false">IF($B5="","",$D5+$E5-$H5)</f>
        <v/>
      </c>
      <c r="J5" s="28" t="str">
        <f aca="false">IF($B5="","",$I5-($C5+$F5+$G5))</f>
        <v/>
      </c>
      <c r="K5" s="14" t="str">
        <f aca="false">IF(OR($B5="",($C5+$F5+$G5)&lt;=0),"",$J5/($C5+$F5+$G5))</f>
        <v/>
      </c>
    </row>
    <row r="6" customFormat="false" ht="15" hidden="false" customHeight="false" outlineLevel="0" collapsed="false">
      <c r="A6" s="25"/>
      <c r="B6" s="25"/>
      <c r="C6" s="24"/>
      <c r="D6" s="24"/>
      <c r="E6" s="24"/>
      <c r="F6" s="24"/>
      <c r="G6" s="24"/>
      <c r="H6" s="13" t="str">
        <f aca="false">IF($B6="","",MAX(IF(AND(INDEX(Fees!$H$4:$H$9,MATCH($B6,Fees!$A$4:$A$9,0))&gt;0,$D6&lt;INDEX(Fees!$H$4:$H$9,MATCH($B6,Fees!$A$4:$A$9,0))),INDEX(Fees!$I$4:$I$9,MATCH($B6,Fees!$A$4:$A$9,0)),($D6+IF(INDEX(Fees!$G$4:$G$9,MATCH($B6,Fees!$A$4:$A$9,0))="Y",$E6,0))*INDEX(Fees!$B$4:$B$9,MATCH($B6,Fees!$A$4:$A$9,0))+IF(AND(INDEX(Fees!$E$4:$E$9,MATCH($B6,Fees!$A$4:$A$9,0))&gt;0,$D6&lt;=INDEX(Fees!$E$4:$E$9,MATCH($B6,Fees!$A$4:$A$9,0))),INDEX(Fees!$D$4:$D$9,MATCH($B6,Fees!$A$4:$A$9,0)),INDEX(Fees!$C$4:$C$9,MATCH($B6,Fees!$A$4:$A$9,0)))+($D6+IF(INDEX(Fees!$G$4:$G$9,MATCH($B6,Fees!$A$4:$A$9,0))="Y",$E6,0))*INDEX(Fees!$F$4:$F$9,MATCH($B6,Fees!$A$4:$A$9,0))),INDEX(Fees!$J$4:$J$9,MATCH($B6,Fees!$A$4:$A$9,0))))</f>
        <v/>
      </c>
      <c r="I6" s="13" t="str">
        <f aca="false">IF($B6="","",$D6+$E6-$H6)</f>
        <v/>
      </c>
      <c r="J6" s="28" t="str">
        <f aca="false">IF($B6="","",$I6-($C6+$F6+$G6))</f>
        <v/>
      </c>
      <c r="K6" s="14" t="str">
        <f aca="false">IF(OR($B6="",($C6+$F6+$G6)&lt;=0),"",$J6/($C6+$F6+$G6))</f>
        <v/>
      </c>
    </row>
    <row r="7" customFormat="false" ht="15" hidden="false" customHeight="false" outlineLevel="0" collapsed="false">
      <c r="A7" s="25"/>
      <c r="B7" s="25"/>
      <c r="C7" s="24"/>
      <c r="D7" s="24"/>
      <c r="E7" s="24"/>
      <c r="F7" s="24"/>
      <c r="G7" s="24"/>
      <c r="H7" s="13" t="str">
        <f aca="false">IF($B7="","",MAX(IF(AND(INDEX(Fees!$H$4:$H$9,MATCH($B7,Fees!$A$4:$A$9,0))&gt;0,$D7&lt;INDEX(Fees!$H$4:$H$9,MATCH($B7,Fees!$A$4:$A$9,0))),INDEX(Fees!$I$4:$I$9,MATCH($B7,Fees!$A$4:$A$9,0)),($D7+IF(INDEX(Fees!$G$4:$G$9,MATCH($B7,Fees!$A$4:$A$9,0))="Y",$E7,0))*INDEX(Fees!$B$4:$B$9,MATCH($B7,Fees!$A$4:$A$9,0))+IF(AND(INDEX(Fees!$E$4:$E$9,MATCH($B7,Fees!$A$4:$A$9,0))&gt;0,$D7&lt;=INDEX(Fees!$E$4:$E$9,MATCH($B7,Fees!$A$4:$A$9,0))),INDEX(Fees!$D$4:$D$9,MATCH($B7,Fees!$A$4:$A$9,0)),INDEX(Fees!$C$4:$C$9,MATCH($B7,Fees!$A$4:$A$9,0)))+($D7+IF(INDEX(Fees!$G$4:$G$9,MATCH($B7,Fees!$A$4:$A$9,0))="Y",$E7,0))*INDEX(Fees!$F$4:$F$9,MATCH($B7,Fees!$A$4:$A$9,0))),INDEX(Fees!$J$4:$J$9,MATCH($B7,Fees!$A$4:$A$9,0))))</f>
        <v/>
      </c>
      <c r="I7" s="13" t="str">
        <f aca="false">IF($B7="","",$D7+$E7-$H7)</f>
        <v/>
      </c>
      <c r="J7" s="28" t="str">
        <f aca="false">IF($B7="","",$I7-($C7+$F7+$G7))</f>
        <v/>
      </c>
      <c r="K7" s="14" t="str">
        <f aca="false">IF(OR($B7="",($C7+$F7+$G7)&lt;=0),"",$J7/($C7+$F7+$G7))</f>
        <v/>
      </c>
    </row>
    <row r="8" customFormat="false" ht="15" hidden="false" customHeight="false" outlineLevel="0" collapsed="false">
      <c r="A8" s="25"/>
      <c r="B8" s="25"/>
      <c r="C8" s="24"/>
      <c r="D8" s="24"/>
      <c r="E8" s="24"/>
      <c r="F8" s="24"/>
      <c r="G8" s="24"/>
      <c r="H8" s="13" t="str">
        <f aca="false">IF($B8="","",MAX(IF(AND(INDEX(Fees!$H$4:$H$9,MATCH($B8,Fees!$A$4:$A$9,0))&gt;0,$D8&lt;INDEX(Fees!$H$4:$H$9,MATCH($B8,Fees!$A$4:$A$9,0))),INDEX(Fees!$I$4:$I$9,MATCH($B8,Fees!$A$4:$A$9,0)),($D8+IF(INDEX(Fees!$G$4:$G$9,MATCH($B8,Fees!$A$4:$A$9,0))="Y",$E8,0))*INDEX(Fees!$B$4:$B$9,MATCH($B8,Fees!$A$4:$A$9,0))+IF(AND(INDEX(Fees!$E$4:$E$9,MATCH($B8,Fees!$A$4:$A$9,0))&gt;0,$D8&lt;=INDEX(Fees!$E$4:$E$9,MATCH($B8,Fees!$A$4:$A$9,0))),INDEX(Fees!$D$4:$D$9,MATCH($B8,Fees!$A$4:$A$9,0)),INDEX(Fees!$C$4:$C$9,MATCH($B8,Fees!$A$4:$A$9,0)))+($D8+IF(INDEX(Fees!$G$4:$G$9,MATCH($B8,Fees!$A$4:$A$9,0))="Y",$E8,0))*INDEX(Fees!$F$4:$F$9,MATCH($B8,Fees!$A$4:$A$9,0))),INDEX(Fees!$J$4:$J$9,MATCH($B8,Fees!$A$4:$A$9,0))))</f>
        <v/>
      </c>
      <c r="I8" s="13" t="str">
        <f aca="false">IF($B8="","",$D8+$E8-$H8)</f>
        <v/>
      </c>
      <c r="J8" s="28" t="str">
        <f aca="false">IF($B8="","",$I8-($C8+$F8+$G8))</f>
        <v/>
      </c>
      <c r="K8" s="14" t="str">
        <f aca="false">IF(OR($B8="",($C8+$F8+$G8)&lt;=0),"",$J8/($C8+$F8+$G8))</f>
        <v/>
      </c>
    </row>
    <row r="9" customFormat="false" ht="15" hidden="false" customHeight="false" outlineLevel="0" collapsed="false">
      <c r="A9" s="25"/>
      <c r="B9" s="25"/>
      <c r="C9" s="24"/>
      <c r="D9" s="24"/>
      <c r="E9" s="24"/>
      <c r="F9" s="24"/>
      <c r="G9" s="24"/>
      <c r="H9" s="13" t="str">
        <f aca="false">IF($B9="","",MAX(IF(AND(INDEX(Fees!$H$4:$H$9,MATCH($B9,Fees!$A$4:$A$9,0))&gt;0,$D9&lt;INDEX(Fees!$H$4:$H$9,MATCH($B9,Fees!$A$4:$A$9,0))),INDEX(Fees!$I$4:$I$9,MATCH($B9,Fees!$A$4:$A$9,0)),($D9+IF(INDEX(Fees!$G$4:$G$9,MATCH($B9,Fees!$A$4:$A$9,0))="Y",$E9,0))*INDEX(Fees!$B$4:$B$9,MATCH($B9,Fees!$A$4:$A$9,0))+IF(AND(INDEX(Fees!$E$4:$E$9,MATCH($B9,Fees!$A$4:$A$9,0))&gt;0,$D9&lt;=INDEX(Fees!$E$4:$E$9,MATCH($B9,Fees!$A$4:$A$9,0))),INDEX(Fees!$D$4:$D$9,MATCH($B9,Fees!$A$4:$A$9,0)),INDEX(Fees!$C$4:$C$9,MATCH($B9,Fees!$A$4:$A$9,0)))+($D9+IF(INDEX(Fees!$G$4:$G$9,MATCH($B9,Fees!$A$4:$A$9,0))="Y",$E9,0))*INDEX(Fees!$F$4:$F$9,MATCH($B9,Fees!$A$4:$A$9,0))),INDEX(Fees!$J$4:$J$9,MATCH($B9,Fees!$A$4:$A$9,0))))</f>
        <v/>
      </c>
      <c r="I9" s="13" t="str">
        <f aca="false">IF($B9="","",$D9+$E9-$H9)</f>
        <v/>
      </c>
      <c r="J9" s="28" t="str">
        <f aca="false">IF($B9="","",$I9-($C9+$F9+$G9))</f>
        <v/>
      </c>
      <c r="K9" s="14" t="str">
        <f aca="false">IF(OR($B9="",($C9+$F9+$G9)&lt;=0),"",$J9/($C9+$F9+$G9))</f>
        <v/>
      </c>
    </row>
    <row r="10" customFormat="false" ht="15" hidden="false" customHeight="false" outlineLevel="0" collapsed="false">
      <c r="A10" s="25"/>
      <c r="B10" s="25"/>
      <c r="C10" s="24"/>
      <c r="D10" s="24"/>
      <c r="E10" s="24"/>
      <c r="F10" s="24"/>
      <c r="G10" s="24"/>
      <c r="H10" s="13" t="str">
        <f aca="false">IF($B10="","",MAX(IF(AND(INDEX(Fees!$H$4:$H$9,MATCH($B10,Fees!$A$4:$A$9,0))&gt;0,$D10&lt;INDEX(Fees!$H$4:$H$9,MATCH($B10,Fees!$A$4:$A$9,0))),INDEX(Fees!$I$4:$I$9,MATCH($B10,Fees!$A$4:$A$9,0)),($D10+IF(INDEX(Fees!$G$4:$G$9,MATCH($B10,Fees!$A$4:$A$9,0))="Y",$E10,0))*INDEX(Fees!$B$4:$B$9,MATCH($B10,Fees!$A$4:$A$9,0))+IF(AND(INDEX(Fees!$E$4:$E$9,MATCH($B10,Fees!$A$4:$A$9,0))&gt;0,$D10&lt;=INDEX(Fees!$E$4:$E$9,MATCH($B10,Fees!$A$4:$A$9,0))),INDEX(Fees!$D$4:$D$9,MATCH($B10,Fees!$A$4:$A$9,0)),INDEX(Fees!$C$4:$C$9,MATCH($B10,Fees!$A$4:$A$9,0)))+($D10+IF(INDEX(Fees!$G$4:$G$9,MATCH($B10,Fees!$A$4:$A$9,0))="Y",$E10,0))*INDEX(Fees!$F$4:$F$9,MATCH($B10,Fees!$A$4:$A$9,0))),INDEX(Fees!$J$4:$J$9,MATCH($B10,Fees!$A$4:$A$9,0))))</f>
        <v/>
      </c>
      <c r="I10" s="13" t="str">
        <f aca="false">IF($B10="","",$D10+$E10-$H10)</f>
        <v/>
      </c>
      <c r="J10" s="28" t="str">
        <f aca="false">IF($B10="","",$I10-($C10+$F10+$G10))</f>
        <v/>
      </c>
      <c r="K10" s="14" t="str">
        <f aca="false">IF(OR($B10="",($C10+$F10+$G10)&lt;=0),"",$J10/($C10+$F10+$G10))</f>
        <v/>
      </c>
    </row>
    <row r="11" customFormat="false" ht="15" hidden="false" customHeight="false" outlineLevel="0" collapsed="false">
      <c r="A11" s="25"/>
      <c r="B11" s="25"/>
      <c r="C11" s="24"/>
      <c r="D11" s="24"/>
      <c r="E11" s="24"/>
      <c r="F11" s="24"/>
      <c r="G11" s="24"/>
      <c r="H11" s="13" t="str">
        <f aca="false">IF($B11="","",MAX(IF(AND(INDEX(Fees!$H$4:$H$9,MATCH($B11,Fees!$A$4:$A$9,0))&gt;0,$D11&lt;INDEX(Fees!$H$4:$H$9,MATCH($B11,Fees!$A$4:$A$9,0))),INDEX(Fees!$I$4:$I$9,MATCH($B11,Fees!$A$4:$A$9,0)),($D11+IF(INDEX(Fees!$G$4:$G$9,MATCH($B11,Fees!$A$4:$A$9,0))="Y",$E11,0))*INDEX(Fees!$B$4:$B$9,MATCH($B11,Fees!$A$4:$A$9,0))+IF(AND(INDEX(Fees!$E$4:$E$9,MATCH($B11,Fees!$A$4:$A$9,0))&gt;0,$D11&lt;=INDEX(Fees!$E$4:$E$9,MATCH($B11,Fees!$A$4:$A$9,0))),INDEX(Fees!$D$4:$D$9,MATCH($B11,Fees!$A$4:$A$9,0)),INDEX(Fees!$C$4:$C$9,MATCH($B11,Fees!$A$4:$A$9,0)))+($D11+IF(INDEX(Fees!$G$4:$G$9,MATCH($B11,Fees!$A$4:$A$9,0))="Y",$E11,0))*INDEX(Fees!$F$4:$F$9,MATCH($B11,Fees!$A$4:$A$9,0))),INDEX(Fees!$J$4:$J$9,MATCH($B11,Fees!$A$4:$A$9,0))))</f>
        <v/>
      </c>
      <c r="I11" s="13" t="str">
        <f aca="false">IF($B11="","",$D11+$E11-$H11)</f>
        <v/>
      </c>
      <c r="J11" s="28" t="str">
        <f aca="false">IF($B11="","",$I11-($C11+$F11+$G11))</f>
        <v/>
      </c>
      <c r="K11" s="14" t="str">
        <f aca="false">IF(OR($B11="",($C11+$F11+$G11)&lt;=0),"",$J11/($C11+$F11+$G11))</f>
        <v/>
      </c>
    </row>
    <row r="12" customFormat="false" ht="15" hidden="false" customHeight="false" outlineLevel="0" collapsed="false">
      <c r="A12" s="25"/>
      <c r="B12" s="25"/>
      <c r="C12" s="24"/>
      <c r="D12" s="24"/>
      <c r="E12" s="24"/>
      <c r="F12" s="24"/>
      <c r="G12" s="24"/>
      <c r="H12" s="13" t="str">
        <f aca="false">IF($B12="","",MAX(IF(AND(INDEX(Fees!$H$4:$H$9,MATCH($B12,Fees!$A$4:$A$9,0))&gt;0,$D12&lt;INDEX(Fees!$H$4:$H$9,MATCH($B12,Fees!$A$4:$A$9,0))),INDEX(Fees!$I$4:$I$9,MATCH($B12,Fees!$A$4:$A$9,0)),($D12+IF(INDEX(Fees!$G$4:$G$9,MATCH($B12,Fees!$A$4:$A$9,0))="Y",$E12,0))*INDEX(Fees!$B$4:$B$9,MATCH($B12,Fees!$A$4:$A$9,0))+IF(AND(INDEX(Fees!$E$4:$E$9,MATCH($B12,Fees!$A$4:$A$9,0))&gt;0,$D12&lt;=INDEX(Fees!$E$4:$E$9,MATCH($B12,Fees!$A$4:$A$9,0))),INDEX(Fees!$D$4:$D$9,MATCH($B12,Fees!$A$4:$A$9,0)),INDEX(Fees!$C$4:$C$9,MATCH($B12,Fees!$A$4:$A$9,0)))+($D12+IF(INDEX(Fees!$G$4:$G$9,MATCH($B12,Fees!$A$4:$A$9,0))="Y",$E12,0))*INDEX(Fees!$F$4:$F$9,MATCH($B12,Fees!$A$4:$A$9,0))),INDEX(Fees!$J$4:$J$9,MATCH($B12,Fees!$A$4:$A$9,0))))</f>
        <v/>
      </c>
      <c r="I12" s="13" t="str">
        <f aca="false">IF($B12="","",$D12+$E12-$H12)</f>
        <v/>
      </c>
      <c r="J12" s="28" t="str">
        <f aca="false">IF($B12="","",$I12-($C12+$F12+$G12))</f>
        <v/>
      </c>
      <c r="K12" s="14" t="str">
        <f aca="false">IF(OR($B12="",($C12+$F12+$G12)&lt;=0),"",$J12/($C12+$F12+$G12))</f>
        <v/>
      </c>
    </row>
    <row r="13" customFormat="false" ht="15" hidden="false" customHeight="false" outlineLevel="0" collapsed="false">
      <c r="A13" s="25"/>
      <c r="B13" s="25"/>
      <c r="C13" s="24"/>
      <c r="D13" s="24"/>
      <c r="E13" s="24"/>
      <c r="F13" s="24"/>
      <c r="G13" s="24"/>
      <c r="H13" s="13" t="str">
        <f aca="false">IF($B13="","",MAX(IF(AND(INDEX(Fees!$H$4:$H$9,MATCH($B13,Fees!$A$4:$A$9,0))&gt;0,$D13&lt;INDEX(Fees!$H$4:$H$9,MATCH($B13,Fees!$A$4:$A$9,0))),INDEX(Fees!$I$4:$I$9,MATCH($B13,Fees!$A$4:$A$9,0)),($D13+IF(INDEX(Fees!$G$4:$G$9,MATCH($B13,Fees!$A$4:$A$9,0))="Y",$E13,0))*INDEX(Fees!$B$4:$B$9,MATCH($B13,Fees!$A$4:$A$9,0))+IF(AND(INDEX(Fees!$E$4:$E$9,MATCH($B13,Fees!$A$4:$A$9,0))&gt;0,$D13&lt;=INDEX(Fees!$E$4:$E$9,MATCH($B13,Fees!$A$4:$A$9,0))),INDEX(Fees!$D$4:$D$9,MATCH($B13,Fees!$A$4:$A$9,0)),INDEX(Fees!$C$4:$C$9,MATCH($B13,Fees!$A$4:$A$9,0)))+($D13+IF(INDEX(Fees!$G$4:$G$9,MATCH($B13,Fees!$A$4:$A$9,0))="Y",$E13,0))*INDEX(Fees!$F$4:$F$9,MATCH($B13,Fees!$A$4:$A$9,0))),INDEX(Fees!$J$4:$J$9,MATCH($B13,Fees!$A$4:$A$9,0))))</f>
        <v/>
      </c>
      <c r="I13" s="13" t="str">
        <f aca="false">IF($B13="","",$D13+$E13-$H13)</f>
        <v/>
      </c>
      <c r="J13" s="28" t="str">
        <f aca="false">IF($B13="","",$I13-($C13+$F13+$G13))</f>
        <v/>
      </c>
      <c r="K13" s="14" t="str">
        <f aca="false">IF(OR($B13="",($C13+$F13+$G13)&lt;=0),"",$J13/($C13+$F13+$G13))</f>
        <v/>
      </c>
    </row>
    <row r="14" customFormat="false" ht="15" hidden="false" customHeight="false" outlineLevel="0" collapsed="false">
      <c r="A14" s="25"/>
      <c r="B14" s="25"/>
      <c r="C14" s="24"/>
      <c r="D14" s="24"/>
      <c r="E14" s="24"/>
      <c r="F14" s="24"/>
      <c r="G14" s="24"/>
      <c r="H14" s="13" t="str">
        <f aca="false">IF($B14="","",MAX(IF(AND(INDEX(Fees!$H$4:$H$9,MATCH($B14,Fees!$A$4:$A$9,0))&gt;0,$D14&lt;INDEX(Fees!$H$4:$H$9,MATCH($B14,Fees!$A$4:$A$9,0))),INDEX(Fees!$I$4:$I$9,MATCH($B14,Fees!$A$4:$A$9,0)),($D14+IF(INDEX(Fees!$G$4:$G$9,MATCH($B14,Fees!$A$4:$A$9,0))="Y",$E14,0))*INDEX(Fees!$B$4:$B$9,MATCH($B14,Fees!$A$4:$A$9,0))+IF(AND(INDEX(Fees!$E$4:$E$9,MATCH($B14,Fees!$A$4:$A$9,0))&gt;0,$D14&lt;=INDEX(Fees!$E$4:$E$9,MATCH($B14,Fees!$A$4:$A$9,0))),INDEX(Fees!$D$4:$D$9,MATCH($B14,Fees!$A$4:$A$9,0)),INDEX(Fees!$C$4:$C$9,MATCH($B14,Fees!$A$4:$A$9,0)))+($D14+IF(INDEX(Fees!$G$4:$G$9,MATCH($B14,Fees!$A$4:$A$9,0))="Y",$E14,0))*INDEX(Fees!$F$4:$F$9,MATCH($B14,Fees!$A$4:$A$9,0))),INDEX(Fees!$J$4:$J$9,MATCH($B14,Fees!$A$4:$A$9,0))))</f>
        <v/>
      </c>
      <c r="I14" s="13" t="str">
        <f aca="false">IF($B14="","",$D14+$E14-$H14)</f>
        <v/>
      </c>
      <c r="J14" s="28" t="str">
        <f aca="false">IF($B14="","",$I14-($C14+$F14+$G14))</f>
        <v/>
      </c>
      <c r="K14" s="14" t="str">
        <f aca="false">IF(OR($B14="",($C14+$F14+$G14)&lt;=0),"",$J14/($C14+$F14+$G14))</f>
        <v/>
      </c>
    </row>
    <row r="15" customFormat="false" ht="15" hidden="false" customHeight="false" outlineLevel="0" collapsed="false">
      <c r="A15" s="25"/>
      <c r="B15" s="25"/>
      <c r="C15" s="24"/>
      <c r="D15" s="24"/>
      <c r="E15" s="24"/>
      <c r="F15" s="24"/>
      <c r="G15" s="24"/>
      <c r="H15" s="13" t="str">
        <f aca="false">IF($B15="","",MAX(IF(AND(INDEX(Fees!$H$4:$H$9,MATCH($B15,Fees!$A$4:$A$9,0))&gt;0,$D15&lt;INDEX(Fees!$H$4:$H$9,MATCH($B15,Fees!$A$4:$A$9,0))),INDEX(Fees!$I$4:$I$9,MATCH($B15,Fees!$A$4:$A$9,0)),($D15+IF(INDEX(Fees!$G$4:$G$9,MATCH($B15,Fees!$A$4:$A$9,0))="Y",$E15,0))*INDEX(Fees!$B$4:$B$9,MATCH($B15,Fees!$A$4:$A$9,0))+IF(AND(INDEX(Fees!$E$4:$E$9,MATCH($B15,Fees!$A$4:$A$9,0))&gt;0,$D15&lt;=INDEX(Fees!$E$4:$E$9,MATCH($B15,Fees!$A$4:$A$9,0))),INDEX(Fees!$D$4:$D$9,MATCH($B15,Fees!$A$4:$A$9,0)),INDEX(Fees!$C$4:$C$9,MATCH($B15,Fees!$A$4:$A$9,0)))+($D15+IF(INDEX(Fees!$G$4:$G$9,MATCH($B15,Fees!$A$4:$A$9,0))="Y",$E15,0))*INDEX(Fees!$F$4:$F$9,MATCH($B15,Fees!$A$4:$A$9,0))),INDEX(Fees!$J$4:$J$9,MATCH($B15,Fees!$A$4:$A$9,0))))</f>
        <v/>
      </c>
      <c r="I15" s="13" t="str">
        <f aca="false">IF($B15="","",$D15+$E15-$H15)</f>
        <v/>
      </c>
      <c r="J15" s="28" t="str">
        <f aca="false">IF($B15="","",$I15-($C15+$F15+$G15))</f>
        <v/>
      </c>
      <c r="K15" s="14" t="str">
        <f aca="false">IF(OR($B15="",($C15+$F15+$G15)&lt;=0),"",$J15/($C15+$F15+$G15))</f>
        <v/>
      </c>
    </row>
    <row r="16" customFormat="false" ht="15" hidden="false" customHeight="false" outlineLevel="0" collapsed="false">
      <c r="A16" s="25"/>
      <c r="B16" s="25"/>
      <c r="C16" s="24"/>
      <c r="D16" s="24"/>
      <c r="E16" s="24"/>
      <c r="F16" s="24"/>
      <c r="G16" s="24"/>
      <c r="H16" s="13" t="str">
        <f aca="false">IF($B16="","",MAX(IF(AND(INDEX(Fees!$H$4:$H$9,MATCH($B16,Fees!$A$4:$A$9,0))&gt;0,$D16&lt;INDEX(Fees!$H$4:$H$9,MATCH($B16,Fees!$A$4:$A$9,0))),INDEX(Fees!$I$4:$I$9,MATCH($B16,Fees!$A$4:$A$9,0)),($D16+IF(INDEX(Fees!$G$4:$G$9,MATCH($B16,Fees!$A$4:$A$9,0))="Y",$E16,0))*INDEX(Fees!$B$4:$B$9,MATCH($B16,Fees!$A$4:$A$9,0))+IF(AND(INDEX(Fees!$E$4:$E$9,MATCH($B16,Fees!$A$4:$A$9,0))&gt;0,$D16&lt;=INDEX(Fees!$E$4:$E$9,MATCH($B16,Fees!$A$4:$A$9,0))),INDEX(Fees!$D$4:$D$9,MATCH($B16,Fees!$A$4:$A$9,0)),INDEX(Fees!$C$4:$C$9,MATCH($B16,Fees!$A$4:$A$9,0)))+($D16+IF(INDEX(Fees!$G$4:$G$9,MATCH($B16,Fees!$A$4:$A$9,0))="Y",$E16,0))*INDEX(Fees!$F$4:$F$9,MATCH($B16,Fees!$A$4:$A$9,0))),INDEX(Fees!$J$4:$J$9,MATCH($B16,Fees!$A$4:$A$9,0))))</f>
        <v/>
      </c>
      <c r="I16" s="13" t="str">
        <f aca="false">IF($B16="","",$D16+$E16-$H16)</f>
        <v/>
      </c>
      <c r="J16" s="28" t="str">
        <f aca="false">IF($B16="","",$I16-($C16+$F16+$G16))</f>
        <v/>
      </c>
      <c r="K16" s="14" t="str">
        <f aca="false">IF(OR($B16="",($C16+$F16+$G16)&lt;=0),"",$J16/($C16+$F16+$G16))</f>
        <v/>
      </c>
    </row>
    <row r="17" customFormat="false" ht="15" hidden="false" customHeight="false" outlineLevel="0" collapsed="false">
      <c r="A17" s="25"/>
      <c r="B17" s="25"/>
      <c r="C17" s="24"/>
      <c r="D17" s="24"/>
      <c r="E17" s="24"/>
      <c r="F17" s="24"/>
      <c r="G17" s="24"/>
      <c r="H17" s="13" t="str">
        <f aca="false">IF($B17="","",MAX(IF(AND(INDEX(Fees!$H$4:$H$9,MATCH($B17,Fees!$A$4:$A$9,0))&gt;0,$D17&lt;INDEX(Fees!$H$4:$H$9,MATCH($B17,Fees!$A$4:$A$9,0))),INDEX(Fees!$I$4:$I$9,MATCH($B17,Fees!$A$4:$A$9,0)),($D17+IF(INDEX(Fees!$G$4:$G$9,MATCH($B17,Fees!$A$4:$A$9,0))="Y",$E17,0))*INDEX(Fees!$B$4:$B$9,MATCH($B17,Fees!$A$4:$A$9,0))+IF(AND(INDEX(Fees!$E$4:$E$9,MATCH($B17,Fees!$A$4:$A$9,0))&gt;0,$D17&lt;=INDEX(Fees!$E$4:$E$9,MATCH($B17,Fees!$A$4:$A$9,0))),INDEX(Fees!$D$4:$D$9,MATCH($B17,Fees!$A$4:$A$9,0)),INDEX(Fees!$C$4:$C$9,MATCH($B17,Fees!$A$4:$A$9,0)))+($D17+IF(INDEX(Fees!$G$4:$G$9,MATCH($B17,Fees!$A$4:$A$9,0))="Y",$E17,0))*INDEX(Fees!$F$4:$F$9,MATCH($B17,Fees!$A$4:$A$9,0))),INDEX(Fees!$J$4:$J$9,MATCH($B17,Fees!$A$4:$A$9,0))))</f>
        <v/>
      </c>
      <c r="I17" s="13" t="str">
        <f aca="false">IF($B17="","",$D17+$E17-$H17)</f>
        <v/>
      </c>
      <c r="J17" s="28" t="str">
        <f aca="false">IF($B17="","",$I17-($C17+$F17+$G17))</f>
        <v/>
      </c>
      <c r="K17" s="14" t="str">
        <f aca="false">IF(OR($B17="",($C17+$F17+$G17)&lt;=0),"",$J17/($C17+$F17+$G17))</f>
        <v/>
      </c>
    </row>
    <row r="18" customFormat="false" ht="15" hidden="false" customHeight="false" outlineLevel="0" collapsed="false">
      <c r="A18" s="25"/>
      <c r="B18" s="25"/>
      <c r="C18" s="24"/>
      <c r="D18" s="24"/>
      <c r="E18" s="24"/>
      <c r="F18" s="24"/>
      <c r="G18" s="24"/>
      <c r="H18" s="13" t="str">
        <f aca="false">IF($B18="","",MAX(IF(AND(INDEX(Fees!$H$4:$H$9,MATCH($B18,Fees!$A$4:$A$9,0))&gt;0,$D18&lt;INDEX(Fees!$H$4:$H$9,MATCH($B18,Fees!$A$4:$A$9,0))),INDEX(Fees!$I$4:$I$9,MATCH($B18,Fees!$A$4:$A$9,0)),($D18+IF(INDEX(Fees!$G$4:$G$9,MATCH($B18,Fees!$A$4:$A$9,0))="Y",$E18,0))*INDEX(Fees!$B$4:$B$9,MATCH($B18,Fees!$A$4:$A$9,0))+IF(AND(INDEX(Fees!$E$4:$E$9,MATCH($B18,Fees!$A$4:$A$9,0))&gt;0,$D18&lt;=INDEX(Fees!$E$4:$E$9,MATCH($B18,Fees!$A$4:$A$9,0))),INDEX(Fees!$D$4:$D$9,MATCH($B18,Fees!$A$4:$A$9,0)),INDEX(Fees!$C$4:$C$9,MATCH($B18,Fees!$A$4:$A$9,0)))+($D18+IF(INDEX(Fees!$G$4:$G$9,MATCH($B18,Fees!$A$4:$A$9,0))="Y",$E18,0))*INDEX(Fees!$F$4:$F$9,MATCH($B18,Fees!$A$4:$A$9,0))),INDEX(Fees!$J$4:$J$9,MATCH($B18,Fees!$A$4:$A$9,0))))</f>
        <v/>
      </c>
      <c r="I18" s="13" t="str">
        <f aca="false">IF($B18="","",$D18+$E18-$H18)</f>
        <v/>
      </c>
      <c r="J18" s="28" t="str">
        <f aca="false">IF($B18="","",$I18-($C18+$F18+$G18))</f>
        <v/>
      </c>
      <c r="K18" s="14" t="str">
        <f aca="false">IF(OR($B18="",($C18+$F18+$G18)&lt;=0),"",$J18/($C18+$F18+$G18))</f>
        <v/>
      </c>
    </row>
    <row r="19" customFormat="false" ht="15" hidden="false" customHeight="false" outlineLevel="0" collapsed="false">
      <c r="A19" s="25"/>
      <c r="B19" s="25"/>
      <c r="C19" s="24"/>
      <c r="D19" s="24"/>
      <c r="E19" s="24"/>
      <c r="F19" s="24"/>
      <c r="G19" s="24"/>
      <c r="H19" s="13" t="str">
        <f aca="false">IF($B19="","",MAX(IF(AND(INDEX(Fees!$H$4:$H$9,MATCH($B19,Fees!$A$4:$A$9,0))&gt;0,$D19&lt;INDEX(Fees!$H$4:$H$9,MATCH($B19,Fees!$A$4:$A$9,0))),INDEX(Fees!$I$4:$I$9,MATCH($B19,Fees!$A$4:$A$9,0)),($D19+IF(INDEX(Fees!$G$4:$G$9,MATCH($B19,Fees!$A$4:$A$9,0))="Y",$E19,0))*INDEX(Fees!$B$4:$B$9,MATCH($B19,Fees!$A$4:$A$9,0))+IF(AND(INDEX(Fees!$E$4:$E$9,MATCH($B19,Fees!$A$4:$A$9,0))&gt;0,$D19&lt;=INDEX(Fees!$E$4:$E$9,MATCH($B19,Fees!$A$4:$A$9,0))),INDEX(Fees!$D$4:$D$9,MATCH($B19,Fees!$A$4:$A$9,0)),INDEX(Fees!$C$4:$C$9,MATCH($B19,Fees!$A$4:$A$9,0)))+($D19+IF(INDEX(Fees!$G$4:$G$9,MATCH($B19,Fees!$A$4:$A$9,0))="Y",$E19,0))*INDEX(Fees!$F$4:$F$9,MATCH($B19,Fees!$A$4:$A$9,0))),INDEX(Fees!$J$4:$J$9,MATCH($B19,Fees!$A$4:$A$9,0))))</f>
        <v/>
      </c>
      <c r="I19" s="13" t="str">
        <f aca="false">IF($B19="","",$D19+$E19-$H19)</f>
        <v/>
      </c>
      <c r="J19" s="28" t="str">
        <f aca="false">IF($B19="","",$I19-($C19+$F19+$G19))</f>
        <v/>
      </c>
      <c r="K19" s="14" t="str">
        <f aca="false">IF(OR($B19="",($C19+$F19+$G19)&lt;=0),"",$J19/($C19+$F19+$G19))</f>
        <v/>
      </c>
    </row>
    <row r="20" customFormat="false" ht="15" hidden="false" customHeight="false" outlineLevel="0" collapsed="false">
      <c r="A20" s="25"/>
      <c r="B20" s="25"/>
      <c r="C20" s="24"/>
      <c r="D20" s="24"/>
      <c r="E20" s="24"/>
      <c r="F20" s="24"/>
      <c r="G20" s="24"/>
      <c r="H20" s="13" t="str">
        <f aca="false">IF($B20="","",MAX(IF(AND(INDEX(Fees!$H$4:$H$9,MATCH($B20,Fees!$A$4:$A$9,0))&gt;0,$D20&lt;INDEX(Fees!$H$4:$H$9,MATCH($B20,Fees!$A$4:$A$9,0))),INDEX(Fees!$I$4:$I$9,MATCH($B20,Fees!$A$4:$A$9,0)),($D20+IF(INDEX(Fees!$G$4:$G$9,MATCH($B20,Fees!$A$4:$A$9,0))="Y",$E20,0))*INDEX(Fees!$B$4:$B$9,MATCH($B20,Fees!$A$4:$A$9,0))+IF(AND(INDEX(Fees!$E$4:$E$9,MATCH($B20,Fees!$A$4:$A$9,0))&gt;0,$D20&lt;=INDEX(Fees!$E$4:$E$9,MATCH($B20,Fees!$A$4:$A$9,0))),INDEX(Fees!$D$4:$D$9,MATCH($B20,Fees!$A$4:$A$9,0)),INDEX(Fees!$C$4:$C$9,MATCH($B20,Fees!$A$4:$A$9,0)))+($D20+IF(INDEX(Fees!$G$4:$G$9,MATCH($B20,Fees!$A$4:$A$9,0))="Y",$E20,0))*INDEX(Fees!$F$4:$F$9,MATCH($B20,Fees!$A$4:$A$9,0))),INDEX(Fees!$J$4:$J$9,MATCH($B20,Fees!$A$4:$A$9,0))))</f>
        <v/>
      </c>
      <c r="I20" s="13" t="str">
        <f aca="false">IF($B20="","",$D20+$E20-$H20)</f>
        <v/>
      </c>
      <c r="J20" s="28" t="str">
        <f aca="false">IF($B20="","",$I20-($C20+$F20+$G20))</f>
        <v/>
      </c>
      <c r="K20" s="14" t="str">
        <f aca="false">IF(OR($B20="",($C20+$F20+$G20)&lt;=0),"",$J20/($C20+$F20+$G20))</f>
        <v/>
      </c>
    </row>
    <row r="21" customFormat="false" ht="15" hidden="false" customHeight="false" outlineLevel="0" collapsed="false">
      <c r="A21" s="25"/>
      <c r="B21" s="25"/>
      <c r="C21" s="24"/>
      <c r="D21" s="24"/>
      <c r="E21" s="24"/>
      <c r="F21" s="24"/>
      <c r="G21" s="24"/>
      <c r="H21" s="13" t="str">
        <f aca="false">IF($B21="","",MAX(IF(AND(INDEX(Fees!$H$4:$H$9,MATCH($B21,Fees!$A$4:$A$9,0))&gt;0,$D21&lt;INDEX(Fees!$H$4:$H$9,MATCH($B21,Fees!$A$4:$A$9,0))),INDEX(Fees!$I$4:$I$9,MATCH($B21,Fees!$A$4:$A$9,0)),($D21+IF(INDEX(Fees!$G$4:$G$9,MATCH($B21,Fees!$A$4:$A$9,0))="Y",$E21,0))*INDEX(Fees!$B$4:$B$9,MATCH($B21,Fees!$A$4:$A$9,0))+IF(AND(INDEX(Fees!$E$4:$E$9,MATCH($B21,Fees!$A$4:$A$9,0))&gt;0,$D21&lt;=INDEX(Fees!$E$4:$E$9,MATCH($B21,Fees!$A$4:$A$9,0))),INDEX(Fees!$D$4:$D$9,MATCH($B21,Fees!$A$4:$A$9,0)),INDEX(Fees!$C$4:$C$9,MATCH($B21,Fees!$A$4:$A$9,0)))+($D21+IF(INDEX(Fees!$G$4:$G$9,MATCH($B21,Fees!$A$4:$A$9,0))="Y",$E21,0))*INDEX(Fees!$F$4:$F$9,MATCH($B21,Fees!$A$4:$A$9,0))),INDEX(Fees!$J$4:$J$9,MATCH($B21,Fees!$A$4:$A$9,0))))</f>
        <v/>
      </c>
      <c r="I21" s="13" t="str">
        <f aca="false">IF($B21="","",$D21+$E21-$H21)</f>
        <v/>
      </c>
      <c r="J21" s="28" t="str">
        <f aca="false">IF($B21="","",$I21-($C21+$F21+$G21))</f>
        <v/>
      </c>
      <c r="K21" s="14" t="str">
        <f aca="false">IF(OR($B21="",($C21+$F21+$G21)&lt;=0),"",$J21/($C21+$F21+$G21))</f>
        <v/>
      </c>
    </row>
    <row r="22" customFormat="false" ht="15" hidden="false" customHeight="false" outlineLevel="0" collapsed="false">
      <c r="A22" s="25"/>
      <c r="B22" s="25"/>
      <c r="C22" s="24"/>
      <c r="D22" s="24"/>
      <c r="E22" s="24"/>
      <c r="F22" s="24"/>
      <c r="G22" s="24"/>
      <c r="H22" s="13" t="str">
        <f aca="false">IF($B22="","",MAX(IF(AND(INDEX(Fees!$H$4:$H$9,MATCH($B22,Fees!$A$4:$A$9,0))&gt;0,$D22&lt;INDEX(Fees!$H$4:$H$9,MATCH($B22,Fees!$A$4:$A$9,0))),INDEX(Fees!$I$4:$I$9,MATCH($B22,Fees!$A$4:$A$9,0)),($D22+IF(INDEX(Fees!$G$4:$G$9,MATCH($B22,Fees!$A$4:$A$9,0))="Y",$E22,0))*INDEX(Fees!$B$4:$B$9,MATCH($B22,Fees!$A$4:$A$9,0))+IF(AND(INDEX(Fees!$E$4:$E$9,MATCH($B22,Fees!$A$4:$A$9,0))&gt;0,$D22&lt;=INDEX(Fees!$E$4:$E$9,MATCH($B22,Fees!$A$4:$A$9,0))),INDEX(Fees!$D$4:$D$9,MATCH($B22,Fees!$A$4:$A$9,0)),INDEX(Fees!$C$4:$C$9,MATCH($B22,Fees!$A$4:$A$9,0)))+($D22+IF(INDEX(Fees!$G$4:$G$9,MATCH($B22,Fees!$A$4:$A$9,0))="Y",$E22,0))*INDEX(Fees!$F$4:$F$9,MATCH($B22,Fees!$A$4:$A$9,0))),INDEX(Fees!$J$4:$J$9,MATCH($B22,Fees!$A$4:$A$9,0))))</f>
        <v/>
      </c>
      <c r="I22" s="13" t="str">
        <f aca="false">IF($B22="","",$D22+$E22-$H22)</f>
        <v/>
      </c>
      <c r="J22" s="28" t="str">
        <f aca="false">IF($B22="","",$I22-($C22+$F22+$G22))</f>
        <v/>
      </c>
      <c r="K22" s="14" t="str">
        <f aca="false">IF(OR($B22="",($C22+$F22+$G22)&lt;=0),"",$J22/($C22+$F22+$G22))</f>
        <v/>
      </c>
    </row>
    <row r="23" customFormat="false" ht="15" hidden="false" customHeight="false" outlineLevel="0" collapsed="false">
      <c r="A23" s="25"/>
      <c r="B23" s="25"/>
      <c r="C23" s="24"/>
      <c r="D23" s="24"/>
      <c r="E23" s="24"/>
      <c r="F23" s="24"/>
      <c r="G23" s="24"/>
      <c r="H23" s="13" t="str">
        <f aca="false">IF($B23="","",MAX(IF(AND(INDEX(Fees!$H$4:$H$9,MATCH($B23,Fees!$A$4:$A$9,0))&gt;0,$D23&lt;INDEX(Fees!$H$4:$H$9,MATCH($B23,Fees!$A$4:$A$9,0))),INDEX(Fees!$I$4:$I$9,MATCH($B23,Fees!$A$4:$A$9,0)),($D23+IF(INDEX(Fees!$G$4:$G$9,MATCH($B23,Fees!$A$4:$A$9,0))="Y",$E23,0))*INDEX(Fees!$B$4:$B$9,MATCH($B23,Fees!$A$4:$A$9,0))+IF(AND(INDEX(Fees!$E$4:$E$9,MATCH($B23,Fees!$A$4:$A$9,0))&gt;0,$D23&lt;=INDEX(Fees!$E$4:$E$9,MATCH($B23,Fees!$A$4:$A$9,0))),INDEX(Fees!$D$4:$D$9,MATCH($B23,Fees!$A$4:$A$9,0)),INDEX(Fees!$C$4:$C$9,MATCH($B23,Fees!$A$4:$A$9,0)))+($D23+IF(INDEX(Fees!$G$4:$G$9,MATCH($B23,Fees!$A$4:$A$9,0))="Y",$E23,0))*INDEX(Fees!$F$4:$F$9,MATCH($B23,Fees!$A$4:$A$9,0))),INDEX(Fees!$J$4:$J$9,MATCH($B23,Fees!$A$4:$A$9,0))))</f>
        <v/>
      </c>
      <c r="I23" s="13" t="str">
        <f aca="false">IF($B23="","",$D23+$E23-$H23)</f>
        <v/>
      </c>
      <c r="J23" s="28" t="str">
        <f aca="false">IF($B23="","",$I23-($C23+$F23+$G23))</f>
        <v/>
      </c>
      <c r="K23" s="14" t="str">
        <f aca="false">IF(OR($B23="",($C23+$F23+$G23)&lt;=0),"",$J23/($C23+$F23+$G23))</f>
        <v/>
      </c>
    </row>
    <row r="25" customFormat="false" ht="15" hidden="false" customHeight="false" outlineLevel="0" collapsed="false">
      <c r="A25" s="21" t="s">
        <v>93</v>
      </c>
      <c r="J25" s="29" t="n">
        <f aca="false">SUM(J4:J23)</f>
        <v>19.48</v>
      </c>
    </row>
  </sheetData>
  <conditionalFormatting sqref="A4:K23">
    <cfRule type="expression" priority="2" aboveAverage="0" equalAverage="0" bottom="0" percent="0" rank="0" text="" dxfId="0">
      <formula>AND($B4&lt;&gt;"",$J4&lt;0)</formula>
    </cfRule>
  </conditionalFormatting>
  <dataValidations count="1">
    <dataValidation allowBlank="true" errorStyle="stop" operator="between" showDropDown="false" showErrorMessage="false" showInputMessage="false" sqref="B4:B23" type="list">
      <formula1>"eBay,Poshmark,Mercari,Depop,Facebook Marketplace,Other / edit me"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2026-09-16T07:23:50Z</dcterms:created>
  <dc:creator>openpyxl</dc:creator>
  <dc:description/>
  <dc:language>en-US</dc:language>
  <cp:lastModifiedBy/>
  <dcterms:modified xsi:type="dcterms:W3CDTF">2026-09-16T07:23:50Z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