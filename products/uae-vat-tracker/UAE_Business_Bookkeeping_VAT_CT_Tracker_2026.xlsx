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<sst xmlns="http://schemas.openxmlformats.org/spreadsheetml/2006/main" count="274" uniqueCount="235">
  <si>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</si>
  <si>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</si>
  <si>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</si>
  <si>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</si>
  <si>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</si>
  <si>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</si>
  <si>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</si>
  <si>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</si>
  <si>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</si>
  <si>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</si>
  <si>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</si>
  <si>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</si>
  <si>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</si>
  <si>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</si>
  <si>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2026.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</si>
  <si>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</si>
  <si>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</si>
  <si>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</si>
  <si>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</si>
  <si>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</si>
  <si>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</si>
  <si>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</si>
  <si>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</si>
  <si>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</si>
  <si>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</si>
  <si>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</si>
  <si>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</si>
  <si>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</si>
  <si>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</si>
  <si>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</si>
  <si>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</si>
  <si>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</si>
  <si>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</si>
  <si>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</si>
  <si>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</si>
  <si>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</si>
  <si>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</si>
  <si>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</si>
  <si>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</si>
  <si>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</si>
  <si>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</si>
  <si>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</si>
  <si>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</si>
  <si>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</si>
  <si>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</si>
  <si>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</si>
  <si>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</si>
  <si>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</si>
  <si>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</si>
  <si>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</si>
  <si>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</si>
  <si>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</si>
  <si>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</si>
  <si>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</si>
  <si>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</si>
  <si>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</si>
  <si>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</si>
  <si>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</si>
  <si>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</si>
  <si>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</si>
  <si>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</si>
  <si>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</si>
  <si>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</si>
  <si>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</si>
  <si>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</si>
  <si>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</si>
  <si>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</si>
  <si>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</si>
  <si>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</si>
  <si>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</si>
  <si>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</si>
  <si>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</si>
  <si>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</si>
  <si>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</si>
  <si>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</si>
  <si>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</si>
  <si>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</si>
  <si>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</si>
  <si>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</si>
  <si>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</si>
  <si>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</si>
  <si>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</si>
  <si>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</si>
  <si>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</si>
  <si>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</si>
  <si>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</si>
  <si>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</si>
  <si>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</si>
  <si>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</si>
  <si>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</si>
  <si>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</si>
  <si>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</si>
  <si>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</si>
  <si>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</si>
  <si>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</si>
  <si>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</si>
  <si>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</si>
  <si>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</si>
  <si>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</si>
  <si>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2026. Election is made in the CT return.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</si>
  <si>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</si>
  <si>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</si>
  <si>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</si>
  <si>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</si>
  <si>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</si>
  <si>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</si>
  <si>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</si>
  <si>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</si>
  <si>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</si>
  <si>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</si>
  <si>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</si>
  <si>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</si>
  <si>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</si>
  <si>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</si>
  <si>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</si>
  <si>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</si>
  <si>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</si>
  <si>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</si>
  <si>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</si>
  <si>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</si>
  <si>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</si>
  <si>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</si>
  <si>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</si>
  <si>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</si>
  <si>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</si>
  <si>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</si>
  <si>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</si>
  <si>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</si>
  <si>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</si>
  <si>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</si>
  <si>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</si>
  <si>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</si>
  <si>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</si>
  <si>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</si>
  <si>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</si>
  <si>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</si>
  <si>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</si>
  <si>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</si>
  <si>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</si>
  <si>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</si>
  <si>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</si>
  <si>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</si>
  <si>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</si>
  <si>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</si>
  <si>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</si>
  <si>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</si>
  <si>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</si>
  <si>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</si>
  <si>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</si>
  <si>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</si>
  <si>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</si>
  <si>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</si>
  <si>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</si>
  <si>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</si>
  <si>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</si>
  <si>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</si>
  <si>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</si>
  <si>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</si>
  <si>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</si>
  <si>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</si>
  <si>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</si>
  <si>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</si>
  <si>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</si>
  <si>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</si>
  <si>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</si>
  <si>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</si>
  <si>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</si>
  <si>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</si>
  <si>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</si>
  <si>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</si>
  <si>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</si>
  <si>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</si>
  <si>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</si>
  <si>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</si>
  <si>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</si>
  <si>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</si>
  <si>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</si>
  <si>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</si>
  <si>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</si>
  <si>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</si>
  <si>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</si>
  <si>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</si>
  <si>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</si>
  <si>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</si>
  <si>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</si>
  <si>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</si>
  <si>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</si>
  <si>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</si>
  <si>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</si>
  <si>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</si>
  <si>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</si>
  <si>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</si>
  <si>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</si>
  <si>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</si>
  <si>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</si>
  <si>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</si>
  <si>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</si>
  <si>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</si>
  <si>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</si>
  <si>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</si>
  <si>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</si>
  <si>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CHECK — income in period not counted in any box above (must be 0)</t>
  </si>
  <si>
    <t xml:space="preserve">Non-recoverable VAT paid in period (cost to you)</t>
  </si>
  <si>
    <t xml:space="preserve">CHECK — expenses in period with an unrecognised VAT treatment (must be 0)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</si>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</sst>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DE9E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10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23.8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15" hidden="false" customHeight="false" outlineLevel="0" collapsed="false">
      <c r="A14" s="12" t="s">
        <v>104</v>
      </c>
      <c r="B14" s="33" t="n">
        <v>46387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219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conditionalFormatting sqref="G4:G503">
    <cfRule type="expression" priority="4" aboveAverage="0" equalAverage="0" bottom="0" percent="0" rank="0" text="" dxfId="11">
      <formula>AND($G4&lt;&gt;"",ISNA(MATCH($G4,INDIRECT("Settings!$G$4:$G$7"),0)))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conditionalFormatting sqref="F4:F503">
    <cfRule type="expression" priority="2" aboveAverage="0" equalAverage="0" bottom="0" percent="0" rank="0" text="" dxfId="11">
      <formula>AND($F4&lt;&gt;"",ISNA(MATCH($F4,INDIRECT("Settings!$G$4:$G$7"),0)))</formula>
    </cfRule>
  </conditionalFormatting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7" customFormat="false" ht="15" hidden="false" customHeight="false" outlineLevel="0" collapsed="false">
      <c r="B17" s="12" t="s">
        <v>201</v>
      </c>
      <c r="D17" s="47" t="n">
        <f aca="false">SUMIFS(Income!$F$4:$F$503,Income!$P$4:$P$503,1)-C9-C10-C11-C12</f>
        <v>0</v>
      </c>
    </row>
    <row r="18" customFormat="false" ht="15" hidden="false" customHeight="false" outlineLevel="0" collapsed="false">
      <c r="B18" s="12" t="s">
        <v>202</v>
      </c>
      <c r="D18" s="48" t="n">
        <f aca="false">SUMIFS(Expenses!$G$4:$G$503,Expenses!$N$4:$N$503,1)-D14</f>
        <v>0</v>
      </c>
    </row>
    <row r="19" customFormat="false" ht="15" hidden="false" customHeight="false" outlineLevel="0" collapsed="false">
      <c r="B19" s="12" t="s">
        <v>203</v>
      </c>
      <c r="D19" s="47" t="n">
        <f aca="false">SUMIFS(Expenses!$E$4:$E$503,Expenses!$N$4:$N$503,1)-SUMIFS(Expenses!$E$4:$E$503,Expenses!$F$4:$F$503,"Standard 5%",Expenses!$N$4:$N$503,1)-SUMIFS(Expenses!$E$4:$E$503,Expenses!$F$4:$F$503,"Zero-rated 0%",Expenses!$N$4:$N$503,1)-SUMIFS(Expenses!$E$4:$E$503,Expenses!$F$4:$F$503,"Exempt",Expenses!$N$4:$N$503,1)-SUMIFS(Expenses!$E$4:$E$503,Expenses!$F$4:$F$503,"Out of scope",Expenses!$N$4:$N$503,1)</f>
        <v>0</v>
      </c>
    </row>
    <row r="20" customFormat="false" ht="15" hidden="false" customHeight="false" outlineLevel="0" collapsed="false">
      <c r="B20" s="12" t="s">
        <v>204</v>
      </c>
      <c r="D20" s="48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205</v>
      </c>
      <c r="D21" s="49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50" t="s">
        <v>206</v>
      </c>
      <c r="C23" s="50"/>
      <c r="D23" s="50"/>
      <c r="E23" s="50"/>
    </row>
  </sheetData>
  <mergeCells count="1">
    <mergeCell ref="B23:E23"/>
  </mergeCells>
  <conditionalFormatting sqref="D17">
    <cfRule type="cellIs" priority="2" operator="notEqual" aboveAverage="0" equalAverage="0" bottom="0" percent="0" rank="0" text="" dxfId="11">
      <formula>0</formula>
    </cfRule>
  </conditionalFormatting>
  <conditionalFormatting sqref="D19">
    <cfRule type="cellIs" priority="3" operator="notEqual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3" customFormat="false" ht="31.5" hidden="false" customHeight="true" outlineLevel="0" collapsed="false">
      <c r="A3" s="11" t="s">
        <v>209</v>
      </c>
      <c r="B3" s="11" t="s">
        <v>210</v>
      </c>
      <c r="C3" s="11" t="s">
        <v>211</v>
      </c>
    </row>
    <row r="4" customFormat="false" ht="15" hidden="false" customHeight="false" outlineLevel="0" collapsed="false">
      <c r="A4" s="12" t="s">
        <v>212</v>
      </c>
      <c r="B4" s="51" t="str">
        <f aca="false">TEXT(FY_START,"dd-mmm-yyyy")&amp;" to "&amp;TEXT(EDATE(FY_START,12)-1,"dd-mmm-yyyy")</f>
        <v>01-Jan-2026 to 31-Dec-2026</v>
      </c>
      <c r="C4" s="24" t="s">
        <v>213</v>
      </c>
    </row>
    <row r="5" customFormat="false" ht="15" hidden="false" customHeight="false" outlineLevel="0" collapsed="false">
      <c r="A5" s="12" t="s">
        <v>214</v>
      </c>
      <c r="B5" s="52" t="n">
        <f aca="false">SUMIFS(Income!$F$4:$F$503,Income!$A$4:$A$503,"&gt;="&amp;FY_START,Income!$A$4:$A$503,"&lt;="&amp;EDATE(FY_START,12)-1)</f>
        <v>24500</v>
      </c>
      <c r="C5" s="24" t="s">
        <v>215</v>
      </c>
    </row>
    <row r="6" customFormat="false" ht="15" hidden="false" customHeight="false" outlineLevel="0" collapsed="false">
      <c r="A6" s="12" t="s">
        <v>216</v>
      </c>
      <c r="B6" s="52" t="n">
        <f aca="false">SUMIFS(Expenses!$E$4:$E$503,Expenses!$L$4:$L$503,"Yes",Expenses!$A$4:$A$503,"&gt;="&amp;FY_START,Expenses!$A$4:$A$503,"&lt;="&amp;EDATE(FY_START,12)-1)</f>
        <v>11400</v>
      </c>
      <c r="C6" s="24" t="s">
        <v>217</v>
      </c>
    </row>
    <row r="7" customFormat="false" ht="15" hidden="false" customHeight="false" outlineLevel="0" collapsed="false">
      <c r="A7" s="12" t="s">
        <v>218</v>
      </c>
      <c r="B7" s="52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219</v>
      </c>
    </row>
    <row r="8" customFormat="false" ht="15" hidden="false" customHeight="false" outlineLevel="0" collapsed="false">
      <c r="A8" s="12" t="s">
        <v>220</v>
      </c>
      <c r="B8" s="53" t="n">
        <v>0</v>
      </c>
      <c r="C8" s="24" t="s">
        <v>221</v>
      </c>
    </row>
    <row r="9" customFormat="false" ht="15" hidden="false" customHeight="false" outlineLevel="0" collapsed="false">
      <c r="A9" s="12" t="s">
        <v>222</v>
      </c>
      <c r="B9" s="52" t="n">
        <f aca="false">B5-B6-B7+B8</f>
        <v>13100</v>
      </c>
      <c r="C9" s="24" t="s">
        <v>223</v>
      </c>
    </row>
    <row r="10" customFormat="false" ht="15" hidden="false" customHeight="false" outlineLevel="0" collapsed="false">
      <c r="A10" s="12" t="s">
        <v>224</v>
      </c>
      <c r="B10" s="51" t="str">
        <f aca="false">SBR_ELECT</f>
        <v>Yes</v>
      </c>
      <c r="C10" s="24" t="s">
        <v>213</v>
      </c>
    </row>
    <row r="11" customFormat="false" ht="15" hidden="false" customHeight="false" outlineLevel="0" collapsed="false">
      <c r="A11" s="12" t="s">
        <v>225</v>
      </c>
      <c r="B11" s="51" t="str">
        <f aca="false">IF(AND(SBR_ELECT="Yes",B5&lt;=SBR_LIMIT,EDATE(FY_START,12)-1&lt;=SBR_END),"Yes","No")</f>
        <v>Yes</v>
      </c>
      <c r="C11" s="24" t="s">
        <v>226</v>
      </c>
    </row>
    <row r="12" customFormat="false" ht="15" hidden="false" customHeight="false" outlineLevel="0" collapsed="false">
      <c r="A12" s="12" t="s">
        <v>227</v>
      </c>
      <c r="B12" s="52" t="n">
        <f aca="false">MAX(0,B9-CT_BAND)</f>
        <v>0</v>
      </c>
      <c r="C12" s="24" t="s">
        <v>228</v>
      </c>
    </row>
    <row r="13" customFormat="false" ht="15" hidden="false" customHeight="false" outlineLevel="0" collapsed="false">
      <c r="A13" s="18" t="s">
        <v>229</v>
      </c>
      <c r="B13" s="54" t="n">
        <f aca="false">IF(B11="Yes",0,B12*CT_RATE)</f>
        <v>0</v>
      </c>
      <c r="C13" s="24" t="s">
        <v>230</v>
      </c>
    </row>
    <row r="14" customFormat="false" ht="15" hidden="false" customHeight="false" outlineLevel="0" collapsed="false">
      <c r="A14" s="12" t="s">
        <v>231</v>
      </c>
      <c r="B14" s="55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232</v>
      </c>
      <c r="B15" s="52" t="n">
        <f aca="false">B13/12</f>
        <v>0</v>
      </c>
      <c r="C15" s="24" t="s">
        <v>233</v>
      </c>
    </row>
    <row r="18" customFormat="false" ht="45" hidden="false" customHeight="true" outlineLevel="0" collapsed="false">
      <c r="A18" s="50" t="s">
        <v>234</v>
      </c>
      <c r="B18" s="50"/>
      <c r="C18" s="50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2026-09-10T07:20:31Z</dcterms:created>
  <dc:creator>openpyxl</dc:creator>
  <dc:description/>
  <dc:language>en-US</dc:language>
  <cp:lastModifiedBy/>
  <dcterms:modified xsi:type="dcterms:W3CDTF">2026-09-10T07:20:32Z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