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Settings" sheetId="3" state="visible" r:id="rId5"/>
    <sheet name="Income" sheetId="4" state="visible" r:id="rId6"/>
    <sheet name="Expenses" sheetId="5" state="visible" r:id="rId7"/>
    <sheet name="VAT Return" sheetId="6" state="visible" r:id="rId8"/>
    <sheet name="Corporate Tax" sheetId="7" state="visible" r:id="rId9"/>
  </sheets>
  <definedNames>
    <definedName function="false" hidden="true" localSheetId="4" name="_xlnm._FilterDatabase" vbProcedure="false">Expenses!$A$3:$N$503</definedName>
    <definedName function="false" hidden="true" localSheetId="3" name="_xlnm._FilterDatabase" vbProcedure="false">Income!$A$3:$P$503</definedName>
    <definedName function="false" hidden="false" name="CT_BAND" vbProcedure="false">Settings!$B$11</definedName>
    <definedName function="false" hidden="false" name="CT_RATE" vbProcedure="false">Settings!$B$10</definedName>
    <definedName function="false" hidden="false" name="FY_START" vbProcedure="false">Settings!$B$5</definedName>
    <definedName function="false" hidden="false" name="OPEN_CASH" vbProcedure="false">Settings!$B$17</definedName>
    <definedName function="false" hidden="false" name="OVERDUE_DAYS" vbProcedure="false">Settings!$B$18</definedName>
    <definedName function="false" hidden="false" name="SBR_ELECT" vbProcedure="false">Settings!$B$12</definedName>
    <definedName function="false" hidden="false" name="SBR_END" vbProcedure="false">Settings!$B$14</definedName>
    <definedName function="false" hidden="false" name="SBR_LIMIT" vbProcedure="false">Settings!$B$13</definedName>
    <definedName function="false" hidden="false" name="VAT_MAND" vbProcedure="false">Settings!$B$8</definedName>
    <definedName function="false" hidden="false" name="VAT_RATE" vbProcedure="false">Settings!$B$7</definedName>
    <definedName function="false" hidden="false" name="VAT_VOL" vbProcedure="false">Settings!$B$9</definedName>
    <definedName function="false" hidden="false" name="VP_END" vbProcedure="false">Settings!$B$16</definedName>
    <definedName function="false" hidden="false" name="VP_START" vbProcedure="false">Settings!$B$15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<sst xmlns="http://schemas.openxmlformats.org/spreadsheetml/2006/main" count="276" uniqueCount="237">
  <si>
    <t xml:space="preserve">UAE Freelancer &amp; Small Business Bookkeeping Tracker 2026</t>
  </si>
  <si>
    <t xml:space="preserve">VAT + Corporate Tax ready · Excel &amp; Google Sheets compatible</t>
  </si>
  <si>
    <t xml:space="preserve">HOW TO USE</t>
  </si>
  <si>
    <t xml:space="preserve">1. Go to Settings and enter your business name, financial-year start, VAT status and your VAT period dates.</t>
  </si>
  <si>
    <t xml:space="preserve">2. Log every invoice you issue in Income (one row per invoice). Choose the VAT treatment from the dropdown — VAT is calculated for you.</t>
  </si>
  <si>
    <t xml:space="preserve">3. Log every business cost in Expenses. Mark whether the input VAT is recoverable (you have a valid tax invoice and the cost is business-related).</t>
  </si>
  <si>
    <t xml:space="preserve">4. Open the VAT Return sheet before each filing: set the period dates and copy the boxes into the FTA EmaraTax portal.</t>
  </si>
  <si>
    <t xml:space="preserve">5. Watch the Dashboard: monthly profit, unpaid invoices, VAT to set aside, and your Corporate Tax estimate update automatically.</t>
  </si>
  <si>
    <t xml:space="preserve">LEGEND</t>
  </si>
  <si>
    <t xml:space="preserve">Blue text = cells you type into.   Black text = formulas (do not edit).   Yellow cells = key settings to check.</t>
  </si>
  <si>
    <t xml:space="preserve">Rows 4–6 of Income and Expenses contain SAMPLE data. Clear the cell contents of those rows (don't delete the rows) before you start.</t>
  </si>
  <si>
    <t xml:space="preserve">Never delete whole rows — clear cell contents instead, so formulas and dropdowns stay intact. Capacity: 500 rows per sheet.</t>
  </si>
  <si>
    <t xml:space="preserve">KEY UAE THRESHOLDS BUILT IN (editable in Settings — verify current figures at tax.gov.ae)</t>
  </si>
  <si>
    <t xml:space="preserve">• VAT: 5% standard rate. Mandatory registration when taxable supplies exceed AED 375,000 in the past 12 months (or expected in the next 30 days); voluntary from AED 187,500.</t>
  </si>
  <si>
    <t xml:space="preserve">• Corporate Tax: 0% on taxable income up to AED 375,000, 9% above. Small Business Relief (elect if revenue ≤ AED 3,000,000) gives 0% for tax periods ending on or before 31 Dec 2029 — extended from 2026 by Ministerial Decision 131 of 2026 (issued 29 July 2026).</t>
  </si>
  <si>
    <t xml:space="preserve">• Registration deadlines and penalties are not modelled — this tracker estimates amounts, it does not file for you.</t>
  </si>
  <si>
    <t xml:space="preserve">DISCLAIMER</t>
  </si>
  <si>
    <t xml:space="preserve">This workbook is a bookkeeping aid, not tax, legal or accounting advice. Figures are estimates based on the settings you enter. Confirm your obligations with the Federal Tax Authority (tax.gov.ae) or a registered tax agent. The author accepts no liability for filings made using this tool.</t>
  </si>
  <si>
    <t xml:space="preserve">Money</t>
  </si>
  <si>
    <t xml:space="preserve">Revenue YTD (excl. VAT)</t>
  </si>
  <si>
    <t xml:space="preserve">Expenses YTD (excl. VAT)</t>
  </si>
  <si>
    <t xml:space="preserve">Profit YTD</t>
  </si>
  <si>
    <t xml:space="preserve">Cash received YTD</t>
  </si>
  <si>
    <t xml:space="preserve">Unpaid invoices (incl. VAT)</t>
  </si>
  <si>
    <t xml:space="preserve">Compliance</t>
  </si>
  <si>
    <t xml:space="preserve">Overdue invoices (count)</t>
  </si>
  <si>
    <t xml:space="preserve">Net VAT due this period</t>
  </si>
  <si>
    <t xml:space="preserve">Corporate Tax estimate (year)</t>
  </si>
  <si>
    <t xml:space="preserve">VAT registration status</t>
  </si>
  <si>
    <t xml:space="preserve">Profit margin YTD</t>
  </si>
  <si>
    <t xml:space="preserve">Month</t>
  </si>
  <si>
    <t xml:space="preserve">Revenue (excl. VAT)</t>
  </si>
  <si>
    <t xml:space="preserve">Expenses (excl. VAT)</t>
  </si>
  <si>
    <t xml:space="preserve">Profit</t>
  </si>
  <si>
    <t xml:space="preserve">Cash in</t>
  </si>
  <si>
    <t xml:space="preserve">Cash out</t>
  </si>
  <si>
    <t xml:space="preserve">Output VAT</t>
  </si>
  <si>
    <t xml:space="preserve">Recoverable input VAT</t>
  </si>
  <si>
    <t xml:space="preserve">Net VAT</t>
  </si>
  <si>
    <t xml:space="preserve">Margin</t>
  </si>
  <si>
    <t xml:space="preserve">TOTAL</t>
  </si>
  <si>
    <t xml:space="preserve">Income by category</t>
  </si>
  <si>
    <t xml:space="preserve">% of total</t>
  </si>
  <si>
    <t xml:space="preserve">Expenses by category</t>
  </si>
  <si>
    <t xml:space="preserve">Amount (excl. VAT)</t>
  </si>
  <si>
    <t xml:space="preserve">Receivables ageing (unpaid)</t>
  </si>
  <si>
    <t xml:space="preserve">Count</t>
  </si>
  <si>
    <t xml:space="preserve">Amount incl. VAT</t>
  </si>
  <si>
    <t xml:space="preserve">Not yet overdue</t>
  </si>
  <si>
    <t xml:space="preserve">Overdue 1–30 days</t>
  </si>
  <si>
    <t xml:space="preserve">Overdue 31–90 days</t>
  </si>
  <si>
    <t xml:space="preserve">Overdue 90+ days</t>
  </si>
  <si>
    <t xml:space="preserve">Settings</t>
  </si>
  <si>
    <t xml:space="preserve">Edit the blue cells. Yellow = check these before use.</t>
  </si>
  <si>
    <t xml:space="preserve">Setting</t>
  </si>
  <si>
    <t xml:space="preserve">Value</t>
  </si>
  <si>
    <t xml:space="preserve">Notes / source</t>
  </si>
  <si>
    <t xml:space="preserve">Income categories</t>
  </si>
  <si>
    <t xml:space="preserve">Expense categories</t>
  </si>
  <si>
    <t xml:space="preserve">VAT treatment</t>
  </si>
  <si>
    <t xml:space="preserve">Business / trade name</t>
  </si>
  <si>
    <t xml:space="preserve">Your Business Name</t>
  </si>
  <si>
    <t xml:space="preserve">Appears on the Dashboard.</t>
  </si>
  <si>
    <t xml:space="preserve">Consulting / services</t>
  </si>
  <si>
    <t xml:space="preserve">Software &amp; subscriptions</t>
  </si>
  <si>
    <t xml:space="preserve">Standard 5%</t>
  </si>
  <si>
    <t xml:space="preserve">Financial year start</t>
  </si>
  <si>
    <t xml:space="preserve">Dashboard months and Corporate Tax estimate run 12 months from this date.</t>
  </si>
  <si>
    <t xml:space="preserve">Freelance project</t>
  </si>
  <si>
    <t xml:space="preserve">Office / coworking rent</t>
  </si>
  <si>
    <t xml:space="preserve">Zero-rated 0%</t>
  </si>
  <si>
    <t xml:space="preserve">VAT registered? (Yes/No)</t>
  </si>
  <si>
    <t xml:space="preserve">Yes</t>
  </si>
  <si>
    <t xml:space="preserve">If No, VAT columns still calculate so you can see what you would charge once registered.</t>
  </si>
  <si>
    <t xml:space="preserve">Retainer</t>
  </si>
  <si>
    <t xml:space="preserve">Trade licence &amp; permits</t>
  </si>
  <si>
    <t xml:space="preserve">Exempt</t>
  </si>
  <si>
    <t xml:space="preserve">Standard VAT rate</t>
  </si>
  <si>
    <t xml:space="preserve">UAE standard rate. Source: Federal Decree-Law No. 8 of 2017, tax.gov.ae; checked 2026-09-17.</t>
  </si>
  <si>
    <t xml:space="preserve">Product sales</t>
  </si>
  <si>
    <t xml:space="preserve">Marketing &amp; advertising</t>
  </si>
  <si>
    <t xml:space="preserve">Out of scope</t>
  </si>
  <si>
    <t xml:space="preserve">VAT mandatory registration threshold</t>
  </si>
  <si>
    <t xml:space="preserve">Taxable supplies in past 12 months (or expected in the next 30 days) - a rolling test, not a year-end one. Unchanged for 2026; checked 2026-09-17.</t>
  </si>
  <si>
    <t xml:space="preserve">Commission</t>
  </si>
  <si>
    <t xml:space="preserve">Travel &amp; transport</t>
  </si>
  <si>
    <t xml:space="preserve">VAT voluntary registration threshold</t>
  </si>
  <si>
    <t xml:space="preserve">Optional registration is available from this level of supplies or taxable expenses. Unchanged for 2026; checked 2026-09-17.</t>
  </si>
  <si>
    <t xml:space="preserve">Training</t>
  </si>
  <si>
    <t xml:space="preserve">Telecom &amp; internet</t>
  </si>
  <si>
    <t xml:space="preserve">Yes/No</t>
  </si>
  <si>
    <t xml:space="preserve">Corporate Tax rate</t>
  </si>
  <si>
    <t xml:space="preserve">Source: Federal Decree-Law No. 47 of 2022; checked 2026-09-17.</t>
  </si>
  <si>
    <t xml:space="preserve">Other income</t>
  </si>
  <si>
    <t xml:space="preserve">Professional fees (legal/accounting)</t>
  </si>
  <si>
    <t xml:space="preserve">Corporate Tax 0% band (taxable income)</t>
  </si>
  <si>
    <t xml:space="preserve">Taxable income up to this amount is taxed at 0%. Source: Federal Decree-Law No. 47 of 2022; checked 2026-09-17.</t>
  </si>
  <si>
    <t xml:space="preserve">Bank &amp; payment fees</t>
  </si>
  <si>
    <t xml:space="preserve">No</t>
  </si>
  <si>
    <t xml:space="preserve">Elect Small Business Relief? (Yes/No)</t>
  </si>
  <si>
    <t xml:space="preserve">Available if revenue ≤ threshold below, for tax periods ending on or before 31 Dec 2029 (extended by Ministerial Decision 131 of 2026). Election is made in the CT return, every period — it is not automatic.</t>
  </si>
  <si>
    <t xml:space="preserve">Equipment &amp; hardware</t>
  </si>
  <si>
    <t xml:space="preserve">Small Business Relief revenue threshold</t>
  </si>
  <si>
    <t xml:space="preserve">Revenue, not profit - the test is turnover. Source: Ministerial Decision 73 of 2023; checked 2026-09-17.</t>
  </si>
  <si>
    <t xml:space="preserve">Contractors &amp; salaries</t>
  </si>
  <si>
    <t xml:space="preserve">Payment method</t>
  </si>
  <si>
    <t xml:space="preserve">Small Business Relief last eligible period end</t>
  </si>
  <si>
    <t xml:space="preserve">Relief not available for periods ending after this date. Extended from 31 Dec 2026 to 31 Dec 2029 by Ministerial Decision 131 of 2026; checked 2026-09-10.</t>
  </si>
  <si>
    <t xml:space="preserve">Insurance</t>
  </si>
  <si>
    <t xml:space="preserve">Bank transfer</t>
  </si>
  <si>
    <t xml:space="preserve">Current VAT return period — start</t>
  </si>
  <si>
    <t xml:space="preserve">Your FTA-assigned tax period (quarterly for most SMEs). Used by the VAT Return sheet.</t>
  </si>
  <si>
    <t xml:space="preserve">Meals &amp; entertainment</t>
  </si>
  <si>
    <t xml:space="preserve">Card</t>
  </si>
  <si>
    <t xml:space="preserve">Current VAT return period — end</t>
  </si>
  <si>
    <t xml:space="preserve">Other expense</t>
  </si>
  <si>
    <t xml:space="preserve">Cash</t>
  </si>
  <si>
    <t xml:space="preserve">Opening cash balance</t>
  </si>
  <si>
    <t xml:space="preserve">Bank + cash at financial-year start (for the cash position tile).</t>
  </si>
  <si>
    <t xml:space="preserve">PayPal / Stripe</t>
  </si>
  <si>
    <t xml:space="preserve">Invoice overdue after (days)</t>
  </si>
  <si>
    <t xml:space="preserve">Used for the receivables ageing on the Dashboard.</t>
  </si>
  <si>
    <t xml:space="preserve">Payment status</t>
  </si>
  <si>
    <t xml:space="preserve">Cheque</t>
  </si>
  <si>
    <t xml:space="preserve">Paid</t>
  </si>
  <si>
    <t xml:space="preserve">Other</t>
  </si>
  <si>
    <t xml:space="preserve">Emirates ID / TRN (optional, for your records)</t>
  </si>
  <si>
    <t xml:space="preserve">Unpaid</t>
  </si>
  <si>
    <t xml:space="preserve">Tax Registration Number (TRN)</t>
  </si>
  <si>
    <t xml:space="preserve">Partially paid</t>
  </si>
  <si>
    <t xml:space="preserve">Written off</t>
  </si>
  <si>
    <t xml:space="preserve">Income — invoices issued</t>
  </si>
  <si>
    <t xml:space="preserve">One row per invoice. Blue = type. VAT, totals and ageing are calculated.</t>
  </si>
  <si>
    <t xml:space="preserve">Invoice date</t>
  </si>
  <si>
    <t xml:space="preserve">Invoice #</t>
  </si>
  <si>
    <t xml:space="preserve">Client</t>
  </si>
  <si>
    <t xml:space="preserve">Description</t>
  </si>
  <si>
    <t xml:space="preserve">Category</t>
  </si>
  <si>
    <t xml:space="preserve">Amount excl. VAT (AED)</t>
  </si>
  <si>
    <t xml:space="preserve">VAT amount (AED)</t>
  </si>
  <si>
    <t xml:space="preserve">Total incl. VAT (AED)</t>
  </si>
  <si>
    <t xml:space="preserve">Date paid</t>
  </si>
  <si>
    <t xml:space="preserve">Amount received (AED)</t>
  </si>
  <si>
    <t xml:space="preserve">Days outstanding</t>
  </si>
  <si>
    <t xml:space="preserve">Overdue?</t>
  </si>
  <si>
    <t xml:space="preserve">Month #</t>
  </si>
  <si>
    <t xml:space="preserve">In VAT period?</t>
  </si>
  <si>
    <t xml:space="preserve">INV-001</t>
  </si>
  <si>
    <t xml:space="preserve">Al Noor Trading LLC</t>
  </si>
  <si>
    <t xml:space="preserve">Brand strategy workshop</t>
  </si>
  <si>
    <t xml:space="preserve">INV-002</t>
  </si>
  <si>
    <t xml:space="preserve">Sarah K. (Dubai)</t>
  </si>
  <si>
    <t xml:space="preserve">Website copywriting</t>
  </si>
  <si>
    <t xml:space="preserve">INV-003</t>
  </si>
  <si>
    <t xml:space="preserve">Nordic Design AB (Sweden)</t>
  </si>
  <si>
    <t xml:space="preserve">Export of design services</t>
  </si>
  <si>
    <t xml:space="preserve">Expenses — business costs</t>
  </si>
  <si>
    <t xml:space="preserve">One row per receipt / bill. Only tick 'Yes' for recoverable input VAT if you hold a valid tax invoice.</t>
  </si>
  <si>
    <t xml:space="preserve">Date</t>
  </si>
  <si>
    <t xml:space="preserve">Supplier</t>
  </si>
  <si>
    <t xml:space="preserve">VAT on invoice (AED)</t>
  </si>
  <si>
    <t xml:space="preserve">Input VAT recoverable? (Yes/No)</t>
  </si>
  <si>
    <t xml:space="preserve">Recoverable VAT (AED)</t>
  </si>
  <si>
    <t xml:space="preserve">Total paid (AED)</t>
  </si>
  <si>
    <t xml:space="preserve">Deductible for CT? (Yes/No)</t>
  </si>
  <si>
    <t xml:space="preserve">Dubai Economy (DED)</t>
  </si>
  <si>
    <t xml:space="preserve">Freelance permit renewal</t>
  </si>
  <si>
    <t xml:space="preserve">Adobe</t>
  </si>
  <si>
    <t xml:space="preserve">Creative Cloud annual</t>
  </si>
  <si>
    <t xml:space="preserve">Nasab Coworking</t>
  </si>
  <si>
    <t xml:space="preserve">Hot desk — February</t>
  </si>
  <si>
    <t xml:space="preserve">VAT Return helper</t>
  </si>
  <si>
    <t xml:space="preserve">Set the period in Settings (B15:B16). Copy these boxes into the FTA EmaraTax return.</t>
  </si>
  <si>
    <t xml:space="preserve">Period start</t>
  </si>
  <si>
    <t xml:space="preserve">Period end</t>
  </si>
  <si>
    <t xml:space="preserve">VAT registered?</t>
  </si>
  <si>
    <t xml:space="preserve">Box</t>
  </si>
  <si>
    <t xml:space="preserve">Amount (AED)</t>
  </si>
  <si>
    <t xml:space="preserve">VAT (AED)</t>
  </si>
  <si>
    <t xml:space="preserve">How it is calculated</t>
  </si>
  <si>
    <t xml:space="preserve">1a</t>
  </si>
  <si>
    <t xml:space="preserve">Standard-rated supplies (sales at 5%)</t>
  </si>
  <si>
    <t xml:space="preserve">Income rows dated within the period with VAT treatment 'Standard 5%'.</t>
  </si>
  <si>
    <t xml:space="preserve">4</t>
  </si>
  <si>
    <t xml:space="preserve">Zero-rated supplies (exports, certain services)</t>
  </si>
  <si>
    <t xml:space="preserve">Income rows with 'Zero-rated 0%'.</t>
  </si>
  <si>
    <t xml:space="preserve">5</t>
  </si>
  <si>
    <t xml:space="preserve">Exempt supplies</t>
  </si>
  <si>
    <t xml:space="preserve">Income rows with 'Exempt'.</t>
  </si>
  <si>
    <t xml:space="preserve">—</t>
  </si>
  <si>
    <t xml:space="preserve">Out-of-scope income (not reported on the return)</t>
  </si>
  <si>
    <t xml:space="preserve">Shown for reconciliation only.</t>
  </si>
  <si>
    <t xml:space="preserve">8</t>
  </si>
  <si>
    <t xml:space="preserve">TOTAL OUTPUT VAT DUE</t>
  </si>
  <si>
    <t xml:space="preserve">Sum of boxes 1a, 4, 5.</t>
  </si>
  <si>
    <t xml:space="preserve">9</t>
  </si>
  <si>
    <t xml:space="preserve">Standard-rated expenses with recoverable input VAT</t>
  </si>
  <si>
    <t xml:space="preserve">Expense rows in the period where 'Input VAT recoverable' = Yes and treatment = Standard 5%.</t>
  </si>
  <si>
    <t xml:space="preserve">11</t>
  </si>
  <si>
    <t xml:space="preserve">TOTAL RECOVERABLE INPUT VAT</t>
  </si>
  <si>
    <t xml:space="preserve">12/13</t>
  </si>
  <si>
    <t xml:space="preserve">NET VAT PAYABLE (positive) / REFUNDABLE (negative)</t>
  </si>
  <si>
    <t xml:space="preserve">Output VAT − recoverable input VAT.</t>
  </si>
  <si>
    <t xml:space="preserve">CHECK — income in period not counted in any box above (must be 0)</t>
  </si>
  <si>
    <t xml:space="preserve">Non-recoverable VAT paid in period (cost to you)</t>
  </si>
  <si>
    <t xml:space="preserve">CHECK — expenses in period with an unrecognised VAT treatment (must be 0)</t>
  </si>
  <si>
    <t xml:space="preserve">Registration check — taxable turnover, last 12 months to today</t>
  </si>
  <si>
    <t xml:space="preserve">Status vs thresholds</t>
  </si>
  <si>
    <t xml:space="preserve">Note: taxable turnover = standard-rated + zero-rated supplies (exempt and out-of-scope excluded). Always confirm box mapping against the current FTA return form.</t>
  </si>
  <si>
    <t xml:space="preserve">Corporate Tax estimate — current financial year</t>
  </si>
  <si>
    <t xml:space="preserve">Accrual basis: all invoices issued and costs incurred in the 12 months from the financial-year start.</t>
  </si>
  <si>
    <t xml:space="preserve">Line</t>
  </si>
  <si>
    <t xml:space="preserve">AED</t>
  </si>
  <si>
    <t xml:space="preserve">Notes</t>
  </si>
  <si>
    <t xml:space="preserve">Financial year</t>
  </si>
  <si>
    <t xml:space="preserve">From Settings.</t>
  </si>
  <si>
    <t xml:space="preserve">Revenue (all income excl. VAT)</t>
  </si>
  <si>
    <t xml:space="preserve">All Income rows in the year, regardless of payment status (accrual).</t>
  </si>
  <si>
    <t xml:space="preserve">Deductible expenses (excl. VAT, marked deductible = Yes)</t>
  </si>
  <si>
    <t xml:space="preserve">Note: entertainment is only 50% deductible under UAE CT law — adjust below if relevant.</t>
  </si>
  <si>
    <t xml:space="preserve">Non-recoverable VAT on deductible expenses</t>
  </si>
  <si>
    <t xml:space="preserve">Irrecoverable VAT is a business cost.</t>
  </si>
  <si>
    <t xml:space="preserve">Manual adjustments (+ adds to income / − deducts)</t>
  </si>
  <si>
    <t xml:space="preserve">Blue input: e.g. −50% of meals &amp; entertainment, depreciation, disallowed fines.</t>
  </si>
  <si>
    <t xml:space="preserve">Accounting / taxable profit (estimate)</t>
  </si>
  <si>
    <t xml:space="preserve">Revenue − expenses − irrecoverable VAT + adjustments.</t>
  </si>
  <si>
    <t xml:space="preserve">Small Business Relief elected?</t>
  </si>
  <si>
    <t xml:space="preserve">Eligible for Small Business Relief this year?</t>
  </si>
  <si>
    <t xml:space="preserve">Requires revenue ≤ threshold AND period ending on/before the relief end date.</t>
  </si>
  <si>
    <t xml:space="preserve">Taxable income above 0% band</t>
  </si>
  <si>
    <t xml:space="preserve">Profit above the AED 375,000 band.</t>
  </si>
  <si>
    <t xml:space="preserve">ESTIMATED CORPORATE TAX</t>
  </si>
  <si>
    <t xml:space="preserve">0 if relief applies; otherwise 9% × income above the band.</t>
  </si>
  <si>
    <t xml:space="preserve">Effective tax rate on profit</t>
  </si>
  <si>
    <t xml:space="preserve">Suggested monthly set-aside for CT</t>
  </si>
  <si>
    <t xml:space="preserve">Park this each month so the payment is painless.</t>
  </si>
  <si>
    <t xml:space="preserve">Reminder: every taxable person (including freelancers with a licence/permit) must register for Corporate Tax with the FTA and file a return within 9 months of the financial-year end, even when the tax due is zero or Small Business Relief is claimed. Registration deadlines and penalties are not modelled here.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</si>
</sst>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AED &quot;#,##0;&quot;(AED &quot;#,##0\);\-"/>
    <numFmt numFmtId="166" formatCode="0"/>
    <numFmt numFmtId="167" formatCode="0.0%"/>
    <numFmt numFmtId="168" formatCode="dd\-mmm\-yyyy"/>
    <numFmt numFmtId="169" formatCode="&quot;AED &quot;#,##0.00;&quot;(AED &quot;#,##0.00\);\-"/>
    <numFmt numFmtId="170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7F7F7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AF1F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1F3A5F"/>
        <bgColor rgb="FF333333"/>
      </patternFill>
    </fill>
    <fill>
      <patternFill patternType="solid">
        <fgColor rgb="FFF2F2F2"/>
        <bgColor rgb="FFEAF1FB"/>
      </patternFill>
    </fill>
    <fill>
      <patternFill patternType="solid">
        <fgColor rgb="FFFFF2CC"/>
        <bgColor rgb="FFFDE9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5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name val="Arial"/>
        <charset val="1"/>
        <family val="0"/>
        <color rgb="FFC00000"/>
      </font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DE9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>
          <bgColor rgb="FFFDE9E7"/>
        </patternFill>
      </fill>
    </dxf>
    <dxf>
      <fill>
        <patternFill>
          <bgColor rgb="FFE8F5E9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DE9E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F2F2F2"/>
      <rgbColor rgb="FFFDE9E7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15" hidden="false" customHeight="false" outlineLevel="0" collapsed="false">
      <c r="B9" s="4" t="s">
        <v>7</v>
      </c>
    </row>
    <row r="10" customFormat="false" ht="15" hidden="false" customHeight="false" outlineLevel="0" collapsed="false">
      <c r="B10" s="4"/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4"/>
    </row>
    <row r="16" customFormat="false" ht="15" hidden="false" customHeight="false" outlineLevel="0" collapsed="false">
      <c r="B16" s="3" t="s">
        <v>12</v>
      </c>
    </row>
    <row r="17" customFormat="false" ht="23.85" hidden="false" customHeight="false" outlineLevel="0" collapsed="false">
      <c r="B17" s="4" t="s">
        <v>13</v>
      </c>
    </row>
    <row r="18" customFormat="false" ht="23.8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4"/>
    </row>
    <row r="21" customFormat="false" ht="15" hidden="false" customHeight="false" outlineLevel="0" collapsed="false">
      <c r="B21" s="3" t="s">
        <v>16</v>
      </c>
    </row>
    <row r="22" customFormat="false" ht="23.85" hidden="false" customHeight="false" outlineLevel="0" collapsed="false">
      <c r="B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7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9.7" hidden="false" customHeight="false" outlineLevel="0" collapsed="false">
      <c r="A1" s="1" t="str">
        <f aca="false">Settings!B4&amp;" — Dashboard"</f>
        <v>Your Business Name — Dashboard</v>
      </c>
    </row>
    <row r="2" customFormat="false" ht="15" hidden="false" customHeight="false" outlineLevel="0" collapsed="false">
      <c r="A2" s="2" t="str">
        <f aca="true">"Financial year from "&amp;TEXT(FY_START,"dd mmm yyyy")&amp;"   ·   Today: "&amp;TEXT(TODAY(),"dd mmm yyyy")</f>
        <v>Financial year from 01 Jan 2026   ·   Today: 20 Sep 2026</v>
      </c>
    </row>
    <row r="4" customFormat="false" ht="27.75" hidden="false" customHeight="true" outlineLevel="0" collapsed="false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</row>
    <row r="5" customFormat="false" ht="25.5" hidden="false" customHeight="true" outlineLevel="0" collapsed="false">
      <c r="B5" s="7" t="n">
        <f aca="false">SUMIFS(Income!$F$4:$F$503,Income!$O$4:$O$503,"&gt;=1",Income!$O$4:$O$503,"&lt;=12")</f>
        <v>24500</v>
      </c>
      <c r="C5" s="7" t="n">
        <f aca="false">SUMIFS(Expenses!$E$4:$E$503,Expenses!$M$4:$M$503,"&gt;=1",Expenses!$M$4:$M$503,"&lt;=12")</f>
        <v>11400</v>
      </c>
      <c r="D5" s="7" t="n">
        <f aca="false">B5-C5</f>
        <v>13100</v>
      </c>
      <c r="E5" s="7" t="n">
        <f aca="false">OPEN_CASH+SUMIFS(Income!$L$4:$L$503,Income!$O$4:$O$503,"&gt;=1",Income!$O$4:$O$503,"&lt;=12")-SUMIFS(Expenses!$J$4:$J$503,Expenses!$M$4:$M$503,"&gt;=1",Expenses!$M$4:$M$503,"&lt;=12")</f>
        <v>9005</v>
      </c>
      <c r="F5" s="7" t="n">
        <f aca="false">SUMIFS(Income!$I$4:$I$503,Income!$J$4:$J$503,"Unpaid")+SUMIFS(Income!$I$4:$I$503,Income!$J$4:$J$503,"Partially paid")-SUMIFS(Income!$L$4:$L$503,Income!$J$4:$J$503,"Partially paid")</f>
        <v>4725</v>
      </c>
    </row>
    <row r="7" customFormat="false" ht="27.75" hidden="false" customHeight="true" outlineLevel="0" collapsed="false">
      <c r="A7" s="5" t="s">
        <v>24</v>
      </c>
      <c r="B7" s="6" t="s">
        <v>25</v>
      </c>
      <c r="C7" s="6" t="s">
        <v>26</v>
      </c>
      <c r="D7" s="6" t="s">
        <v>27</v>
      </c>
      <c r="E7" s="6" t="s">
        <v>28</v>
      </c>
      <c r="F7" s="6" t="s">
        <v>29</v>
      </c>
    </row>
    <row r="8" customFormat="false" ht="25.5" hidden="false" customHeight="true" outlineLevel="0" collapsed="false">
      <c r="B8" s="8" t="n">
        <f aca="false">COUNTIF(Income!$N$4:$N$503,"OVERDUE")</f>
        <v>1</v>
      </c>
      <c r="C8" s="7" t="n">
        <f aca="false">'VAT Return'!D16</f>
        <v>630</v>
      </c>
      <c r="D8" s="7" t="n">
        <f aca="false">'Corporate Tax'!B13</f>
        <v>0</v>
      </c>
      <c r="E8" s="9" t="str">
        <f aca="false">IF('VAT Return'!D20&gt;=VAT_MAND,"Mandatory",IF('VAT Return'!D20&gt;=VAT_VOL,"Voluntary","Below"))</f>
        <v>Below</v>
      </c>
      <c r="F8" s="10" t="n">
        <f aca="false">IF(B5=0,0,D5/B5)</f>
        <v>0.53469387755102</v>
      </c>
    </row>
    <row r="10" customFormat="false" ht="31.5" hidden="false" customHeight="true" outlineLevel="0" collapsed="false">
      <c r="A10" s="11" t="s">
        <v>30</v>
      </c>
      <c r="B10" s="11" t="s">
        <v>31</v>
      </c>
      <c r="C10" s="11" t="s">
        <v>32</v>
      </c>
      <c r="D10" s="11" t="s">
        <v>33</v>
      </c>
      <c r="E10" s="11" t="s">
        <v>34</v>
      </c>
      <c r="F10" s="11" t="s">
        <v>35</v>
      </c>
      <c r="G10" s="11" t="s">
        <v>36</v>
      </c>
      <c r="H10" s="11" t="s">
        <v>37</v>
      </c>
      <c r="I10" s="11" t="s">
        <v>38</v>
      </c>
      <c r="J10" s="11" t="s">
        <v>39</v>
      </c>
    </row>
    <row r="11" customFormat="false" ht="15" hidden="false" customHeight="false" outlineLevel="0" collapsed="false">
      <c r="A11" s="12" t="str">
        <f aca="false">TEXT(EDATE(FY_START,0),"mmm yyyy")</f>
        <v>Jan 2026</v>
      </c>
      <c r="B11" s="13" t="n">
        <f aca="false">SUMIFS(Income!$F$4:$F$503,Income!$O$4:$O$503,1)</f>
        <v>12000</v>
      </c>
      <c r="C11" s="13" t="n">
        <f aca="false">SUMIFS(Expenses!$E$4:$E$503,Expenses!$M$4:$M$503,1)</f>
        <v>9900</v>
      </c>
      <c r="D11" s="13" t="n">
        <f aca="false">B11-C11</f>
        <v>2100</v>
      </c>
      <c r="E11" s="13" t="n">
        <f aca="false">SUMIFS(Income!$L$4:$L$503,Income!$O$4:$O$503,1)</f>
        <v>12600</v>
      </c>
      <c r="F11" s="13" t="n">
        <f aca="false">SUMIFS(Expenses!$J$4:$J$503,Expenses!$M$4:$M$503,1)</f>
        <v>10020</v>
      </c>
      <c r="G11" s="13" t="n">
        <f aca="false">SUMIFS(Income!$H$4:$H$503,Income!$O$4:$O$503,1)</f>
        <v>600</v>
      </c>
      <c r="H11" s="13" t="n">
        <f aca="false">SUMIFS(Expenses!$I$4:$I$503,Expenses!$M$4:$M$503,1)</f>
        <v>120</v>
      </c>
      <c r="I11" s="13" t="n">
        <f aca="false">G11-H11</f>
        <v>480</v>
      </c>
      <c r="J11" s="14" t="n">
        <f aca="false">IF(B11=0,0,D11/B11)</f>
        <v>0.175</v>
      </c>
    </row>
    <row r="12" customFormat="false" ht="15" hidden="false" customHeight="false" outlineLevel="0" collapsed="false">
      <c r="A12" s="15" t="str">
        <f aca="false">TEXT(EDATE(FY_START,1),"mmm yyyy")</f>
        <v>Feb 2026</v>
      </c>
      <c r="B12" s="16" t="n">
        <f aca="false">SUMIFS(Income!$F$4:$F$503,Income!$O$4:$O$503,2)</f>
        <v>12500</v>
      </c>
      <c r="C12" s="16" t="n">
        <f aca="false">SUMIFS(Expenses!$E$4:$E$503,Expenses!$M$4:$M$503,2)</f>
        <v>1500</v>
      </c>
      <c r="D12" s="16" t="n">
        <f aca="false">B12-C12</f>
        <v>11000</v>
      </c>
      <c r="E12" s="16" t="n">
        <f aca="false">SUMIFS(Income!$L$4:$L$503,Income!$O$4:$O$503,2)</f>
        <v>8000</v>
      </c>
      <c r="F12" s="16" t="n">
        <f aca="false">SUMIFS(Expenses!$J$4:$J$503,Expenses!$M$4:$M$503,2)</f>
        <v>1575</v>
      </c>
      <c r="G12" s="16" t="n">
        <f aca="false">SUMIFS(Income!$H$4:$H$503,Income!$O$4:$O$503,2)</f>
        <v>225</v>
      </c>
      <c r="H12" s="16" t="n">
        <f aca="false">SUMIFS(Expenses!$I$4:$I$503,Expenses!$M$4:$M$503,2)</f>
        <v>75</v>
      </c>
      <c r="I12" s="16" t="n">
        <f aca="false">G12-H12</f>
        <v>150</v>
      </c>
      <c r="J12" s="17" t="n">
        <f aca="false">IF(B12=0,0,D12/B12)</f>
        <v>0.88</v>
      </c>
    </row>
    <row r="13" customFormat="false" ht="15" hidden="false" customHeight="false" outlineLevel="0" collapsed="false">
      <c r="A13" s="12" t="str">
        <f aca="false">TEXT(EDATE(FY_START,2),"mmm yyyy")</f>
        <v>Mar 2026</v>
      </c>
      <c r="B13" s="13" t="n">
        <f aca="false">SUMIFS(Income!$F$4:$F$503,Income!$O$4:$O$503,3)</f>
        <v>0</v>
      </c>
      <c r="C13" s="13" t="n">
        <f aca="false">SUMIFS(Expenses!$E$4:$E$503,Expenses!$M$4:$M$503,3)</f>
        <v>0</v>
      </c>
      <c r="D13" s="13" t="n">
        <f aca="false">B13-C13</f>
        <v>0</v>
      </c>
      <c r="E13" s="13" t="n">
        <f aca="false">SUMIFS(Income!$L$4:$L$503,Income!$O$4:$O$503,3)</f>
        <v>0</v>
      </c>
      <c r="F13" s="13" t="n">
        <f aca="false">SUMIFS(Expenses!$J$4:$J$503,Expenses!$M$4:$M$503,3)</f>
        <v>0</v>
      </c>
      <c r="G13" s="13" t="n">
        <f aca="false">SUMIFS(Income!$H$4:$H$503,Income!$O$4:$O$503,3)</f>
        <v>0</v>
      </c>
      <c r="H13" s="13" t="n">
        <f aca="false">SUMIFS(Expenses!$I$4:$I$503,Expenses!$M$4:$M$503,3)</f>
        <v>0</v>
      </c>
      <c r="I13" s="13" t="n">
        <f aca="false">G13-H13</f>
        <v>0</v>
      </c>
      <c r="J13" s="14" t="n">
        <f aca="false">IF(B13=0,0,D13/B13)</f>
        <v>0</v>
      </c>
    </row>
    <row r="14" customFormat="false" ht="15" hidden="false" customHeight="false" outlineLevel="0" collapsed="false">
      <c r="A14" s="15" t="str">
        <f aca="false">TEXT(EDATE(FY_START,3),"mmm yyyy")</f>
        <v>Apr 2026</v>
      </c>
      <c r="B14" s="16" t="n">
        <f aca="false">SUMIFS(Income!$F$4:$F$503,Income!$O$4:$O$503,4)</f>
        <v>0</v>
      </c>
      <c r="C14" s="16" t="n">
        <f aca="false">SUMIFS(Expenses!$E$4:$E$503,Expenses!$M$4:$M$503,4)</f>
        <v>0</v>
      </c>
      <c r="D14" s="16" t="n">
        <f aca="false">B14-C14</f>
        <v>0</v>
      </c>
      <c r="E14" s="16" t="n">
        <f aca="false">SUMIFS(Income!$L$4:$L$503,Income!$O$4:$O$503,4)</f>
        <v>0</v>
      </c>
      <c r="F14" s="16" t="n">
        <f aca="false">SUMIFS(Expenses!$J$4:$J$503,Expenses!$M$4:$M$503,4)</f>
        <v>0</v>
      </c>
      <c r="G14" s="16" t="n">
        <f aca="false">SUMIFS(Income!$H$4:$H$503,Income!$O$4:$O$503,4)</f>
        <v>0</v>
      </c>
      <c r="H14" s="16" t="n">
        <f aca="false">SUMIFS(Expenses!$I$4:$I$503,Expenses!$M$4:$M$503,4)</f>
        <v>0</v>
      </c>
      <c r="I14" s="16" t="n">
        <f aca="false">G14-H14</f>
        <v>0</v>
      </c>
      <c r="J14" s="17" t="n">
        <f aca="false">IF(B14=0,0,D14/B14)</f>
        <v>0</v>
      </c>
    </row>
    <row r="15" customFormat="false" ht="15" hidden="false" customHeight="false" outlineLevel="0" collapsed="false">
      <c r="A15" s="12" t="str">
        <f aca="false">TEXT(EDATE(FY_START,4),"mmm yyyy")</f>
        <v>May 2026</v>
      </c>
      <c r="B15" s="13" t="n">
        <f aca="false">SUMIFS(Income!$F$4:$F$503,Income!$O$4:$O$503,5)</f>
        <v>0</v>
      </c>
      <c r="C15" s="13" t="n">
        <f aca="false">SUMIFS(Expenses!$E$4:$E$503,Expenses!$M$4:$M$503,5)</f>
        <v>0</v>
      </c>
      <c r="D15" s="13" t="n">
        <f aca="false">B15-C15</f>
        <v>0</v>
      </c>
      <c r="E15" s="13" t="n">
        <f aca="false">SUMIFS(Income!$L$4:$L$503,Income!$O$4:$O$503,5)</f>
        <v>0</v>
      </c>
      <c r="F15" s="13" t="n">
        <f aca="false">SUMIFS(Expenses!$J$4:$J$503,Expenses!$M$4:$M$503,5)</f>
        <v>0</v>
      </c>
      <c r="G15" s="13" t="n">
        <f aca="false">SUMIFS(Income!$H$4:$H$503,Income!$O$4:$O$503,5)</f>
        <v>0</v>
      </c>
      <c r="H15" s="13" t="n">
        <f aca="false">SUMIFS(Expenses!$I$4:$I$503,Expenses!$M$4:$M$503,5)</f>
        <v>0</v>
      </c>
      <c r="I15" s="13" t="n">
        <f aca="false">G15-H15</f>
        <v>0</v>
      </c>
      <c r="J15" s="14" t="n">
        <f aca="false">IF(B15=0,0,D15/B15)</f>
        <v>0</v>
      </c>
    </row>
    <row r="16" customFormat="false" ht="15" hidden="false" customHeight="false" outlineLevel="0" collapsed="false">
      <c r="A16" s="15" t="str">
        <f aca="false">TEXT(EDATE(FY_START,5),"mmm yyyy")</f>
        <v>Jun 2026</v>
      </c>
      <c r="B16" s="16" t="n">
        <f aca="false">SUMIFS(Income!$F$4:$F$503,Income!$O$4:$O$503,6)</f>
        <v>0</v>
      </c>
      <c r="C16" s="16" t="n">
        <f aca="false">SUMIFS(Expenses!$E$4:$E$503,Expenses!$M$4:$M$503,6)</f>
        <v>0</v>
      </c>
      <c r="D16" s="16" t="n">
        <f aca="false">B16-C16</f>
        <v>0</v>
      </c>
      <c r="E16" s="16" t="n">
        <f aca="false">SUMIFS(Income!$L$4:$L$503,Income!$O$4:$O$503,6)</f>
        <v>0</v>
      </c>
      <c r="F16" s="16" t="n">
        <f aca="false">SUMIFS(Expenses!$J$4:$J$503,Expenses!$M$4:$M$503,6)</f>
        <v>0</v>
      </c>
      <c r="G16" s="16" t="n">
        <f aca="false">SUMIFS(Income!$H$4:$H$503,Income!$O$4:$O$503,6)</f>
        <v>0</v>
      </c>
      <c r="H16" s="16" t="n">
        <f aca="false">SUMIFS(Expenses!$I$4:$I$503,Expenses!$M$4:$M$503,6)</f>
        <v>0</v>
      </c>
      <c r="I16" s="16" t="n">
        <f aca="false">G16-H16</f>
        <v>0</v>
      </c>
      <c r="J16" s="17" t="n">
        <f aca="false">IF(B16=0,0,D16/B16)</f>
        <v>0</v>
      </c>
    </row>
    <row r="17" customFormat="false" ht="15" hidden="false" customHeight="false" outlineLevel="0" collapsed="false">
      <c r="A17" s="12" t="str">
        <f aca="false">TEXT(EDATE(FY_START,6),"mmm yyyy")</f>
        <v>Jul 2026</v>
      </c>
      <c r="B17" s="13" t="n">
        <f aca="false">SUMIFS(Income!$F$4:$F$503,Income!$O$4:$O$503,7)</f>
        <v>0</v>
      </c>
      <c r="C17" s="13" t="n">
        <f aca="false">SUMIFS(Expenses!$E$4:$E$503,Expenses!$M$4:$M$503,7)</f>
        <v>0</v>
      </c>
      <c r="D17" s="13" t="n">
        <f aca="false">B17-C17</f>
        <v>0</v>
      </c>
      <c r="E17" s="13" t="n">
        <f aca="false">SUMIFS(Income!$L$4:$L$503,Income!$O$4:$O$503,7)</f>
        <v>0</v>
      </c>
      <c r="F17" s="13" t="n">
        <f aca="false">SUMIFS(Expenses!$J$4:$J$503,Expenses!$M$4:$M$503,7)</f>
        <v>0</v>
      </c>
      <c r="G17" s="13" t="n">
        <f aca="false">SUMIFS(Income!$H$4:$H$503,Income!$O$4:$O$503,7)</f>
        <v>0</v>
      </c>
      <c r="H17" s="13" t="n">
        <f aca="false">SUMIFS(Expenses!$I$4:$I$503,Expenses!$M$4:$M$503,7)</f>
        <v>0</v>
      </c>
      <c r="I17" s="13" t="n">
        <f aca="false">G17-H17</f>
        <v>0</v>
      </c>
      <c r="J17" s="14" t="n">
        <f aca="false">IF(B17=0,0,D17/B17)</f>
        <v>0</v>
      </c>
    </row>
    <row r="18" customFormat="false" ht="15" hidden="false" customHeight="false" outlineLevel="0" collapsed="false">
      <c r="A18" s="15" t="str">
        <f aca="false">TEXT(EDATE(FY_START,7),"mmm yyyy")</f>
        <v>Aug 2026</v>
      </c>
      <c r="B18" s="16" t="n">
        <f aca="false">SUMIFS(Income!$F$4:$F$503,Income!$O$4:$O$503,8)</f>
        <v>0</v>
      </c>
      <c r="C18" s="16" t="n">
        <f aca="false">SUMIFS(Expenses!$E$4:$E$503,Expenses!$M$4:$M$503,8)</f>
        <v>0</v>
      </c>
      <c r="D18" s="16" t="n">
        <f aca="false">B18-C18</f>
        <v>0</v>
      </c>
      <c r="E18" s="16" t="n">
        <f aca="false">SUMIFS(Income!$L$4:$L$503,Income!$O$4:$O$503,8)</f>
        <v>0</v>
      </c>
      <c r="F18" s="16" t="n">
        <f aca="false">SUMIFS(Expenses!$J$4:$J$503,Expenses!$M$4:$M$503,8)</f>
        <v>0</v>
      </c>
      <c r="G18" s="16" t="n">
        <f aca="false">SUMIFS(Income!$H$4:$H$503,Income!$O$4:$O$503,8)</f>
        <v>0</v>
      </c>
      <c r="H18" s="16" t="n">
        <f aca="false">SUMIFS(Expenses!$I$4:$I$503,Expenses!$M$4:$M$503,8)</f>
        <v>0</v>
      </c>
      <c r="I18" s="16" t="n">
        <f aca="false">G18-H18</f>
        <v>0</v>
      </c>
      <c r="J18" s="17" t="n">
        <f aca="false">IF(B18=0,0,D18/B18)</f>
        <v>0</v>
      </c>
    </row>
    <row r="19" customFormat="false" ht="15" hidden="false" customHeight="false" outlineLevel="0" collapsed="false">
      <c r="A19" s="12" t="str">
        <f aca="false">TEXT(EDATE(FY_START,8),"mmm yyyy")</f>
        <v>Sep 2026</v>
      </c>
      <c r="B19" s="13" t="n">
        <f aca="false">SUMIFS(Income!$F$4:$F$503,Income!$O$4:$O$503,9)</f>
        <v>0</v>
      </c>
      <c r="C19" s="13" t="n">
        <f aca="false">SUMIFS(Expenses!$E$4:$E$503,Expenses!$M$4:$M$503,9)</f>
        <v>0</v>
      </c>
      <c r="D19" s="13" t="n">
        <f aca="false">B19-C19</f>
        <v>0</v>
      </c>
      <c r="E19" s="13" t="n">
        <f aca="false">SUMIFS(Income!$L$4:$L$503,Income!$O$4:$O$503,9)</f>
        <v>0</v>
      </c>
      <c r="F19" s="13" t="n">
        <f aca="false">SUMIFS(Expenses!$J$4:$J$503,Expenses!$M$4:$M$503,9)</f>
        <v>0</v>
      </c>
      <c r="G19" s="13" t="n">
        <f aca="false">SUMIFS(Income!$H$4:$H$503,Income!$O$4:$O$503,9)</f>
        <v>0</v>
      </c>
      <c r="H19" s="13" t="n">
        <f aca="false">SUMIFS(Expenses!$I$4:$I$503,Expenses!$M$4:$M$503,9)</f>
        <v>0</v>
      </c>
      <c r="I19" s="13" t="n">
        <f aca="false">G19-H19</f>
        <v>0</v>
      </c>
      <c r="J19" s="14" t="n">
        <f aca="false">IF(B19=0,0,D19/B19)</f>
        <v>0</v>
      </c>
    </row>
    <row r="20" customFormat="false" ht="15" hidden="false" customHeight="false" outlineLevel="0" collapsed="false">
      <c r="A20" s="15" t="str">
        <f aca="false">TEXT(EDATE(FY_START,9),"mmm yyyy")</f>
        <v>Oct 2026</v>
      </c>
      <c r="B20" s="16" t="n">
        <f aca="false">SUMIFS(Income!$F$4:$F$503,Income!$O$4:$O$503,10)</f>
        <v>0</v>
      </c>
      <c r="C20" s="16" t="n">
        <f aca="false">SUMIFS(Expenses!$E$4:$E$503,Expenses!$M$4:$M$503,10)</f>
        <v>0</v>
      </c>
      <c r="D20" s="16" t="n">
        <f aca="false">B20-C20</f>
        <v>0</v>
      </c>
      <c r="E20" s="16" t="n">
        <f aca="false">SUMIFS(Income!$L$4:$L$503,Income!$O$4:$O$503,10)</f>
        <v>0</v>
      </c>
      <c r="F20" s="16" t="n">
        <f aca="false">SUMIFS(Expenses!$J$4:$J$503,Expenses!$M$4:$M$503,10)</f>
        <v>0</v>
      </c>
      <c r="G20" s="16" t="n">
        <f aca="false">SUMIFS(Income!$H$4:$H$503,Income!$O$4:$O$503,10)</f>
        <v>0</v>
      </c>
      <c r="H20" s="16" t="n">
        <f aca="false">SUMIFS(Expenses!$I$4:$I$503,Expenses!$M$4:$M$503,10)</f>
        <v>0</v>
      </c>
      <c r="I20" s="16" t="n">
        <f aca="false">G20-H20</f>
        <v>0</v>
      </c>
      <c r="J20" s="17" t="n">
        <f aca="false">IF(B20=0,0,D20/B20)</f>
        <v>0</v>
      </c>
    </row>
    <row r="21" customFormat="false" ht="15" hidden="false" customHeight="false" outlineLevel="0" collapsed="false">
      <c r="A21" s="12" t="str">
        <f aca="false">TEXT(EDATE(FY_START,10),"mmm yyyy")</f>
        <v>Nov 2026</v>
      </c>
      <c r="B21" s="13" t="n">
        <f aca="false">SUMIFS(Income!$F$4:$F$503,Income!$O$4:$O$503,11)</f>
        <v>0</v>
      </c>
      <c r="C21" s="13" t="n">
        <f aca="false">SUMIFS(Expenses!$E$4:$E$503,Expenses!$M$4:$M$503,11)</f>
        <v>0</v>
      </c>
      <c r="D21" s="13" t="n">
        <f aca="false">B21-C21</f>
        <v>0</v>
      </c>
      <c r="E21" s="13" t="n">
        <f aca="false">SUMIFS(Income!$L$4:$L$503,Income!$O$4:$O$503,11)</f>
        <v>0</v>
      </c>
      <c r="F21" s="13" t="n">
        <f aca="false">SUMIFS(Expenses!$J$4:$J$503,Expenses!$M$4:$M$503,11)</f>
        <v>0</v>
      </c>
      <c r="G21" s="13" t="n">
        <f aca="false">SUMIFS(Income!$H$4:$H$503,Income!$O$4:$O$503,11)</f>
        <v>0</v>
      </c>
      <c r="H21" s="13" t="n">
        <f aca="false">SUMIFS(Expenses!$I$4:$I$503,Expenses!$M$4:$M$503,11)</f>
        <v>0</v>
      </c>
      <c r="I21" s="13" t="n">
        <f aca="false">G21-H21</f>
        <v>0</v>
      </c>
      <c r="J21" s="14" t="n">
        <f aca="false">IF(B21=0,0,D21/B21)</f>
        <v>0</v>
      </c>
    </row>
    <row r="22" customFormat="false" ht="15" hidden="false" customHeight="false" outlineLevel="0" collapsed="false">
      <c r="A22" s="15" t="str">
        <f aca="false">TEXT(EDATE(FY_START,11),"mmm yyyy")</f>
        <v>Dec 2026</v>
      </c>
      <c r="B22" s="16" t="n">
        <f aca="false">SUMIFS(Income!$F$4:$F$503,Income!$O$4:$O$503,12)</f>
        <v>0</v>
      </c>
      <c r="C22" s="16" t="n">
        <f aca="false">SUMIFS(Expenses!$E$4:$E$503,Expenses!$M$4:$M$503,12)</f>
        <v>0</v>
      </c>
      <c r="D22" s="16" t="n">
        <f aca="false">B22-C22</f>
        <v>0</v>
      </c>
      <c r="E22" s="16" t="n">
        <f aca="false">SUMIFS(Income!$L$4:$L$503,Income!$O$4:$O$503,12)</f>
        <v>0</v>
      </c>
      <c r="F22" s="16" t="n">
        <f aca="false">SUMIFS(Expenses!$J$4:$J$503,Expenses!$M$4:$M$503,12)</f>
        <v>0</v>
      </c>
      <c r="G22" s="16" t="n">
        <f aca="false">SUMIFS(Income!$H$4:$H$503,Income!$O$4:$O$503,12)</f>
        <v>0</v>
      </c>
      <c r="H22" s="16" t="n">
        <f aca="false">SUMIFS(Expenses!$I$4:$I$503,Expenses!$M$4:$M$503,12)</f>
        <v>0</v>
      </c>
      <c r="I22" s="16" t="n">
        <f aca="false">G22-H22</f>
        <v>0</v>
      </c>
      <c r="J22" s="17" t="n">
        <f aca="false">IF(B22=0,0,D22/B22)</f>
        <v>0</v>
      </c>
    </row>
    <row r="23" customFormat="false" ht="15" hidden="false" customHeight="false" outlineLevel="0" collapsed="false">
      <c r="A23" s="18" t="s">
        <v>40</v>
      </c>
      <c r="B23" s="19" t="n">
        <f aca="false">SUM(B11:B22)</f>
        <v>24500</v>
      </c>
      <c r="C23" s="19" t="n">
        <f aca="false">SUM(C11:C22)</f>
        <v>11400</v>
      </c>
      <c r="D23" s="19" t="n">
        <f aca="false">SUM(D11:D22)</f>
        <v>13100</v>
      </c>
      <c r="E23" s="19" t="n">
        <f aca="false">SUM(E11:E22)</f>
        <v>20600</v>
      </c>
      <c r="F23" s="19" t="n">
        <f aca="false">SUM(F11:F22)</f>
        <v>11595</v>
      </c>
      <c r="G23" s="19" t="n">
        <f aca="false">SUM(G11:G22)</f>
        <v>825</v>
      </c>
      <c r="H23" s="19" t="n">
        <f aca="false">SUM(H11:H22)</f>
        <v>195</v>
      </c>
      <c r="I23" s="19" t="n">
        <f aca="false">SUM(I11:I22)</f>
        <v>630</v>
      </c>
      <c r="J23" s="20" t="n">
        <f aca="false">IF(B23=0,0,D23/B23)</f>
        <v>0.53469387755102</v>
      </c>
    </row>
    <row r="26" customFormat="false" ht="31.5" hidden="false" customHeight="true" outlineLevel="0" collapsed="false">
      <c r="A26" s="11" t="s">
        <v>41</v>
      </c>
      <c r="B26" s="11" t="s">
        <v>31</v>
      </c>
      <c r="C26" s="11" t="s">
        <v>42</v>
      </c>
      <c r="D26" s="21"/>
      <c r="E26" s="11" t="s">
        <v>43</v>
      </c>
      <c r="F26" s="11" t="s">
        <v>44</v>
      </c>
      <c r="G26" s="11" t="s">
        <v>42</v>
      </c>
    </row>
    <row r="27" customFormat="false" ht="15" hidden="false" customHeight="false" outlineLevel="0" collapsed="false">
      <c r="A27" s="22" t="str">
        <f aca="false">Settings!E4</f>
        <v>Consulting / services</v>
      </c>
      <c r="B27" s="13" t="n">
        <f aca="false">SUMIFS(Income!$F$4:$F$503,Income!$E$4:$E$503,A27,Income!$O$4:$O$503,"&gt;=1",Income!$O$4:$O$503,"&lt;=12")</f>
        <v>12000</v>
      </c>
      <c r="C27" s="14" t="n">
        <f aca="false">IF($B$23=0,0,B27/$B$23)</f>
        <v>0.489795918367347</v>
      </c>
      <c r="E27" s="22" t="str">
        <f aca="false">Settings!F4</f>
        <v>Software &amp; subscriptions</v>
      </c>
      <c r="F27" s="13" t="n">
        <f aca="false">SUMIFS(Expenses!$E$4:$E$503,Expenses!$D$4:$D$503,E27,Expenses!$M$4:$M$503,"&gt;=1",Expenses!$M$4:$M$503,"&lt;=12")</f>
        <v>2400</v>
      </c>
      <c r="G27" s="14" t="n">
        <f aca="false">IF($C$23=0,0,F27/$C$23)</f>
        <v>0.210526315789474</v>
      </c>
    </row>
    <row r="28" customFormat="false" ht="15" hidden="false" customHeight="false" outlineLevel="0" collapsed="false">
      <c r="A28" s="22" t="str">
        <f aca="false">Settings!E5</f>
        <v>Freelance project</v>
      </c>
      <c r="B28" s="13" t="n">
        <f aca="false">SUMIFS(Income!$F$4:$F$503,Income!$E$4:$E$503,A28,Income!$O$4:$O$503,"&gt;=1",Income!$O$4:$O$503,"&lt;=12")</f>
        <v>12500</v>
      </c>
      <c r="C28" s="14" t="n">
        <f aca="false">IF($B$23=0,0,B28/$B$23)</f>
        <v>0.510204081632653</v>
      </c>
      <c r="E28" s="22" t="str">
        <f aca="false">Settings!F5</f>
        <v>Office / coworking rent</v>
      </c>
      <c r="F28" s="13" t="n">
        <f aca="false">SUMIFS(Expenses!$E$4:$E$503,Expenses!$D$4:$D$503,E28,Expenses!$M$4:$M$503,"&gt;=1",Expenses!$M$4:$M$503,"&lt;=12")</f>
        <v>1500</v>
      </c>
      <c r="G28" s="14" t="n">
        <f aca="false">IF($C$23=0,0,F28/$C$23)</f>
        <v>0.131578947368421</v>
      </c>
    </row>
    <row r="29" customFormat="false" ht="15" hidden="false" customHeight="false" outlineLevel="0" collapsed="false">
      <c r="A29" s="22" t="str">
        <f aca="false">Settings!E6</f>
        <v>Retainer</v>
      </c>
      <c r="B29" s="13" t="n">
        <f aca="false">SUMIFS(Income!$F$4:$F$503,Income!$E$4:$E$503,A29,Income!$O$4:$O$503,"&gt;=1",Income!$O$4:$O$503,"&lt;=12")</f>
        <v>0</v>
      </c>
      <c r="C29" s="14" t="n">
        <f aca="false">IF($B$23=0,0,B29/$B$23)</f>
        <v>0</v>
      </c>
      <c r="E29" s="22" t="str">
        <f aca="false">Settings!F6</f>
        <v>Trade licence &amp; permits</v>
      </c>
      <c r="F29" s="13" t="n">
        <f aca="false">SUMIFS(Expenses!$E$4:$E$503,Expenses!$D$4:$D$503,E29,Expenses!$M$4:$M$503,"&gt;=1",Expenses!$M$4:$M$503,"&lt;=12")</f>
        <v>7500</v>
      </c>
      <c r="G29" s="14" t="n">
        <f aca="false">IF($C$23=0,0,F29/$C$23)</f>
        <v>0.657894736842105</v>
      </c>
    </row>
    <row r="30" customFormat="false" ht="15" hidden="false" customHeight="false" outlineLevel="0" collapsed="false">
      <c r="A30" s="22" t="str">
        <f aca="false">Settings!E7</f>
        <v>Product sales</v>
      </c>
      <c r="B30" s="13" t="n">
        <f aca="false">SUMIFS(Income!$F$4:$F$503,Income!$E$4:$E$503,A30,Income!$O$4:$O$503,"&gt;=1",Income!$O$4:$O$503,"&lt;=12")</f>
        <v>0</v>
      </c>
      <c r="C30" s="14" t="n">
        <f aca="false">IF($B$23=0,0,B30/$B$23)</f>
        <v>0</v>
      </c>
      <c r="E30" s="22" t="str">
        <f aca="false">Settings!F7</f>
        <v>Marketing &amp; advertising</v>
      </c>
      <c r="F30" s="13" t="n">
        <f aca="false">SUMIFS(Expenses!$E$4:$E$503,Expenses!$D$4:$D$503,E30,Expenses!$M$4:$M$503,"&gt;=1",Expenses!$M$4:$M$503,"&lt;=12")</f>
        <v>0</v>
      </c>
      <c r="G30" s="14" t="n">
        <f aca="false">IF($C$23=0,0,F30/$C$23)</f>
        <v>0</v>
      </c>
    </row>
    <row r="31" customFormat="false" ht="15" hidden="false" customHeight="false" outlineLevel="0" collapsed="false">
      <c r="A31" s="22" t="str">
        <f aca="false">Settings!E8</f>
        <v>Commission</v>
      </c>
      <c r="B31" s="13" t="n">
        <f aca="false">SUMIFS(Income!$F$4:$F$503,Income!$E$4:$E$503,A31,Income!$O$4:$O$503,"&gt;=1",Income!$O$4:$O$503,"&lt;=12")</f>
        <v>0</v>
      </c>
      <c r="C31" s="14" t="n">
        <f aca="false">IF($B$23=0,0,B31/$B$23)</f>
        <v>0</v>
      </c>
      <c r="E31" s="22" t="str">
        <f aca="false">Settings!F8</f>
        <v>Travel &amp; transport</v>
      </c>
      <c r="F31" s="13" t="n">
        <f aca="false">SUMIFS(Expenses!$E$4:$E$503,Expenses!$D$4:$D$503,E31,Expenses!$M$4:$M$503,"&gt;=1",Expenses!$M$4:$M$503,"&lt;=12")</f>
        <v>0</v>
      </c>
      <c r="G31" s="14" t="n">
        <f aca="false">IF($C$23=0,0,F31/$C$23)</f>
        <v>0</v>
      </c>
    </row>
    <row r="32" customFormat="false" ht="15" hidden="false" customHeight="false" outlineLevel="0" collapsed="false">
      <c r="A32" s="22" t="str">
        <f aca="false">Settings!E9</f>
        <v>Training</v>
      </c>
      <c r="B32" s="13" t="n">
        <f aca="false">SUMIFS(Income!$F$4:$F$503,Income!$E$4:$E$503,A32,Income!$O$4:$O$503,"&gt;=1",Income!$O$4:$O$503,"&lt;=12")</f>
        <v>0</v>
      </c>
      <c r="C32" s="14" t="n">
        <f aca="false">IF($B$23=0,0,B32/$B$23)</f>
        <v>0</v>
      </c>
      <c r="E32" s="22" t="str">
        <f aca="false">Settings!F9</f>
        <v>Telecom &amp; internet</v>
      </c>
      <c r="F32" s="13" t="n">
        <f aca="false">SUMIFS(Expenses!$E$4:$E$503,Expenses!$D$4:$D$503,E32,Expenses!$M$4:$M$503,"&gt;=1",Expenses!$M$4:$M$503,"&lt;=12")</f>
        <v>0</v>
      </c>
      <c r="G32" s="14" t="n">
        <f aca="false">IF($C$23=0,0,F32/$C$23)</f>
        <v>0</v>
      </c>
    </row>
    <row r="33" customFormat="false" ht="15" hidden="false" customHeight="false" outlineLevel="0" collapsed="false">
      <c r="A33" s="22" t="str">
        <f aca="false">Settings!E10</f>
        <v>Other income</v>
      </c>
      <c r="B33" s="13" t="n">
        <f aca="false">SUMIFS(Income!$F$4:$F$503,Income!$E$4:$E$503,A33,Income!$O$4:$O$503,"&gt;=1",Income!$O$4:$O$503,"&lt;=12")</f>
        <v>0</v>
      </c>
      <c r="C33" s="14" t="n">
        <f aca="false">IF($B$23=0,0,B33/$B$23)</f>
        <v>0</v>
      </c>
      <c r="E33" s="22" t="str">
        <f aca="false">Settings!F10</f>
        <v>Professional fees (legal/accounting)</v>
      </c>
      <c r="F33" s="13" t="n">
        <f aca="false">SUMIFS(Expenses!$E$4:$E$503,Expenses!$D$4:$D$503,E33,Expenses!$M$4:$M$503,"&gt;=1",Expenses!$M$4:$M$503,"&lt;=12")</f>
        <v>0</v>
      </c>
      <c r="G33" s="14" t="n">
        <f aca="false">IF($C$23=0,0,F33/$C$23)</f>
        <v>0</v>
      </c>
    </row>
    <row r="34" customFormat="false" ht="15" hidden="false" customHeight="false" outlineLevel="0" collapsed="false">
      <c r="E34" s="22" t="str">
        <f aca="false">Settings!F11</f>
        <v>Bank &amp; payment fees</v>
      </c>
      <c r="F34" s="13" t="n">
        <f aca="false">SUMIFS(Expenses!$E$4:$E$503,Expenses!$D$4:$D$503,E34,Expenses!$M$4:$M$503,"&gt;=1",Expenses!$M$4:$M$503,"&lt;=12")</f>
        <v>0</v>
      </c>
      <c r="G34" s="14" t="n">
        <f aca="false">IF($C$23=0,0,F34/$C$23)</f>
        <v>0</v>
      </c>
    </row>
    <row r="35" customFormat="false" ht="15" hidden="false" customHeight="false" outlineLevel="0" collapsed="false">
      <c r="E35" s="22" t="str">
        <f aca="false">Settings!F12</f>
        <v>Equipment &amp; hardware</v>
      </c>
      <c r="F35" s="13" t="n">
        <f aca="false">SUMIFS(Expenses!$E$4:$E$503,Expenses!$D$4:$D$503,E35,Expenses!$M$4:$M$503,"&gt;=1",Expenses!$M$4:$M$503,"&lt;=12")</f>
        <v>0</v>
      </c>
      <c r="G35" s="14" t="n">
        <f aca="false">IF($C$23=0,0,F35/$C$23)</f>
        <v>0</v>
      </c>
    </row>
    <row r="36" customFormat="false" ht="15" hidden="false" customHeight="false" outlineLevel="0" collapsed="false">
      <c r="E36" s="22" t="str">
        <f aca="false">Settings!F13</f>
        <v>Contractors &amp; salaries</v>
      </c>
      <c r="F36" s="13" t="n">
        <f aca="false">SUMIFS(Expenses!$E$4:$E$503,Expenses!$D$4:$D$503,E36,Expenses!$M$4:$M$503,"&gt;=1",Expenses!$M$4:$M$503,"&lt;=12")</f>
        <v>0</v>
      </c>
      <c r="G36" s="14" t="n">
        <f aca="false">IF($C$23=0,0,F36/$C$23)</f>
        <v>0</v>
      </c>
    </row>
    <row r="37" customFormat="false" ht="15" hidden="false" customHeight="false" outlineLevel="0" collapsed="false">
      <c r="E37" s="22" t="str">
        <f aca="false">Settings!F14</f>
        <v>Insurance</v>
      </c>
      <c r="F37" s="13" t="n">
        <f aca="false">SUMIFS(Expenses!$E$4:$E$503,Expenses!$D$4:$D$503,E37,Expenses!$M$4:$M$503,"&gt;=1",Expenses!$M$4:$M$503,"&lt;=12")</f>
        <v>0</v>
      </c>
      <c r="G37" s="14" t="n">
        <f aca="false">IF($C$23=0,0,F37/$C$23)</f>
        <v>0</v>
      </c>
    </row>
    <row r="38" customFormat="false" ht="15" hidden="false" customHeight="false" outlineLevel="0" collapsed="false">
      <c r="E38" s="22" t="str">
        <f aca="false">Settings!F15</f>
        <v>Meals &amp; entertainment</v>
      </c>
      <c r="F38" s="13" t="n">
        <f aca="false">SUMIFS(Expenses!$E$4:$E$503,Expenses!$D$4:$D$503,E38,Expenses!$M$4:$M$503,"&gt;=1",Expenses!$M$4:$M$503,"&lt;=12")</f>
        <v>0</v>
      </c>
      <c r="G38" s="14" t="n">
        <f aca="false">IF($C$23=0,0,F38/$C$23)</f>
        <v>0</v>
      </c>
    </row>
    <row r="39" customFormat="false" ht="15" hidden="false" customHeight="false" outlineLevel="0" collapsed="false">
      <c r="E39" s="22" t="str">
        <f aca="false">Settings!F16</f>
        <v>Other expense</v>
      </c>
      <c r="F39" s="13" t="n">
        <f aca="false">SUMIFS(Expenses!$E$4:$E$503,Expenses!$D$4:$D$503,E39,Expenses!$M$4:$M$503,"&gt;=1",Expenses!$M$4:$M$503,"&lt;=12")</f>
        <v>0</v>
      </c>
      <c r="G39" s="14" t="n">
        <f aca="false">IF($C$23=0,0,F39/$C$23)</f>
        <v>0</v>
      </c>
    </row>
    <row r="42" customFormat="false" ht="31.5" hidden="false" customHeight="true" outlineLevel="0" collapsed="false">
      <c r="A42" s="11" t="s">
        <v>45</v>
      </c>
      <c r="B42" s="11" t="s">
        <v>46</v>
      </c>
      <c r="C42" s="11" t="s">
        <v>47</v>
      </c>
    </row>
    <row r="43" customFormat="false" ht="15" hidden="false" customHeight="false" outlineLevel="0" collapsed="false">
      <c r="A43" s="22" t="s">
        <v>48</v>
      </c>
      <c r="B43" s="22" t="n">
        <f aca="false">COUNTIFS(Income!$M$4:$M$503,"&gt;=0",Income!$M$4:$M$503,"&lt;="&amp;OVERDUE_DAYS)</f>
        <v>0</v>
      </c>
      <c r="C43" s="13" t="n">
        <f aca="false">SUMIFS(Income!$I$4:$I$503,Income!$M$4:$M$503,"&gt;=0",Income!$M$4:$M$503,"&lt;="&amp;OVERDUE_DAYS)</f>
        <v>0</v>
      </c>
    </row>
    <row r="44" customFormat="false" ht="15" hidden="false" customHeight="false" outlineLevel="0" collapsed="false">
      <c r="A44" s="22" t="s">
        <v>49</v>
      </c>
      <c r="B44" s="22" t="n">
        <f aca="false">COUNTIFS(Income!$M$4:$M$503,"&gt;"&amp;OVERDUE_DAYS,Income!$M$4:$M$503,"&lt;="&amp;(OVERDUE_DAYS+30))</f>
        <v>0</v>
      </c>
      <c r="C44" s="13" t="n">
        <f aca="false">SUMIFS(Income!$I$4:$I$503,Income!$M$4:$M$503,"&gt;"&amp;OVERDUE_DAYS,Income!$M$4:$M$503,"&lt;="&amp;(OVERDUE_DAYS+30))</f>
        <v>0</v>
      </c>
    </row>
    <row r="45" customFormat="false" ht="15" hidden="false" customHeight="false" outlineLevel="0" collapsed="false">
      <c r="A45" s="22" t="s">
        <v>50</v>
      </c>
      <c r="B45" s="22" t="n">
        <f aca="false">COUNTIFS(Income!$M$4:$M$503,"&gt;"&amp;(OVERDUE_DAYS+30),Income!$M$4:$M$503,"&lt;="&amp;(OVERDUE_DAYS+90))</f>
        <v>0</v>
      </c>
      <c r="C45" s="13" t="n">
        <f aca="false">SUMIFS(Income!$I$4:$I$503,Income!$M$4:$M$503,"&gt;"&amp;(OVERDUE_DAYS+30),Income!$M$4:$M$503,"&lt;="&amp;(OVERDUE_DAYS+90))</f>
        <v>0</v>
      </c>
    </row>
    <row r="46" customFormat="false" ht="15" hidden="false" customHeight="false" outlineLevel="0" collapsed="false">
      <c r="A46" s="22" t="s">
        <v>51</v>
      </c>
      <c r="B46" s="22" t="n">
        <f aca="false">COUNTIFS(Income!$M$4:$M$503,"&gt;"&amp;(OVERDUE_DAYS+90))</f>
        <v>1</v>
      </c>
      <c r="C46" s="13" t="n">
        <f aca="false">SUMIFS(Income!$I$4:$I$503,Income!$M$4:$M$503,"&gt;"&amp;(OVERDUE_DAYS+90))</f>
        <v>4725</v>
      </c>
    </row>
  </sheetData>
  <conditionalFormatting sqref="D11:D22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22"/>
  </cols>
  <sheetData>
    <row r="1" customFormat="false" ht="19.7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3" customFormat="false" ht="31.5" hidden="false" customHeight="true" outlineLevel="0" collapsed="false">
      <c r="A3" s="11" t="s">
        <v>54</v>
      </c>
      <c r="B3" s="11" t="s">
        <v>55</v>
      </c>
      <c r="C3" s="11" t="s">
        <v>56</v>
      </c>
      <c r="D3" s="21"/>
      <c r="E3" s="11" t="s">
        <v>57</v>
      </c>
      <c r="F3" s="11" t="s">
        <v>58</v>
      </c>
      <c r="G3" s="11" t="s">
        <v>59</v>
      </c>
    </row>
    <row r="4" customFormat="false" ht="15" hidden="false" customHeight="false" outlineLevel="0" collapsed="false">
      <c r="A4" s="12" t="s">
        <v>60</v>
      </c>
      <c r="B4" s="23" t="s">
        <v>61</v>
      </c>
      <c r="C4" s="24" t="s">
        <v>62</v>
      </c>
      <c r="E4" s="25" t="s">
        <v>63</v>
      </c>
      <c r="F4" s="25" t="s">
        <v>64</v>
      </c>
      <c r="G4" s="26" t="s">
        <v>65</v>
      </c>
    </row>
    <row r="5" customFormat="false" ht="15" hidden="false" customHeight="false" outlineLevel="0" collapsed="false">
      <c r="A5" s="12" t="s">
        <v>66</v>
      </c>
      <c r="B5" s="27" t="n">
        <v>46023</v>
      </c>
      <c r="C5" s="24" t="s">
        <v>67</v>
      </c>
      <c r="E5" s="25" t="s">
        <v>68</v>
      </c>
      <c r="F5" s="25" t="s">
        <v>69</v>
      </c>
      <c r="G5" s="26" t="s">
        <v>70</v>
      </c>
    </row>
    <row r="6" customFormat="false" ht="15" hidden="false" customHeight="false" outlineLevel="0" collapsed="false">
      <c r="A6" s="12" t="s">
        <v>71</v>
      </c>
      <c r="B6" s="28" t="s">
        <v>72</v>
      </c>
      <c r="C6" s="24" t="s">
        <v>73</v>
      </c>
      <c r="E6" s="25" t="s">
        <v>74</v>
      </c>
      <c r="F6" s="25" t="s">
        <v>75</v>
      </c>
      <c r="G6" s="26" t="s">
        <v>76</v>
      </c>
    </row>
    <row r="7" customFormat="false" ht="23.85" hidden="false" customHeight="false" outlineLevel="0" collapsed="false">
      <c r="A7" s="12" t="s">
        <v>77</v>
      </c>
      <c r="B7" s="29" t="n">
        <v>0.05</v>
      </c>
      <c r="C7" s="24" t="s">
        <v>78</v>
      </c>
      <c r="E7" s="25" t="s">
        <v>79</v>
      </c>
      <c r="F7" s="25" t="s">
        <v>80</v>
      </c>
      <c r="G7" s="26" t="s">
        <v>81</v>
      </c>
    </row>
    <row r="8" customFormat="false" ht="23.85" hidden="false" customHeight="false" outlineLevel="0" collapsed="false">
      <c r="A8" s="12" t="s">
        <v>82</v>
      </c>
      <c r="B8" s="30" t="n">
        <v>375000</v>
      </c>
      <c r="C8" s="24" t="s">
        <v>83</v>
      </c>
      <c r="E8" s="25" t="s">
        <v>84</v>
      </c>
      <c r="F8" s="25" t="s">
        <v>85</v>
      </c>
    </row>
    <row r="9" customFormat="false" ht="23.85" hidden="false" customHeight="false" outlineLevel="0" collapsed="false">
      <c r="A9" s="12" t="s">
        <v>86</v>
      </c>
      <c r="B9" s="30" t="n">
        <v>187500</v>
      </c>
      <c r="C9" s="24" t="s">
        <v>87</v>
      </c>
      <c r="E9" s="25" t="s">
        <v>88</v>
      </c>
      <c r="F9" s="25" t="s">
        <v>89</v>
      </c>
      <c r="G9" s="31" t="s">
        <v>90</v>
      </c>
    </row>
    <row r="10" customFormat="false" ht="15" hidden="false" customHeight="false" outlineLevel="0" collapsed="false">
      <c r="A10" s="12" t="s">
        <v>91</v>
      </c>
      <c r="B10" s="29" t="n">
        <v>0.09</v>
      </c>
      <c r="C10" s="24" t="s">
        <v>92</v>
      </c>
      <c r="E10" s="25" t="s">
        <v>93</v>
      </c>
      <c r="F10" s="25" t="s">
        <v>94</v>
      </c>
      <c r="G10" s="32" t="s">
        <v>72</v>
      </c>
    </row>
    <row r="11" customFormat="false" ht="23.85" hidden="false" customHeight="false" outlineLevel="0" collapsed="false">
      <c r="A11" s="12" t="s">
        <v>95</v>
      </c>
      <c r="B11" s="30" t="n">
        <v>375000</v>
      </c>
      <c r="C11" s="24" t="s">
        <v>96</v>
      </c>
      <c r="F11" s="25" t="s">
        <v>97</v>
      </c>
      <c r="G11" s="32" t="s">
        <v>98</v>
      </c>
    </row>
    <row r="12" customFormat="false" ht="35.05" hidden="false" customHeight="false" outlineLevel="0" collapsed="false">
      <c r="A12" s="12" t="s">
        <v>99</v>
      </c>
      <c r="B12" s="28" t="s">
        <v>72</v>
      </c>
      <c r="C12" s="24" t="s">
        <v>100</v>
      </c>
      <c r="F12" s="25" t="s">
        <v>101</v>
      </c>
    </row>
    <row r="13" customFormat="false" ht="23.85" hidden="false" customHeight="false" outlineLevel="0" collapsed="false">
      <c r="A13" s="12" t="s">
        <v>102</v>
      </c>
      <c r="B13" s="30" t="n">
        <v>3000000</v>
      </c>
      <c r="C13" s="24" t="s">
        <v>103</v>
      </c>
      <c r="F13" s="25" t="s">
        <v>104</v>
      </c>
      <c r="G13" s="31" t="s">
        <v>105</v>
      </c>
    </row>
    <row r="14" customFormat="false" ht="23.85" hidden="false" customHeight="false" outlineLevel="0" collapsed="false">
      <c r="A14" s="12" t="s">
        <v>106</v>
      </c>
      <c r="B14" s="33" t="n">
        <v>47483</v>
      </c>
      <c r="C14" s="24" t="s">
        <v>107</v>
      </c>
      <c r="F14" s="25" t="s">
        <v>108</v>
      </c>
      <c r="G14" s="32" t="s">
        <v>109</v>
      </c>
    </row>
    <row r="15" customFormat="false" ht="15" hidden="false" customHeight="false" outlineLevel="0" collapsed="false">
      <c r="A15" s="12" t="s">
        <v>110</v>
      </c>
      <c r="B15" s="27" t="n">
        <v>46023</v>
      </c>
      <c r="C15" s="24" t="s">
        <v>111</v>
      </c>
      <c r="F15" s="25" t="s">
        <v>112</v>
      </c>
      <c r="G15" s="32" t="s">
        <v>113</v>
      </c>
    </row>
    <row r="16" customFormat="false" ht="15" hidden="false" customHeight="false" outlineLevel="0" collapsed="false">
      <c r="A16" s="12" t="s">
        <v>114</v>
      </c>
      <c r="B16" s="27" t="n">
        <v>46112</v>
      </c>
      <c r="C16" s="24"/>
      <c r="F16" s="25" t="s">
        <v>115</v>
      </c>
      <c r="G16" s="32" t="s">
        <v>116</v>
      </c>
    </row>
    <row r="17" customFormat="false" ht="15" hidden="false" customHeight="false" outlineLevel="0" collapsed="false">
      <c r="A17" s="12" t="s">
        <v>117</v>
      </c>
      <c r="B17" s="34" t="n">
        <v>0</v>
      </c>
      <c r="C17" s="24" t="s">
        <v>118</v>
      </c>
      <c r="G17" s="32" t="s">
        <v>119</v>
      </c>
    </row>
    <row r="18" customFormat="false" ht="15" hidden="false" customHeight="false" outlineLevel="0" collapsed="false">
      <c r="A18" s="12" t="s">
        <v>120</v>
      </c>
      <c r="B18" s="35" t="n">
        <v>30</v>
      </c>
      <c r="C18" s="24" t="s">
        <v>121</v>
      </c>
      <c r="E18" s="31" t="s">
        <v>122</v>
      </c>
      <c r="G18" s="32" t="s">
        <v>123</v>
      </c>
    </row>
    <row r="19" customFormat="false" ht="15" hidden="false" customHeight="false" outlineLevel="0" collapsed="false">
      <c r="E19" s="0" t="s">
        <v>124</v>
      </c>
      <c r="G19" s="0" t="s">
        <v>125</v>
      </c>
    </row>
    <row r="20" customFormat="false" ht="15" hidden="false" customHeight="false" outlineLevel="0" collapsed="false">
      <c r="A20" s="12" t="s">
        <v>126</v>
      </c>
      <c r="B20" s="36"/>
      <c r="E20" s="32" t="s">
        <v>127</v>
      </c>
    </row>
    <row r="21" customFormat="false" ht="15" hidden="false" customHeight="false" outlineLevel="0" collapsed="false">
      <c r="A21" s="12" t="s">
        <v>128</v>
      </c>
      <c r="B21" s="36"/>
      <c r="E21" s="32" t="s">
        <v>129</v>
      </c>
    </row>
    <row r="22" customFormat="false" ht="15" hidden="false" customHeight="false" outlineLevel="0" collapsed="false">
      <c r="E22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7"/>
    <col collapsed="false" customWidth="true" hidden="false" outlineLevel="0" max="8" min="7" style="0" width="15"/>
    <col collapsed="false" customWidth="true" hidden="false" outlineLevel="0" max="9" min="9" style="0" width="17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7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12"/>
  </cols>
  <sheetData>
    <row r="1" customFormat="false" ht="19.7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3" customFormat="false" ht="31.5" hidden="false" customHeight="true" outlineLevel="0" collapsed="false">
      <c r="A3" s="11" t="s">
        <v>133</v>
      </c>
      <c r="B3" s="11" t="s">
        <v>134</v>
      </c>
      <c r="C3" s="11" t="s">
        <v>135</v>
      </c>
      <c r="D3" s="11" t="s">
        <v>136</v>
      </c>
      <c r="E3" s="11" t="s">
        <v>137</v>
      </c>
      <c r="F3" s="11" t="s">
        <v>138</v>
      </c>
      <c r="G3" s="11" t="s">
        <v>59</v>
      </c>
      <c r="H3" s="11" t="s">
        <v>139</v>
      </c>
      <c r="I3" s="11" t="s">
        <v>140</v>
      </c>
      <c r="J3" s="11" t="s">
        <v>122</v>
      </c>
      <c r="K3" s="11" t="s">
        <v>141</v>
      </c>
      <c r="L3" s="11" t="s">
        <v>142</v>
      </c>
      <c r="M3" s="11" t="s">
        <v>143</v>
      </c>
      <c r="N3" s="11" t="s">
        <v>144</v>
      </c>
      <c r="O3" s="11" t="s">
        <v>145</v>
      </c>
      <c r="P3" s="11" t="s">
        <v>146</v>
      </c>
    </row>
    <row r="4" customFormat="false" ht="15" hidden="false" customHeight="false" outlineLevel="0" collapsed="false">
      <c r="A4" s="37" t="n">
        <v>46034</v>
      </c>
      <c r="B4" s="36" t="s">
        <v>147</v>
      </c>
      <c r="C4" s="36" t="s">
        <v>148</v>
      </c>
      <c r="D4" s="36" t="s">
        <v>149</v>
      </c>
      <c r="E4" s="36" t="s">
        <v>63</v>
      </c>
      <c r="F4" s="38" t="n">
        <v>12000</v>
      </c>
      <c r="G4" s="36" t="s">
        <v>65</v>
      </c>
      <c r="H4" s="39" t="n">
        <f aca="false">IF(F4="","",IF(G4="Standard 5%",F4*VAT_RATE,0))</f>
        <v>600</v>
      </c>
      <c r="I4" s="39" t="n">
        <f aca="false">IF(F4="","",F4+H4)</f>
        <v>12600</v>
      </c>
      <c r="J4" s="36" t="s">
        <v>124</v>
      </c>
      <c r="K4" s="37" t="n">
        <v>46050</v>
      </c>
      <c r="L4" s="38" t="n">
        <v>12600</v>
      </c>
      <c r="M4" s="22" t="str">
        <f aca="true">IF(OR(A4="",J4="Paid",J4="Written off"),"",TODAY()-A4)</f>
        <v/>
      </c>
      <c r="N4" s="22" t="str">
        <f aca="false">IF(M4="","",IF(M4&gt;OVERDUE_DAYS,"OVERDUE",""))</f>
        <v/>
      </c>
      <c r="O4" s="40" t="n">
        <f aca="false">IF(A4="","",IF(A4&lt;FY_START,0,(YEAR(A4)-YEAR(FY_START))*12+MONTH(A4)-MONTH(FY_START)+1))</f>
        <v>1</v>
      </c>
      <c r="P4" s="40" t="n">
        <f aca="false">IF(A4="","",IF(AND(A4&gt;=VP_START,A4&lt;=VP_END),1,0))</f>
        <v>1</v>
      </c>
    </row>
    <row r="5" customFormat="false" ht="15" hidden="false" customHeight="false" outlineLevel="0" collapsed="false">
      <c r="A5" s="37" t="n">
        <v>46056</v>
      </c>
      <c r="B5" s="36" t="s">
        <v>150</v>
      </c>
      <c r="C5" s="36" t="s">
        <v>151</v>
      </c>
      <c r="D5" s="36" t="s">
        <v>152</v>
      </c>
      <c r="E5" s="36" t="s">
        <v>68</v>
      </c>
      <c r="F5" s="38" t="n">
        <v>4500</v>
      </c>
      <c r="G5" s="36" t="s">
        <v>65</v>
      </c>
      <c r="H5" s="39" t="n">
        <f aca="false">IF(F5="","",IF(G5="Standard 5%",F5*VAT_RATE,0))</f>
        <v>225</v>
      </c>
      <c r="I5" s="39" t="n">
        <f aca="false">IF(F5="","",F5+H5)</f>
        <v>4725</v>
      </c>
      <c r="J5" s="36" t="s">
        <v>127</v>
      </c>
      <c r="K5" s="37"/>
      <c r="L5" s="38"/>
      <c r="M5" s="22" t="n">
        <f aca="true">IF(OR(A5="",J5="Paid",J5="Written off"),"",TODAY()-A5)</f>
        <v>229</v>
      </c>
      <c r="N5" s="22" t="str">
        <f aca="false">IF(M5="","",IF(M5&gt;OVERDUE_DAYS,"OVERDUE",""))</f>
        <v>OVERDUE</v>
      </c>
      <c r="O5" s="40" t="n">
        <f aca="false">IF(A5="","",IF(A5&lt;FY_START,0,(YEAR(A5)-YEAR(FY_START))*12+MONTH(A5)-MONTH(FY_START)+1))</f>
        <v>2</v>
      </c>
      <c r="P5" s="40" t="n">
        <f aca="false">IF(A5="","",IF(AND(A5&gt;=VP_START,A5&lt;=VP_END),1,0))</f>
        <v>1</v>
      </c>
    </row>
    <row r="6" customFormat="false" ht="15" hidden="false" customHeight="false" outlineLevel="0" collapsed="false">
      <c r="A6" s="37" t="n">
        <v>46073</v>
      </c>
      <c r="B6" s="36" t="s">
        <v>153</v>
      </c>
      <c r="C6" s="36" t="s">
        <v>154</v>
      </c>
      <c r="D6" s="36" t="s">
        <v>155</v>
      </c>
      <c r="E6" s="36" t="s">
        <v>68</v>
      </c>
      <c r="F6" s="38" t="n">
        <v>8000</v>
      </c>
      <c r="G6" s="36" t="s">
        <v>70</v>
      </c>
      <c r="H6" s="39" t="n">
        <f aca="false">IF(F6="","",IF(G6="Standard 5%",F6*VAT_RATE,0))</f>
        <v>0</v>
      </c>
      <c r="I6" s="39" t="n">
        <f aca="false">IF(F6="","",F6+H6)</f>
        <v>8000</v>
      </c>
      <c r="J6" s="36" t="s">
        <v>124</v>
      </c>
      <c r="K6" s="37" t="n">
        <v>46086</v>
      </c>
      <c r="L6" s="38" t="n">
        <v>8000</v>
      </c>
      <c r="M6" s="22" t="str">
        <f aca="true">IF(OR(A6="",J6="Paid",J6="Written off"),"",TODAY()-A6)</f>
        <v/>
      </c>
      <c r="N6" s="22" t="str">
        <f aca="false">IF(M6="","",IF(M6&gt;OVERDUE_DAYS,"OVERDUE",""))</f>
        <v/>
      </c>
      <c r="O6" s="40" t="n">
        <f aca="false">IF(A6="","",IF(A6&lt;FY_START,0,(YEAR(A6)-YEAR(FY_START))*12+MONTH(A6)-MONTH(FY_START)+1))</f>
        <v>2</v>
      </c>
      <c r="P6" s="40" t="n">
        <f aca="false">IF(A6="","",IF(AND(A6&gt;=VP_START,A6&lt;=VP_END),1,0))</f>
        <v>1</v>
      </c>
    </row>
    <row r="7" customFormat="false" ht="15" hidden="false" customHeight="false" outlineLevel="0" collapsed="false">
      <c r="A7" s="37"/>
      <c r="B7" s="36"/>
      <c r="C7" s="36"/>
      <c r="D7" s="36"/>
      <c r="E7" s="36"/>
      <c r="F7" s="38"/>
      <c r="G7" s="36"/>
      <c r="H7" s="39" t="str">
        <f aca="false">IF(F7="","",IF(G7="Standard 5%",F7*VAT_RATE,0))</f>
        <v/>
      </c>
      <c r="I7" s="39" t="str">
        <f aca="false">IF(F7="","",F7+H7)</f>
        <v/>
      </c>
      <c r="J7" s="36"/>
      <c r="K7" s="37"/>
      <c r="L7" s="38"/>
      <c r="M7" s="22" t="str">
        <f aca="true">IF(OR(A7="",J7="Paid",J7="Written off"),"",TODAY()-A7)</f>
        <v/>
      </c>
      <c r="N7" s="22" t="str">
        <f aca="false">IF(M7="","",IF(M7&gt;OVERDUE_DAYS,"OVERDUE",""))</f>
        <v/>
      </c>
      <c r="O7" s="40" t="str">
        <f aca="false">IF(A7="","",IF(A7&lt;FY_START,0,(YEAR(A7)-YEAR(FY_START))*12+MONTH(A7)-MONTH(FY_START)+1))</f>
        <v/>
      </c>
      <c r="P7" s="40" t="str">
        <f aca="false">IF(A7="","",IF(AND(A7&gt;=VP_START,A7&lt;=VP_END),1,0))</f>
        <v/>
      </c>
    </row>
    <row r="8" customFormat="false" ht="15" hidden="false" customHeight="false" outlineLevel="0" collapsed="false">
      <c r="A8" s="37"/>
      <c r="B8" s="36"/>
      <c r="C8" s="36"/>
      <c r="D8" s="36"/>
      <c r="E8" s="36"/>
      <c r="F8" s="38"/>
      <c r="G8" s="36"/>
      <c r="H8" s="39" t="str">
        <f aca="false">IF(F8="","",IF(G8="Standard 5%",F8*VAT_RATE,0))</f>
        <v/>
      </c>
      <c r="I8" s="39" t="str">
        <f aca="false">IF(F8="","",F8+H8)</f>
        <v/>
      </c>
      <c r="J8" s="36"/>
      <c r="K8" s="37"/>
      <c r="L8" s="38"/>
      <c r="M8" s="22" t="str">
        <f aca="true">IF(OR(A8="",J8="Paid",J8="Written off"),"",TODAY()-A8)</f>
        <v/>
      </c>
      <c r="N8" s="22" t="str">
        <f aca="false">IF(M8="","",IF(M8&gt;OVERDUE_DAYS,"OVERDUE",""))</f>
        <v/>
      </c>
      <c r="O8" s="40" t="str">
        <f aca="false">IF(A8="","",IF(A8&lt;FY_START,0,(YEAR(A8)-YEAR(FY_START))*12+MONTH(A8)-MONTH(FY_START)+1))</f>
        <v/>
      </c>
      <c r="P8" s="40" t="str">
        <f aca="false">IF(A8="","",IF(AND(A8&gt;=VP_START,A8&lt;=VP_END),1,0))</f>
        <v/>
      </c>
    </row>
    <row r="9" customFormat="false" ht="15" hidden="false" customHeight="false" outlineLevel="0" collapsed="false">
      <c r="A9" s="37"/>
      <c r="B9" s="36"/>
      <c r="C9" s="36"/>
      <c r="D9" s="36"/>
      <c r="E9" s="36"/>
      <c r="F9" s="38"/>
      <c r="G9" s="36"/>
      <c r="H9" s="39" t="str">
        <f aca="false">IF(F9="","",IF(G9="Standard 5%",F9*VAT_RATE,0))</f>
        <v/>
      </c>
      <c r="I9" s="39" t="str">
        <f aca="false">IF(F9="","",F9+H9)</f>
        <v/>
      </c>
      <c r="J9" s="36"/>
      <c r="K9" s="37"/>
      <c r="L9" s="38"/>
      <c r="M9" s="22" t="str">
        <f aca="true">IF(OR(A9="",J9="Paid",J9="Written off"),"",TODAY()-A9)</f>
        <v/>
      </c>
      <c r="N9" s="22" t="str">
        <f aca="false">IF(M9="","",IF(M9&gt;OVERDUE_DAYS,"OVERDUE",""))</f>
        <v/>
      </c>
      <c r="O9" s="40" t="str">
        <f aca="false">IF(A9="","",IF(A9&lt;FY_START,0,(YEAR(A9)-YEAR(FY_START))*12+MONTH(A9)-MONTH(FY_START)+1))</f>
        <v/>
      </c>
      <c r="P9" s="40" t="str">
        <f aca="false">IF(A9="","",IF(AND(A9&gt;=VP_START,A9&lt;=VP_END),1,0))</f>
        <v/>
      </c>
    </row>
    <row r="10" customFormat="false" ht="15" hidden="false" customHeight="false" outlineLevel="0" collapsed="false">
      <c r="A10" s="37"/>
      <c r="B10" s="36"/>
      <c r="C10" s="36"/>
      <c r="D10" s="36"/>
      <c r="E10" s="36"/>
      <c r="F10" s="38"/>
      <c r="G10" s="36"/>
      <c r="H10" s="39" t="str">
        <f aca="false">IF(F10="","",IF(G10="Standard 5%",F10*VAT_RATE,0))</f>
        <v/>
      </c>
      <c r="I10" s="39" t="str">
        <f aca="false">IF(F10="","",F10+H10)</f>
        <v/>
      </c>
      <c r="J10" s="36"/>
      <c r="K10" s="37"/>
      <c r="L10" s="38"/>
      <c r="M10" s="22" t="str">
        <f aca="true">IF(OR(A10="",J10="Paid",J10="Written off"),"",TODAY()-A10)</f>
        <v/>
      </c>
      <c r="N10" s="22" t="str">
        <f aca="false">IF(M10="","",IF(M10&gt;OVERDUE_DAYS,"OVERDUE",""))</f>
        <v/>
      </c>
      <c r="O10" s="40" t="str">
        <f aca="false">IF(A10="","",IF(A10&lt;FY_START,0,(YEAR(A10)-YEAR(FY_START))*12+MONTH(A10)-MONTH(FY_START)+1))</f>
        <v/>
      </c>
      <c r="P10" s="40" t="str">
        <f aca="false">IF(A10="","",IF(AND(A10&gt;=VP_START,A10&lt;=VP_END),1,0))</f>
        <v/>
      </c>
    </row>
    <row r="11" customFormat="false" ht="15" hidden="false" customHeight="false" outlineLevel="0" collapsed="false">
      <c r="A11" s="37"/>
      <c r="B11" s="36"/>
      <c r="C11" s="36"/>
      <c r="D11" s="36"/>
      <c r="E11" s="36"/>
      <c r="F11" s="38"/>
      <c r="G11" s="36"/>
      <c r="H11" s="39" t="str">
        <f aca="false">IF(F11="","",IF(G11="Standard 5%",F11*VAT_RATE,0))</f>
        <v/>
      </c>
      <c r="I11" s="39" t="str">
        <f aca="false">IF(F11="","",F11+H11)</f>
        <v/>
      </c>
      <c r="J11" s="36"/>
      <c r="K11" s="37"/>
      <c r="L11" s="38"/>
      <c r="M11" s="22" t="str">
        <f aca="true">IF(OR(A11="",J11="Paid",J11="Written off"),"",TODAY()-A11)</f>
        <v/>
      </c>
      <c r="N11" s="22" t="str">
        <f aca="false">IF(M11="","",IF(M11&gt;OVERDUE_DAYS,"OVERDUE",""))</f>
        <v/>
      </c>
      <c r="O11" s="40" t="str">
        <f aca="false">IF(A11="","",IF(A11&lt;FY_START,0,(YEAR(A11)-YEAR(FY_START))*12+MONTH(A11)-MONTH(FY_START)+1))</f>
        <v/>
      </c>
      <c r="P11" s="40" t="str">
        <f aca="false">IF(A11="","",IF(AND(A11&gt;=VP_START,A11&lt;=VP_END),1,0))</f>
        <v/>
      </c>
    </row>
    <row r="12" customFormat="false" ht="15" hidden="false" customHeight="false" outlineLevel="0" collapsed="false">
      <c r="A12" s="37"/>
      <c r="B12" s="36"/>
      <c r="C12" s="36"/>
      <c r="D12" s="36"/>
      <c r="E12" s="36"/>
      <c r="F12" s="38"/>
      <c r="G12" s="36"/>
      <c r="H12" s="39" t="str">
        <f aca="false">IF(F12="","",IF(G12="Standard 5%",F12*VAT_RATE,0))</f>
        <v/>
      </c>
      <c r="I12" s="39" t="str">
        <f aca="false">IF(F12="","",F12+H12)</f>
        <v/>
      </c>
      <c r="J12" s="36"/>
      <c r="K12" s="37"/>
      <c r="L12" s="38"/>
      <c r="M12" s="22" t="str">
        <f aca="true">IF(OR(A12="",J12="Paid",J12="Written off"),"",TODAY()-A12)</f>
        <v/>
      </c>
      <c r="N12" s="22" t="str">
        <f aca="false">IF(M12="","",IF(M12&gt;OVERDUE_DAYS,"OVERDUE",""))</f>
        <v/>
      </c>
      <c r="O12" s="40" t="str">
        <f aca="false">IF(A12="","",IF(A12&lt;FY_START,0,(YEAR(A12)-YEAR(FY_START))*12+MONTH(A12)-MONTH(FY_START)+1))</f>
        <v/>
      </c>
      <c r="P12" s="40" t="str">
        <f aca="false">IF(A12="","",IF(AND(A12&gt;=VP_START,A12&lt;=VP_END),1,0))</f>
        <v/>
      </c>
    </row>
    <row r="13" customFormat="false" ht="15" hidden="false" customHeight="false" outlineLevel="0" collapsed="false">
      <c r="A13" s="37"/>
      <c r="B13" s="36"/>
      <c r="C13" s="36"/>
      <c r="D13" s="36"/>
      <c r="E13" s="36"/>
      <c r="F13" s="38"/>
      <c r="G13" s="36"/>
      <c r="H13" s="39" t="str">
        <f aca="false">IF(F13="","",IF(G13="Standard 5%",F13*VAT_RATE,0))</f>
        <v/>
      </c>
      <c r="I13" s="39" t="str">
        <f aca="false">IF(F13="","",F13+H13)</f>
        <v/>
      </c>
      <c r="J13" s="36"/>
      <c r="K13" s="37"/>
      <c r="L13" s="38"/>
      <c r="M13" s="22" t="str">
        <f aca="true">IF(OR(A13="",J13="Paid",J13="Written off"),"",TODAY()-A13)</f>
        <v/>
      </c>
      <c r="N13" s="22" t="str">
        <f aca="false">IF(M13="","",IF(M13&gt;OVERDUE_DAYS,"OVERDUE",""))</f>
        <v/>
      </c>
      <c r="O13" s="40" t="str">
        <f aca="false">IF(A13="","",IF(A13&lt;FY_START,0,(YEAR(A13)-YEAR(FY_START))*12+MONTH(A13)-MONTH(FY_START)+1))</f>
        <v/>
      </c>
      <c r="P13" s="40" t="str">
        <f aca="false">IF(A13="","",IF(AND(A13&gt;=VP_START,A13&lt;=VP_END),1,0))</f>
        <v/>
      </c>
    </row>
    <row r="14" customFormat="false" ht="15" hidden="false" customHeight="false" outlineLevel="0" collapsed="false">
      <c r="A14" s="37"/>
      <c r="B14" s="36"/>
      <c r="C14" s="36"/>
      <c r="D14" s="36"/>
      <c r="E14" s="36"/>
      <c r="F14" s="38"/>
      <c r="G14" s="36"/>
      <c r="H14" s="39" t="str">
        <f aca="false">IF(F14="","",IF(G14="Standard 5%",F14*VAT_RATE,0))</f>
        <v/>
      </c>
      <c r="I14" s="39" t="str">
        <f aca="false">IF(F14="","",F14+H14)</f>
        <v/>
      </c>
      <c r="J14" s="36"/>
      <c r="K14" s="37"/>
      <c r="L14" s="38"/>
      <c r="M14" s="22" t="str">
        <f aca="true">IF(OR(A14="",J14="Paid",J14="Written off"),"",TODAY()-A14)</f>
        <v/>
      </c>
      <c r="N14" s="22" t="str">
        <f aca="false">IF(M14="","",IF(M14&gt;OVERDUE_DAYS,"OVERDUE",""))</f>
        <v/>
      </c>
      <c r="O14" s="40" t="str">
        <f aca="false">IF(A14="","",IF(A14&lt;FY_START,0,(YEAR(A14)-YEAR(FY_START))*12+MONTH(A14)-MONTH(FY_START)+1))</f>
        <v/>
      </c>
      <c r="P14" s="40" t="str">
        <f aca="false">IF(A14="","",IF(AND(A14&gt;=VP_START,A14&lt;=VP_END),1,0))</f>
        <v/>
      </c>
    </row>
    <row r="15" customFormat="false" ht="15" hidden="false" customHeight="false" outlineLevel="0" collapsed="false">
      <c r="A15" s="37"/>
      <c r="B15" s="36"/>
      <c r="C15" s="36"/>
      <c r="D15" s="36"/>
      <c r="E15" s="36"/>
      <c r="F15" s="38"/>
      <c r="G15" s="36"/>
      <c r="H15" s="39" t="str">
        <f aca="false">IF(F15="","",IF(G15="Standard 5%",F15*VAT_RATE,0))</f>
        <v/>
      </c>
      <c r="I15" s="39" t="str">
        <f aca="false">IF(F15="","",F15+H15)</f>
        <v/>
      </c>
      <c r="J15" s="36"/>
      <c r="K15" s="37"/>
      <c r="L15" s="38"/>
      <c r="M15" s="22" t="str">
        <f aca="true">IF(OR(A15="",J15="Paid",J15="Written off"),"",TODAY()-A15)</f>
        <v/>
      </c>
      <c r="N15" s="22" t="str">
        <f aca="false">IF(M15="","",IF(M15&gt;OVERDUE_DAYS,"OVERDUE",""))</f>
        <v/>
      </c>
      <c r="O15" s="40" t="str">
        <f aca="false">IF(A15="","",IF(A15&lt;FY_START,0,(YEAR(A15)-YEAR(FY_START))*12+MONTH(A15)-MONTH(FY_START)+1))</f>
        <v/>
      </c>
      <c r="P15" s="40" t="str">
        <f aca="false">IF(A15="","",IF(AND(A15&gt;=VP_START,A15&lt;=VP_END),1,0))</f>
        <v/>
      </c>
    </row>
    <row r="16" customFormat="false" ht="15" hidden="false" customHeight="false" outlineLevel="0" collapsed="false">
      <c r="A16" s="37"/>
      <c r="B16" s="36"/>
      <c r="C16" s="36"/>
      <c r="D16" s="36"/>
      <c r="E16" s="36"/>
      <c r="F16" s="38"/>
      <c r="G16" s="36"/>
      <c r="H16" s="39" t="str">
        <f aca="false">IF(F16="","",IF(G16="Standard 5%",F16*VAT_RATE,0))</f>
        <v/>
      </c>
      <c r="I16" s="39" t="str">
        <f aca="false">IF(F16="","",F16+H16)</f>
        <v/>
      </c>
      <c r="J16" s="36"/>
      <c r="K16" s="37"/>
      <c r="L16" s="38"/>
      <c r="M16" s="22" t="str">
        <f aca="true">IF(OR(A16="",J16="Paid",J16="Written off"),"",TODAY()-A16)</f>
        <v/>
      </c>
      <c r="N16" s="22" t="str">
        <f aca="false">IF(M16="","",IF(M16&gt;OVERDUE_DAYS,"OVERDUE",""))</f>
        <v/>
      </c>
      <c r="O16" s="40" t="str">
        <f aca="false">IF(A16="","",IF(A16&lt;FY_START,0,(YEAR(A16)-YEAR(FY_START))*12+MONTH(A16)-MONTH(FY_START)+1))</f>
        <v/>
      </c>
      <c r="P16" s="40" t="str">
        <f aca="false">IF(A16="","",IF(AND(A16&gt;=VP_START,A16&lt;=VP_END),1,0))</f>
        <v/>
      </c>
    </row>
    <row r="17" customFormat="false" ht="15" hidden="false" customHeight="false" outlineLevel="0" collapsed="false">
      <c r="A17" s="37"/>
      <c r="B17" s="36"/>
      <c r="C17" s="36"/>
      <c r="D17" s="36"/>
      <c r="E17" s="36"/>
      <c r="F17" s="38"/>
      <c r="G17" s="36"/>
      <c r="H17" s="39" t="str">
        <f aca="false">IF(F17="","",IF(G17="Standard 5%",F17*VAT_RATE,0))</f>
        <v/>
      </c>
      <c r="I17" s="39" t="str">
        <f aca="false">IF(F17="","",F17+H17)</f>
        <v/>
      </c>
      <c r="J17" s="36"/>
      <c r="K17" s="37"/>
      <c r="L17" s="38"/>
      <c r="M17" s="22" t="str">
        <f aca="true">IF(OR(A17="",J17="Paid",J17="Written off"),"",TODAY()-A17)</f>
        <v/>
      </c>
      <c r="N17" s="22" t="str">
        <f aca="false">IF(M17="","",IF(M17&gt;OVERDUE_DAYS,"OVERDUE",""))</f>
        <v/>
      </c>
      <c r="O17" s="40" t="str">
        <f aca="false">IF(A17="","",IF(A17&lt;FY_START,0,(YEAR(A17)-YEAR(FY_START))*12+MONTH(A17)-MONTH(FY_START)+1))</f>
        <v/>
      </c>
      <c r="P17" s="40" t="str">
        <f aca="false">IF(A17="","",IF(AND(A17&gt;=VP_START,A17&lt;=VP_END),1,0))</f>
        <v/>
      </c>
    </row>
    <row r="18" customFormat="false" ht="15" hidden="false" customHeight="false" outlineLevel="0" collapsed="false">
      <c r="A18" s="37"/>
      <c r="B18" s="36"/>
      <c r="C18" s="36"/>
      <c r="D18" s="36"/>
      <c r="E18" s="36"/>
      <c r="F18" s="38"/>
      <c r="G18" s="36"/>
      <c r="H18" s="39" t="str">
        <f aca="false">IF(F18="","",IF(G18="Standard 5%",F18*VAT_RATE,0))</f>
        <v/>
      </c>
      <c r="I18" s="39" t="str">
        <f aca="false">IF(F18="","",F18+H18)</f>
        <v/>
      </c>
      <c r="J18" s="36"/>
      <c r="K18" s="37"/>
      <c r="L18" s="38"/>
      <c r="M18" s="22" t="str">
        <f aca="true">IF(OR(A18="",J18="Paid",J18="Written off"),"",TODAY()-A18)</f>
        <v/>
      </c>
      <c r="N18" s="22" t="str">
        <f aca="false">IF(M18="","",IF(M18&gt;OVERDUE_DAYS,"OVERDUE",""))</f>
        <v/>
      </c>
      <c r="O18" s="40" t="str">
        <f aca="false">IF(A18="","",IF(A18&lt;FY_START,0,(YEAR(A18)-YEAR(FY_START))*12+MONTH(A18)-MONTH(FY_START)+1))</f>
        <v/>
      </c>
      <c r="P18" s="40" t="str">
        <f aca="false">IF(A18="","",IF(AND(A18&gt;=VP_START,A18&lt;=VP_END),1,0))</f>
        <v/>
      </c>
    </row>
    <row r="19" customFormat="false" ht="15" hidden="false" customHeight="false" outlineLevel="0" collapsed="false">
      <c r="A19" s="37"/>
      <c r="B19" s="36"/>
      <c r="C19" s="36"/>
      <c r="D19" s="36"/>
      <c r="E19" s="36"/>
      <c r="F19" s="38"/>
      <c r="G19" s="36"/>
      <c r="H19" s="39" t="str">
        <f aca="false">IF(F19="","",IF(G19="Standard 5%",F19*VAT_RATE,0))</f>
        <v/>
      </c>
      <c r="I19" s="39" t="str">
        <f aca="false">IF(F19="","",F19+H19)</f>
        <v/>
      </c>
      <c r="J19" s="36"/>
      <c r="K19" s="37"/>
      <c r="L19" s="38"/>
      <c r="M19" s="22" t="str">
        <f aca="true">IF(OR(A19="",J19="Paid",J19="Written off"),"",TODAY()-A19)</f>
        <v/>
      </c>
      <c r="N19" s="22" t="str">
        <f aca="false">IF(M19="","",IF(M19&gt;OVERDUE_DAYS,"OVERDUE",""))</f>
        <v/>
      </c>
      <c r="O19" s="40" t="str">
        <f aca="false">IF(A19="","",IF(A19&lt;FY_START,0,(YEAR(A19)-YEAR(FY_START))*12+MONTH(A19)-MONTH(FY_START)+1))</f>
        <v/>
      </c>
      <c r="P19" s="40" t="str">
        <f aca="false">IF(A19="","",IF(AND(A19&gt;=VP_START,A19&lt;=VP_END),1,0))</f>
        <v/>
      </c>
    </row>
    <row r="20" customFormat="false" ht="15" hidden="false" customHeight="false" outlineLevel="0" collapsed="false">
      <c r="A20" s="37"/>
      <c r="B20" s="36"/>
      <c r="C20" s="36"/>
      <c r="D20" s="36"/>
      <c r="E20" s="36"/>
      <c r="F20" s="38"/>
      <c r="G20" s="36"/>
      <c r="H20" s="39" t="str">
        <f aca="false">IF(F20="","",IF(G20="Standard 5%",F20*VAT_RATE,0))</f>
        <v/>
      </c>
      <c r="I20" s="39" t="str">
        <f aca="false">IF(F20="","",F20+H20)</f>
        <v/>
      </c>
      <c r="J20" s="36"/>
      <c r="K20" s="37"/>
      <c r="L20" s="38"/>
      <c r="M20" s="22" t="str">
        <f aca="true">IF(OR(A20="",J20="Paid",J20="Written off"),"",TODAY()-A20)</f>
        <v/>
      </c>
      <c r="N20" s="22" t="str">
        <f aca="false">IF(M20="","",IF(M20&gt;OVERDUE_DAYS,"OVERDUE",""))</f>
        <v/>
      </c>
      <c r="O20" s="40" t="str">
        <f aca="false">IF(A20="","",IF(A20&lt;FY_START,0,(YEAR(A20)-YEAR(FY_START))*12+MONTH(A20)-MONTH(FY_START)+1))</f>
        <v/>
      </c>
      <c r="P20" s="40" t="str">
        <f aca="false">IF(A20="","",IF(AND(A20&gt;=VP_START,A20&lt;=VP_END),1,0))</f>
        <v/>
      </c>
    </row>
    <row r="21" customFormat="false" ht="15" hidden="false" customHeight="false" outlineLevel="0" collapsed="false">
      <c r="A21" s="37"/>
      <c r="B21" s="36"/>
      <c r="C21" s="36"/>
      <c r="D21" s="36"/>
      <c r="E21" s="36"/>
      <c r="F21" s="38"/>
      <c r="G21" s="36"/>
      <c r="H21" s="39" t="str">
        <f aca="false">IF(F21="","",IF(G21="Standard 5%",F21*VAT_RATE,0))</f>
        <v/>
      </c>
      <c r="I21" s="39" t="str">
        <f aca="false">IF(F21="","",F21+H21)</f>
        <v/>
      </c>
      <c r="J21" s="36"/>
      <c r="K21" s="37"/>
      <c r="L21" s="38"/>
      <c r="M21" s="22" t="str">
        <f aca="true">IF(OR(A21="",J21="Paid",J21="Written off"),"",TODAY()-A21)</f>
        <v/>
      </c>
      <c r="N21" s="22" t="str">
        <f aca="false">IF(M21="","",IF(M21&gt;OVERDUE_DAYS,"OVERDUE",""))</f>
        <v/>
      </c>
      <c r="O21" s="40" t="str">
        <f aca="false">IF(A21="","",IF(A21&lt;FY_START,0,(YEAR(A21)-YEAR(FY_START))*12+MONTH(A21)-MONTH(FY_START)+1))</f>
        <v/>
      </c>
      <c r="P21" s="40" t="str">
        <f aca="false">IF(A21="","",IF(AND(A21&gt;=VP_START,A21&lt;=VP_END),1,0))</f>
        <v/>
      </c>
    </row>
    <row r="22" customFormat="false" ht="15" hidden="false" customHeight="false" outlineLevel="0" collapsed="false">
      <c r="A22" s="37"/>
      <c r="B22" s="36"/>
      <c r="C22" s="36"/>
      <c r="D22" s="36"/>
      <c r="E22" s="36"/>
      <c r="F22" s="38"/>
      <c r="G22" s="36"/>
      <c r="H22" s="39" t="str">
        <f aca="false">IF(F22="","",IF(G22="Standard 5%",F22*VAT_RATE,0))</f>
        <v/>
      </c>
      <c r="I22" s="39" t="str">
        <f aca="false">IF(F22="","",F22+H22)</f>
        <v/>
      </c>
      <c r="J22" s="36"/>
      <c r="K22" s="37"/>
      <c r="L22" s="38"/>
      <c r="M22" s="22" t="str">
        <f aca="true">IF(OR(A22="",J22="Paid",J22="Written off"),"",TODAY()-A22)</f>
        <v/>
      </c>
      <c r="N22" s="22" t="str">
        <f aca="false">IF(M22="","",IF(M22&gt;OVERDUE_DAYS,"OVERDUE",""))</f>
        <v/>
      </c>
      <c r="O22" s="40" t="str">
        <f aca="false">IF(A22="","",IF(A22&lt;FY_START,0,(YEAR(A22)-YEAR(FY_START))*12+MONTH(A22)-MONTH(FY_START)+1))</f>
        <v/>
      </c>
      <c r="P22" s="40" t="str">
        <f aca="false">IF(A22="","",IF(AND(A22&gt;=VP_START,A22&lt;=VP_END),1,0))</f>
        <v/>
      </c>
    </row>
    <row r="23" customFormat="false" ht="15" hidden="false" customHeight="false" outlineLevel="0" collapsed="false">
      <c r="A23" s="37"/>
      <c r="B23" s="36"/>
      <c r="C23" s="36"/>
      <c r="D23" s="36"/>
      <c r="E23" s="36"/>
      <c r="F23" s="38"/>
      <c r="G23" s="36"/>
      <c r="H23" s="39" t="str">
        <f aca="false">IF(F23="","",IF(G23="Standard 5%",F23*VAT_RATE,0))</f>
        <v/>
      </c>
      <c r="I23" s="39" t="str">
        <f aca="false">IF(F23="","",F23+H23)</f>
        <v/>
      </c>
      <c r="J23" s="36"/>
      <c r="K23" s="37"/>
      <c r="L23" s="38"/>
      <c r="M23" s="22" t="str">
        <f aca="true">IF(OR(A23="",J23="Paid",J23="Written off"),"",TODAY()-A23)</f>
        <v/>
      </c>
      <c r="N23" s="22" t="str">
        <f aca="false">IF(M23="","",IF(M23&gt;OVERDUE_DAYS,"OVERDUE",""))</f>
        <v/>
      </c>
      <c r="O23" s="40" t="str">
        <f aca="false">IF(A23="","",IF(A23&lt;FY_START,0,(YEAR(A23)-YEAR(FY_START))*12+MONTH(A23)-MONTH(FY_START)+1))</f>
        <v/>
      </c>
      <c r="P23" s="40" t="str">
        <f aca="false">IF(A23="","",IF(AND(A23&gt;=VP_START,A23&lt;=VP_END),1,0))</f>
        <v/>
      </c>
    </row>
    <row r="24" customFormat="false" ht="15" hidden="false" customHeight="false" outlineLevel="0" collapsed="false">
      <c r="A24" s="37"/>
      <c r="B24" s="36"/>
      <c r="C24" s="36"/>
      <c r="D24" s="36"/>
      <c r="E24" s="36"/>
      <c r="F24" s="38"/>
      <c r="G24" s="36"/>
      <c r="H24" s="39" t="str">
        <f aca="false">IF(F24="","",IF(G24="Standard 5%",F24*VAT_RATE,0))</f>
        <v/>
      </c>
      <c r="I24" s="39" t="str">
        <f aca="false">IF(F24="","",F24+H24)</f>
        <v/>
      </c>
      <c r="J24" s="36"/>
      <c r="K24" s="37"/>
      <c r="L24" s="38"/>
      <c r="M24" s="22" t="str">
        <f aca="true">IF(OR(A24="",J24="Paid",J24="Written off"),"",TODAY()-A24)</f>
        <v/>
      </c>
      <c r="N24" s="22" t="str">
        <f aca="false">IF(M24="","",IF(M24&gt;OVERDUE_DAYS,"OVERDUE",""))</f>
        <v/>
      </c>
      <c r="O24" s="40" t="str">
        <f aca="false">IF(A24="","",IF(A24&lt;FY_START,0,(YEAR(A24)-YEAR(FY_START))*12+MONTH(A24)-MONTH(FY_START)+1))</f>
        <v/>
      </c>
      <c r="P24" s="40" t="str">
        <f aca="false">IF(A24="","",IF(AND(A24&gt;=VP_START,A24&lt;=VP_END),1,0))</f>
        <v/>
      </c>
    </row>
    <row r="25" customFormat="false" ht="15" hidden="false" customHeight="false" outlineLevel="0" collapsed="false">
      <c r="A25" s="37"/>
      <c r="B25" s="36"/>
      <c r="C25" s="36"/>
      <c r="D25" s="36"/>
      <c r="E25" s="36"/>
      <c r="F25" s="38"/>
      <c r="G25" s="36"/>
      <c r="H25" s="39" t="str">
        <f aca="false">IF(F25="","",IF(G25="Standard 5%",F25*VAT_RATE,0))</f>
        <v/>
      </c>
      <c r="I25" s="39" t="str">
        <f aca="false">IF(F25="","",F25+H25)</f>
        <v/>
      </c>
      <c r="J25" s="36"/>
      <c r="K25" s="37"/>
      <c r="L25" s="38"/>
      <c r="M25" s="22" t="str">
        <f aca="true">IF(OR(A25="",J25="Paid",J25="Written off"),"",TODAY()-A25)</f>
        <v/>
      </c>
      <c r="N25" s="22" t="str">
        <f aca="false">IF(M25="","",IF(M25&gt;OVERDUE_DAYS,"OVERDUE",""))</f>
        <v/>
      </c>
      <c r="O25" s="40" t="str">
        <f aca="false">IF(A25="","",IF(A25&lt;FY_START,0,(YEAR(A25)-YEAR(FY_START))*12+MONTH(A25)-MONTH(FY_START)+1))</f>
        <v/>
      </c>
      <c r="P25" s="40" t="str">
        <f aca="false">IF(A25="","",IF(AND(A25&gt;=VP_START,A25&lt;=VP_END),1,0))</f>
        <v/>
      </c>
    </row>
    <row r="26" customFormat="false" ht="15" hidden="false" customHeight="false" outlineLevel="0" collapsed="false">
      <c r="A26" s="37"/>
      <c r="B26" s="36"/>
      <c r="C26" s="36"/>
      <c r="D26" s="36"/>
      <c r="E26" s="36"/>
      <c r="F26" s="38"/>
      <c r="G26" s="36"/>
      <c r="H26" s="39" t="str">
        <f aca="false">IF(F26="","",IF(G26="Standard 5%",F26*VAT_RATE,0))</f>
        <v/>
      </c>
      <c r="I26" s="39" t="str">
        <f aca="false">IF(F26="","",F26+H26)</f>
        <v/>
      </c>
      <c r="J26" s="36"/>
      <c r="K26" s="37"/>
      <c r="L26" s="38"/>
      <c r="M26" s="22" t="str">
        <f aca="true">IF(OR(A26="",J26="Paid",J26="Written off"),"",TODAY()-A26)</f>
        <v/>
      </c>
      <c r="N26" s="22" t="str">
        <f aca="false">IF(M26="","",IF(M26&gt;OVERDUE_DAYS,"OVERDUE",""))</f>
        <v/>
      </c>
      <c r="O26" s="40" t="str">
        <f aca="false">IF(A26="","",IF(A26&lt;FY_START,0,(YEAR(A26)-YEAR(FY_START))*12+MONTH(A26)-MONTH(FY_START)+1))</f>
        <v/>
      </c>
      <c r="P26" s="40" t="str">
        <f aca="false">IF(A26="","",IF(AND(A26&gt;=VP_START,A26&lt;=VP_END),1,0))</f>
        <v/>
      </c>
    </row>
    <row r="27" customFormat="false" ht="15" hidden="false" customHeight="false" outlineLevel="0" collapsed="false">
      <c r="A27" s="37"/>
      <c r="B27" s="36"/>
      <c r="C27" s="36"/>
      <c r="D27" s="36"/>
      <c r="E27" s="36"/>
      <c r="F27" s="38"/>
      <c r="G27" s="36"/>
      <c r="H27" s="39" t="str">
        <f aca="false">IF(F27="","",IF(G27="Standard 5%",F27*VAT_RATE,0))</f>
        <v/>
      </c>
      <c r="I27" s="39" t="str">
        <f aca="false">IF(F27="","",F27+H27)</f>
        <v/>
      </c>
      <c r="J27" s="36"/>
      <c r="K27" s="37"/>
      <c r="L27" s="38"/>
      <c r="M27" s="22" t="str">
        <f aca="true">IF(OR(A27="",J27="Paid",J27="Written off"),"",TODAY()-A27)</f>
        <v/>
      </c>
      <c r="N27" s="22" t="str">
        <f aca="false">IF(M27="","",IF(M27&gt;OVERDUE_DAYS,"OVERDUE",""))</f>
        <v/>
      </c>
      <c r="O27" s="40" t="str">
        <f aca="false">IF(A27="","",IF(A27&lt;FY_START,0,(YEAR(A27)-YEAR(FY_START))*12+MONTH(A27)-MONTH(FY_START)+1))</f>
        <v/>
      </c>
      <c r="P27" s="40" t="str">
        <f aca="false">IF(A27="","",IF(AND(A27&gt;=VP_START,A27&lt;=VP_END),1,0))</f>
        <v/>
      </c>
    </row>
    <row r="28" customFormat="false" ht="15" hidden="false" customHeight="false" outlineLevel="0" collapsed="false">
      <c r="A28" s="37"/>
      <c r="B28" s="36"/>
      <c r="C28" s="36"/>
      <c r="D28" s="36"/>
      <c r="E28" s="36"/>
      <c r="F28" s="38"/>
      <c r="G28" s="36"/>
      <c r="H28" s="39" t="str">
        <f aca="false">IF(F28="","",IF(G28="Standard 5%",F28*VAT_RATE,0))</f>
        <v/>
      </c>
      <c r="I28" s="39" t="str">
        <f aca="false">IF(F28="","",F28+H28)</f>
        <v/>
      </c>
      <c r="J28" s="36"/>
      <c r="K28" s="37"/>
      <c r="L28" s="38"/>
      <c r="M28" s="22" t="str">
        <f aca="true">IF(OR(A28="",J28="Paid",J28="Written off"),"",TODAY()-A28)</f>
        <v/>
      </c>
      <c r="N28" s="22" t="str">
        <f aca="false">IF(M28="","",IF(M28&gt;OVERDUE_DAYS,"OVERDUE",""))</f>
        <v/>
      </c>
      <c r="O28" s="40" t="str">
        <f aca="false">IF(A28="","",IF(A28&lt;FY_START,0,(YEAR(A28)-YEAR(FY_START))*12+MONTH(A28)-MONTH(FY_START)+1))</f>
        <v/>
      </c>
      <c r="P28" s="40" t="str">
        <f aca="false">IF(A28="","",IF(AND(A28&gt;=VP_START,A28&lt;=VP_END),1,0))</f>
        <v/>
      </c>
    </row>
    <row r="29" customFormat="false" ht="15" hidden="false" customHeight="false" outlineLevel="0" collapsed="false">
      <c r="A29" s="37"/>
      <c r="B29" s="36"/>
      <c r="C29" s="36"/>
      <c r="D29" s="36"/>
      <c r="E29" s="36"/>
      <c r="F29" s="38"/>
      <c r="G29" s="36"/>
      <c r="H29" s="39" t="str">
        <f aca="false">IF(F29="","",IF(G29="Standard 5%",F29*VAT_RATE,0))</f>
        <v/>
      </c>
      <c r="I29" s="39" t="str">
        <f aca="false">IF(F29="","",F29+H29)</f>
        <v/>
      </c>
      <c r="J29" s="36"/>
      <c r="K29" s="37"/>
      <c r="L29" s="38"/>
      <c r="M29" s="22" t="str">
        <f aca="true">IF(OR(A29="",J29="Paid",J29="Written off"),"",TODAY()-A29)</f>
        <v/>
      </c>
      <c r="N29" s="22" t="str">
        <f aca="false">IF(M29="","",IF(M29&gt;OVERDUE_DAYS,"OVERDUE",""))</f>
        <v/>
      </c>
      <c r="O29" s="40" t="str">
        <f aca="false">IF(A29="","",IF(A29&lt;FY_START,0,(YEAR(A29)-YEAR(FY_START))*12+MONTH(A29)-MONTH(FY_START)+1))</f>
        <v/>
      </c>
      <c r="P29" s="40" t="str">
        <f aca="false">IF(A29="","",IF(AND(A29&gt;=VP_START,A29&lt;=VP_END),1,0))</f>
        <v/>
      </c>
    </row>
    <row r="30" customFormat="false" ht="15" hidden="false" customHeight="false" outlineLevel="0" collapsed="false">
      <c r="A30" s="37"/>
      <c r="B30" s="36"/>
      <c r="C30" s="36"/>
      <c r="D30" s="36"/>
      <c r="E30" s="36"/>
      <c r="F30" s="38"/>
      <c r="G30" s="36"/>
      <c r="H30" s="39" t="str">
        <f aca="false">IF(F30="","",IF(G30="Standard 5%",F30*VAT_RATE,0))</f>
        <v/>
      </c>
      <c r="I30" s="39" t="str">
        <f aca="false">IF(F30="","",F30+H30)</f>
        <v/>
      </c>
      <c r="J30" s="36"/>
      <c r="K30" s="37"/>
      <c r="L30" s="38"/>
      <c r="M30" s="22" t="str">
        <f aca="true">IF(OR(A30="",J30="Paid",J30="Written off"),"",TODAY()-A30)</f>
        <v/>
      </c>
      <c r="N30" s="22" t="str">
        <f aca="false">IF(M30="","",IF(M30&gt;OVERDUE_DAYS,"OVERDUE",""))</f>
        <v/>
      </c>
      <c r="O30" s="40" t="str">
        <f aca="false">IF(A30="","",IF(A30&lt;FY_START,0,(YEAR(A30)-YEAR(FY_START))*12+MONTH(A30)-MONTH(FY_START)+1))</f>
        <v/>
      </c>
      <c r="P30" s="40" t="str">
        <f aca="false">IF(A30="","",IF(AND(A30&gt;=VP_START,A30&lt;=VP_END),1,0))</f>
        <v/>
      </c>
    </row>
    <row r="31" customFormat="false" ht="15" hidden="false" customHeight="false" outlineLevel="0" collapsed="false">
      <c r="A31" s="37"/>
      <c r="B31" s="36"/>
      <c r="C31" s="36"/>
      <c r="D31" s="36"/>
      <c r="E31" s="36"/>
      <c r="F31" s="38"/>
      <c r="G31" s="36"/>
      <c r="H31" s="39" t="str">
        <f aca="false">IF(F31="","",IF(G31="Standard 5%",F31*VAT_RATE,0))</f>
        <v/>
      </c>
      <c r="I31" s="39" t="str">
        <f aca="false">IF(F31="","",F31+H31)</f>
        <v/>
      </c>
      <c r="J31" s="36"/>
      <c r="K31" s="37"/>
      <c r="L31" s="38"/>
      <c r="M31" s="22" t="str">
        <f aca="true">IF(OR(A31="",J31="Paid",J31="Written off"),"",TODAY()-A31)</f>
        <v/>
      </c>
      <c r="N31" s="22" t="str">
        <f aca="false">IF(M31="","",IF(M31&gt;OVERDUE_DAYS,"OVERDUE",""))</f>
        <v/>
      </c>
      <c r="O31" s="40" t="str">
        <f aca="false">IF(A31="","",IF(A31&lt;FY_START,0,(YEAR(A31)-YEAR(FY_START))*12+MONTH(A31)-MONTH(FY_START)+1))</f>
        <v/>
      </c>
      <c r="P31" s="40" t="str">
        <f aca="false">IF(A31="","",IF(AND(A31&gt;=VP_START,A31&lt;=VP_END),1,0))</f>
        <v/>
      </c>
    </row>
    <row r="32" customFormat="false" ht="15" hidden="false" customHeight="false" outlineLevel="0" collapsed="false">
      <c r="A32" s="37"/>
      <c r="B32" s="36"/>
      <c r="C32" s="36"/>
      <c r="D32" s="36"/>
      <c r="E32" s="36"/>
      <c r="F32" s="38"/>
      <c r="G32" s="36"/>
      <c r="H32" s="39" t="str">
        <f aca="false">IF(F32="","",IF(G32="Standard 5%",F32*VAT_RATE,0))</f>
        <v/>
      </c>
      <c r="I32" s="39" t="str">
        <f aca="false">IF(F32="","",F32+H32)</f>
        <v/>
      </c>
      <c r="J32" s="36"/>
      <c r="K32" s="37"/>
      <c r="L32" s="38"/>
      <c r="M32" s="22" t="str">
        <f aca="true">IF(OR(A32="",J32="Paid",J32="Written off"),"",TODAY()-A32)</f>
        <v/>
      </c>
      <c r="N32" s="22" t="str">
        <f aca="false">IF(M32="","",IF(M32&gt;OVERDUE_DAYS,"OVERDUE",""))</f>
        <v/>
      </c>
      <c r="O32" s="40" t="str">
        <f aca="false">IF(A32="","",IF(A32&lt;FY_START,0,(YEAR(A32)-YEAR(FY_START))*12+MONTH(A32)-MONTH(FY_START)+1))</f>
        <v/>
      </c>
      <c r="P32" s="40" t="str">
        <f aca="false">IF(A32="","",IF(AND(A32&gt;=VP_START,A32&lt;=VP_END),1,0))</f>
        <v/>
      </c>
    </row>
    <row r="33" customFormat="false" ht="15" hidden="false" customHeight="false" outlineLevel="0" collapsed="false">
      <c r="A33" s="37"/>
      <c r="B33" s="36"/>
      <c r="C33" s="36"/>
      <c r="D33" s="36"/>
      <c r="E33" s="36"/>
      <c r="F33" s="38"/>
      <c r="G33" s="36"/>
      <c r="H33" s="39" t="str">
        <f aca="false">IF(F33="","",IF(G33="Standard 5%",F33*VAT_RATE,0))</f>
        <v/>
      </c>
      <c r="I33" s="39" t="str">
        <f aca="false">IF(F33="","",F33+H33)</f>
        <v/>
      </c>
      <c r="J33" s="36"/>
      <c r="K33" s="37"/>
      <c r="L33" s="38"/>
      <c r="M33" s="22" t="str">
        <f aca="true">IF(OR(A33="",J33="Paid",J33="Written off"),"",TODAY()-A33)</f>
        <v/>
      </c>
      <c r="N33" s="22" t="str">
        <f aca="false">IF(M33="","",IF(M33&gt;OVERDUE_DAYS,"OVERDUE",""))</f>
        <v/>
      </c>
      <c r="O33" s="40" t="str">
        <f aca="false">IF(A33="","",IF(A33&lt;FY_START,0,(YEAR(A33)-YEAR(FY_START))*12+MONTH(A33)-MONTH(FY_START)+1))</f>
        <v/>
      </c>
      <c r="P33" s="40" t="str">
        <f aca="false">IF(A33="","",IF(AND(A33&gt;=VP_START,A33&lt;=VP_END),1,0))</f>
        <v/>
      </c>
    </row>
    <row r="34" customFormat="false" ht="15" hidden="false" customHeight="false" outlineLevel="0" collapsed="false">
      <c r="A34" s="37"/>
      <c r="B34" s="36"/>
      <c r="C34" s="36"/>
      <c r="D34" s="36"/>
      <c r="E34" s="36"/>
      <c r="F34" s="38"/>
      <c r="G34" s="36"/>
      <c r="H34" s="39" t="str">
        <f aca="false">IF(F34="","",IF(G34="Standard 5%",F34*VAT_RATE,0))</f>
        <v/>
      </c>
      <c r="I34" s="39" t="str">
        <f aca="false">IF(F34="","",F34+H34)</f>
        <v/>
      </c>
      <c r="J34" s="36"/>
      <c r="K34" s="37"/>
      <c r="L34" s="38"/>
      <c r="M34" s="22" t="str">
        <f aca="true">IF(OR(A34="",J34="Paid",J34="Written off"),"",TODAY()-A34)</f>
        <v/>
      </c>
      <c r="N34" s="22" t="str">
        <f aca="false">IF(M34="","",IF(M34&gt;OVERDUE_DAYS,"OVERDUE",""))</f>
        <v/>
      </c>
      <c r="O34" s="40" t="str">
        <f aca="false">IF(A34="","",IF(A34&lt;FY_START,0,(YEAR(A34)-YEAR(FY_START))*12+MONTH(A34)-MONTH(FY_START)+1))</f>
        <v/>
      </c>
      <c r="P34" s="40" t="str">
        <f aca="false">IF(A34="","",IF(AND(A34&gt;=VP_START,A34&lt;=VP_END),1,0))</f>
        <v/>
      </c>
    </row>
    <row r="35" customFormat="false" ht="15" hidden="false" customHeight="false" outlineLevel="0" collapsed="false">
      <c r="A35" s="37"/>
      <c r="B35" s="36"/>
      <c r="C35" s="36"/>
      <c r="D35" s="36"/>
      <c r="E35" s="36"/>
      <c r="F35" s="38"/>
      <c r="G35" s="36"/>
      <c r="H35" s="39" t="str">
        <f aca="false">IF(F35="","",IF(G35="Standard 5%",F35*VAT_RATE,0))</f>
        <v/>
      </c>
      <c r="I35" s="39" t="str">
        <f aca="false">IF(F35="","",F35+H35)</f>
        <v/>
      </c>
      <c r="J35" s="36"/>
      <c r="K35" s="37"/>
      <c r="L35" s="38"/>
      <c r="M35" s="22" t="str">
        <f aca="true">IF(OR(A35="",J35="Paid",J35="Written off"),"",TODAY()-A35)</f>
        <v/>
      </c>
      <c r="N35" s="22" t="str">
        <f aca="false">IF(M35="","",IF(M35&gt;OVERDUE_DAYS,"OVERDUE",""))</f>
        <v/>
      </c>
      <c r="O35" s="40" t="str">
        <f aca="false">IF(A35="","",IF(A35&lt;FY_START,0,(YEAR(A35)-YEAR(FY_START))*12+MONTH(A35)-MONTH(FY_START)+1))</f>
        <v/>
      </c>
      <c r="P35" s="40" t="str">
        <f aca="false">IF(A35="","",IF(AND(A35&gt;=VP_START,A35&lt;=VP_END),1,0))</f>
        <v/>
      </c>
    </row>
    <row r="36" customFormat="false" ht="15" hidden="false" customHeight="false" outlineLevel="0" collapsed="false">
      <c r="A36" s="37"/>
      <c r="B36" s="36"/>
      <c r="C36" s="36"/>
      <c r="D36" s="36"/>
      <c r="E36" s="36"/>
      <c r="F36" s="38"/>
      <c r="G36" s="36"/>
      <c r="H36" s="39" t="str">
        <f aca="false">IF(F36="","",IF(G36="Standard 5%",F36*VAT_RATE,0))</f>
        <v/>
      </c>
      <c r="I36" s="39" t="str">
        <f aca="false">IF(F36="","",F36+H36)</f>
        <v/>
      </c>
      <c r="J36" s="36"/>
      <c r="K36" s="37"/>
      <c r="L36" s="38"/>
      <c r="M36" s="22" t="str">
        <f aca="true">IF(OR(A36="",J36="Paid",J36="Written off"),"",TODAY()-A36)</f>
        <v/>
      </c>
      <c r="N36" s="22" t="str">
        <f aca="false">IF(M36="","",IF(M36&gt;OVERDUE_DAYS,"OVERDUE",""))</f>
        <v/>
      </c>
      <c r="O36" s="40" t="str">
        <f aca="false">IF(A36="","",IF(A36&lt;FY_START,0,(YEAR(A36)-YEAR(FY_START))*12+MONTH(A36)-MONTH(FY_START)+1))</f>
        <v/>
      </c>
      <c r="P36" s="40" t="str">
        <f aca="false">IF(A36="","",IF(AND(A36&gt;=VP_START,A36&lt;=VP_END),1,0))</f>
        <v/>
      </c>
    </row>
    <row r="37" customFormat="false" ht="15" hidden="false" customHeight="false" outlineLevel="0" collapsed="false">
      <c r="A37" s="37"/>
      <c r="B37" s="36"/>
      <c r="C37" s="36"/>
      <c r="D37" s="36"/>
      <c r="E37" s="36"/>
      <c r="F37" s="38"/>
      <c r="G37" s="36"/>
      <c r="H37" s="39" t="str">
        <f aca="false">IF(F37="","",IF(G37="Standard 5%",F37*VAT_RATE,0))</f>
        <v/>
      </c>
      <c r="I37" s="39" t="str">
        <f aca="false">IF(F37="","",F37+H37)</f>
        <v/>
      </c>
      <c r="J37" s="36"/>
      <c r="K37" s="37"/>
      <c r="L37" s="38"/>
      <c r="M37" s="22" t="str">
        <f aca="true">IF(OR(A37="",J37="Paid",J37="Written off"),"",TODAY()-A37)</f>
        <v/>
      </c>
      <c r="N37" s="22" t="str">
        <f aca="false">IF(M37="","",IF(M37&gt;OVERDUE_DAYS,"OVERDUE",""))</f>
        <v/>
      </c>
      <c r="O37" s="40" t="str">
        <f aca="false">IF(A37="","",IF(A37&lt;FY_START,0,(YEAR(A37)-YEAR(FY_START))*12+MONTH(A37)-MONTH(FY_START)+1))</f>
        <v/>
      </c>
      <c r="P37" s="40" t="str">
        <f aca="false">IF(A37="","",IF(AND(A37&gt;=VP_START,A37&lt;=VP_END),1,0))</f>
        <v/>
      </c>
    </row>
    <row r="38" customFormat="false" ht="15" hidden="false" customHeight="false" outlineLevel="0" collapsed="false">
      <c r="A38" s="37"/>
      <c r="B38" s="36"/>
      <c r="C38" s="36"/>
      <c r="D38" s="36"/>
      <c r="E38" s="36"/>
      <c r="F38" s="38"/>
      <c r="G38" s="36"/>
      <c r="H38" s="39" t="str">
        <f aca="false">IF(F38="","",IF(G38="Standard 5%",F38*VAT_RATE,0))</f>
        <v/>
      </c>
      <c r="I38" s="39" t="str">
        <f aca="false">IF(F38="","",F38+H38)</f>
        <v/>
      </c>
      <c r="J38" s="36"/>
      <c r="K38" s="37"/>
      <c r="L38" s="38"/>
      <c r="M38" s="22" t="str">
        <f aca="true">IF(OR(A38="",J38="Paid",J38="Written off"),"",TODAY()-A38)</f>
        <v/>
      </c>
      <c r="N38" s="22" t="str">
        <f aca="false">IF(M38="","",IF(M38&gt;OVERDUE_DAYS,"OVERDUE",""))</f>
        <v/>
      </c>
      <c r="O38" s="40" t="str">
        <f aca="false">IF(A38="","",IF(A38&lt;FY_START,0,(YEAR(A38)-YEAR(FY_START))*12+MONTH(A38)-MONTH(FY_START)+1))</f>
        <v/>
      </c>
      <c r="P38" s="40" t="str">
        <f aca="false">IF(A38="","",IF(AND(A38&gt;=VP_START,A38&lt;=VP_END),1,0))</f>
        <v/>
      </c>
    </row>
    <row r="39" customFormat="false" ht="15" hidden="false" customHeight="false" outlineLevel="0" collapsed="false">
      <c r="A39" s="37"/>
      <c r="B39" s="36"/>
      <c r="C39" s="36"/>
      <c r="D39" s="36"/>
      <c r="E39" s="36"/>
      <c r="F39" s="38"/>
      <c r="G39" s="36"/>
      <c r="H39" s="39" t="str">
        <f aca="false">IF(F39="","",IF(G39="Standard 5%",F39*VAT_RATE,0))</f>
        <v/>
      </c>
      <c r="I39" s="39" t="str">
        <f aca="false">IF(F39="","",F39+H39)</f>
        <v/>
      </c>
      <c r="J39" s="36"/>
      <c r="K39" s="37"/>
      <c r="L39" s="38"/>
      <c r="M39" s="22" t="str">
        <f aca="true">IF(OR(A39="",J39="Paid",J39="Written off"),"",TODAY()-A39)</f>
        <v/>
      </c>
      <c r="N39" s="22" t="str">
        <f aca="false">IF(M39="","",IF(M39&gt;OVERDUE_DAYS,"OVERDUE",""))</f>
        <v/>
      </c>
      <c r="O39" s="40" t="str">
        <f aca="false">IF(A39="","",IF(A39&lt;FY_START,0,(YEAR(A39)-YEAR(FY_START))*12+MONTH(A39)-MONTH(FY_START)+1))</f>
        <v/>
      </c>
      <c r="P39" s="40" t="str">
        <f aca="false">IF(A39="","",IF(AND(A39&gt;=VP_START,A39&lt;=VP_END),1,0))</f>
        <v/>
      </c>
    </row>
    <row r="40" customFormat="false" ht="15" hidden="false" customHeight="false" outlineLevel="0" collapsed="false">
      <c r="A40" s="37"/>
      <c r="B40" s="36"/>
      <c r="C40" s="36"/>
      <c r="D40" s="36"/>
      <c r="E40" s="36"/>
      <c r="F40" s="38"/>
      <c r="G40" s="36"/>
      <c r="H40" s="39" t="str">
        <f aca="false">IF(F40="","",IF(G40="Standard 5%",F40*VAT_RATE,0))</f>
        <v/>
      </c>
      <c r="I40" s="39" t="str">
        <f aca="false">IF(F40="","",F40+H40)</f>
        <v/>
      </c>
      <c r="J40" s="36"/>
      <c r="K40" s="37"/>
      <c r="L40" s="38"/>
      <c r="M40" s="22" t="str">
        <f aca="true">IF(OR(A40="",J40="Paid",J40="Written off"),"",TODAY()-A40)</f>
        <v/>
      </c>
      <c r="N40" s="22" t="str">
        <f aca="false">IF(M40="","",IF(M40&gt;OVERDUE_DAYS,"OVERDUE",""))</f>
        <v/>
      </c>
      <c r="O40" s="40" t="str">
        <f aca="false">IF(A40="","",IF(A40&lt;FY_START,0,(YEAR(A40)-YEAR(FY_START))*12+MONTH(A40)-MONTH(FY_START)+1))</f>
        <v/>
      </c>
      <c r="P40" s="40" t="str">
        <f aca="false">IF(A40="","",IF(AND(A40&gt;=VP_START,A40&lt;=VP_END),1,0))</f>
        <v/>
      </c>
    </row>
    <row r="41" customFormat="false" ht="15" hidden="false" customHeight="false" outlineLevel="0" collapsed="false">
      <c r="A41" s="37"/>
      <c r="B41" s="36"/>
      <c r="C41" s="36"/>
      <c r="D41" s="36"/>
      <c r="E41" s="36"/>
      <c r="F41" s="38"/>
      <c r="G41" s="36"/>
      <c r="H41" s="39" t="str">
        <f aca="false">IF(F41="","",IF(G41="Standard 5%",F41*VAT_RATE,0))</f>
        <v/>
      </c>
      <c r="I41" s="39" t="str">
        <f aca="false">IF(F41="","",F41+H41)</f>
        <v/>
      </c>
      <c r="J41" s="36"/>
      <c r="K41" s="37"/>
      <c r="L41" s="38"/>
      <c r="M41" s="22" t="str">
        <f aca="true">IF(OR(A41="",J41="Paid",J41="Written off"),"",TODAY()-A41)</f>
        <v/>
      </c>
      <c r="N41" s="22" t="str">
        <f aca="false">IF(M41="","",IF(M41&gt;OVERDUE_DAYS,"OVERDUE",""))</f>
        <v/>
      </c>
      <c r="O41" s="40" t="str">
        <f aca="false">IF(A41="","",IF(A41&lt;FY_START,0,(YEAR(A41)-YEAR(FY_START))*12+MONTH(A41)-MONTH(FY_START)+1))</f>
        <v/>
      </c>
      <c r="P41" s="40" t="str">
        <f aca="false">IF(A41="","",IF(AND(A41&gt;=VP_START,A41&lt;=VP_END),1,0))</f>
        <v/>
      </c>
    </row>
    <row r="42" customFormat="false" ht="15" hidden="false" customHeight="false" outlineLevel="0" collapsed="false">
      <c r="A42" s="37"/>
      <c r="B42" s="36"/>
      <c r="C42" s="36"/>
      <c r="D42" s="36"/>
      <c r="E42" s="36"/>
      <c r="F42" s="38"/>
      <c r="G42" s="36"/>
      <c r="H42" s="39" t="str">
        <f aca="false">IF(F42="","",IF(G42="Standard 5%",F42*VAT_RATE,0))</f>
        <v/>
      </c>
      <c r="I42" s="39" t="str">
        <f aca="false">IF(F42="","",F42+H42)</f>
        <v/>
      </c>
      <c r="J42" s="36"/>
      <c r="K42" s="37"/>
      <c r="L42" s="38"/>
      <c r="M42" s="22" t="str">
        <f aca="true">IF(OR(A42="",J42="Paid",J42="Written off"),"",TODAY()-A42)</f>
        <v/>
      </c>
      <c r="N42" s="22" t="str">
        <f aca="false">IF(M42="","",IF(M42&gt;OVERDUE_DAYS,"OVERDUE",""))</f>
        <v/>
      </c>
      <c r="O42" s="40" t="str">
        <f aca="false">IF(A42="","",IF(A42&lt;FY_START,0,(YEAR(A42)-YEAR(FY_START))*12+MONTH(A42)-MONTH(FY_START)+1))</f>
        <v/>
      </c>
      <c r="P42" s="40" t="str">
        <f aca="false">IF(A42="","",IF(AND(A42&gt;=VP_START,A42&lt;=VP_END),1,0))</f>
        <v/>
      </c>
    </row>
    <row r="43" customFormat="false" ht="15" hidden="false" customHeight="false" outlineLevel="0" collapsed="false">
      <c r="A43" s="37"/>
      <c r="B43" s="36"/>
      <c r="C43" s="36"/>
      <c r="D43" s="36"/>
      <c r="E43" s="36"/>
      <c r="F43" s="38"/>
      <c r="G43" s="36"/>
      <c r="H43" s="39" t="str">
        <f aca="false">IF(F43="","",IF(G43="Standard 5%",F43*VAT_RATE,0))</f>
        <v/>
      </c>
      <c r="I43" s="39" t="str">
        <f aca="false">IF(F43="","",F43+H43)</f>
        <v/>
      </c>
      <c r="J43" s="36"/>
      <c r="K43" s="37"/>
      <c r="L43" s="38"/>
      <c r="M43" s="22" t="str">
        <f aca="true">IF(OR(A43="",J43="Paid",J43="Written off"),"",TODAY()-A43)</f>
        <v/>
      </c>
      <c r="N43" s="22" t="str">
        <f aca="false">IF(M43="","",IF(M43&gt;OVERDUE_DAYS,"OVERDUE",""))</f>
        <v/>
      </c>
      <c r="O43" s="40" t="str">
        <f aca="false">IF(A43="","",IF(A43&lt;FY_START,0,(YEAR(A43)-YEAR(FY_START))*12+MONTH(A43)-MONTH(FY_START)+1))</f>
        <v/>
      </c>
      <c r="P43" s="40" t="str">
        <f aca="false">IF(A43="","",IF(AND(A43&gt;=VP_START,A43&lt;=VP_END),1,0))</f>
        <v/>
      </c>
    </row>
    <row r="44" customFormat="false" ht="15" hidden="false" customHeight="false" outlineLevel="0" collapsed="false">
      <c r="A44" s="37"/>
      <c r="B44" s="36"/>
      <c r="C44" s="36"/>
      <c r="D44" s="36"/>
      <c r="E44" s="36"/>
      <c r="F44" s="38"/>
      <c r="G44" s="36"/>
      <c r="H44" s="39" t="str">
        <f aca="false">IF(F44="","",IF(G44="Standard 5%",F44*VAT_RATE,0))</f>
        <v/>
      </c>
      <c r="I44" s="39" t="str">
        <f aca="false">IF(F44="","",F44+H44)</f>
        <v/>
      </c>
      <c r="J44" s="36"/>
      <c r="K44" s="37"/>
      <c r="L44" s="38"/>
      <c r="M44" s="22" t="str">
        <f aca="true">IF(OR(A44="",J44="Paid",J44="Written off"),"",TODAY()-A44)</f>
        <v/>
      </c>
      <c r="N44" s="22" t="str">
        <f aca="false">IF(M44="","",IF(M44&gt;OVERDUE_DAYS,"OVERDUE",""))</f>
        <v/>
      </c>
      <c r="O44" s="40" t="str">
        <f aca="false">IF(A44="","",IF(A44&lt;FY_START,0,(YEAR(A44)-YEAR(FY_START))*12+MONTH(A44)-MONTH(FY_START)+1))</f>
        <v/>
      </c>
      <c r="P44" s="40" t="str">
        <f aca="false">IF(A44="","",IF(AND(A44&gt;=VP_START,A44&lt;=VP_END),1,0))</f>
        <v/>
      </c>
    </row>
    <row r="45" customFormat="false" ht="15" hidden="false" customHeight="false" outlineLevel="0" collapsed="false">
      <c r="A45" s="37"/>
      <c r="B45" s="36"/>
      <c r="C45" s="36"/>
      <c r="D45" s="36"/>
      <c r="E45" s="36"/>
      <c r="F45" s="38"/>
      <c r="G45" s="36"/>
      <c r="H45" s="39" t="str">
        <f aca="false">IF(F45="","",IF(G45="Standard 5%",F45*VAT_RATE,0))</f>
        <v/>
      </c>
      <c r="I45" s="39" t="str">
        <f aca="false">IF(F45="","",F45+H45)</f>
        <v/>
      </c>
      <c r="J45" s="36"/>
      <c r="K45" s="37"/>
      <c r="L45" s="38"/>
      <c r="M45" s="22" t="str">
        <f aca="true">IF(OR(A45="",J45="Paid",J45="Written off"),"",TODAY()-A45)</f>
        <v/>
      </c>
      <c r="N45" s="22" t="str">
        <f aca="false">IF(M45="","",IF(M45&gt;OVERDUE_DAYS,"OVERDUE",""))</f>
        <v/>
      </c>
      <c r="O45" s="40" t="str">
        <f aca="false">IF(A45="","",IF(A45&lt;FY_START,0,(YEAR(A45)-YEAR(FY_START))*12+MONTH(A45)-MONTH(FY_START)+1))</f>
        <v/>
      </c>
      <c r="P45" s="40" t="str">
        <f aca="false">IF(A45="","",IF(AND(A45&gt;=VP_START,A45&lt;=VP_END),1,0))</f>
        <v/>
      </c>
    </row>
    <row r="46" customFormat="false" ht="15" hidden="false" customHeight="false" outlineLevel="0" collapsed="false">
      <c r="A46" s="37"/>
      <c r="B46" s="36"/>
      <c r="C46" s="36"/>
      <c r="D46" s="36"/>
      <c r="E46" s="36"/>
      <c r="F46" s="38"/>
      <c r="G46" s="36"/>
      <c r="H46" s="39" t="str">
        <f aca="false">IF(F46="","",IF(G46="Standard 5%",F46*VAT_RATE,0))</f>
        <v/>
      </c>
      <c r="I46" s="39" t="str">
        <f aca="false">IF(F46="","",F46+H46)</f>
        <v/>
      </c>
      <c r="J46" s="36"/>
      <c r="K46" s="37"/>
      <c r="L46" s="38"/>
      <c r="M46" s="22" t="str">
        <f aca="true">IF(OR(A46="",J46="Paid",J46="Written off"),"",TODAY()-A46)</f>
        <v/>
      </c>
      <c r="N46" s="22" t="str">
        <f aca="false">IF(M46="","",IF(M46&gt;OVERDUE_DAYS,"OVERDUE",""))</f>
        <v/>
      </c>
      <c r="O46" s="40" t="str">
        <f aca="false">IF(A46="","",IF(A46&lt;FY_START,0,(YEAR(A46)-YEAR(FY_START))*12+MONTH(A46)-MONTH(FY_START)+1))</f>
        <v/>
      </c>
      <c r="P46" s="40" t="str">
        <f aca="false">IF(A46="","",IF(AND(A46&gt;=VP_START,A46&lt;=VP_END),1,0))</f>
        <v/>
      </c>
    </row>
    <row r="47" customFormat="false" ht="15" hidden="false" customHeight="false" outlineLevel="0" collapsed="false">
      <c r="A47" s="37"/>
      <c r="B47" s="36"/>
      <c r="C47" s="36"/>
      <c r="D47" s="36"/>
      <c r="E47" s="36"/>
      <c r="F47" s="38"/>
      <c r="G47" s="36"/>
      <c r="H47" s="39" t="str">
        <f aca="false">IF(F47="","",IF(G47="Standard 5%",F47*VAT_RATE,0))</f>
        <v/>
      </c>
      <c r="I47" s="39" t="str">
        <f aca="false">IF(F47="","",F47+H47)</f>
        <v/>
      </c>
      <c r="J47" s="36"/>
      <c r="K47" s="37"/>
      <c r="L47" s="38"/>
      <c r="M47" s="22" t="str">
        <f aca="true">IF(OR(A47="",J47="Paid",J47="Written off"),"",TODAY()-A47)</f>
        <v/>
      </c>
      <c r="N47" s="22" t="str">
        <f aca="false">IF(M47="","",IF(M47&gt;OVERDUE_DAYS,"OVERDUE",""))</f>
        <v/>
      </c>
      <c r="O47" s="40" t="str">
        <f aca="false">IF(A47="","",IF(A47&lt;FY_START,0,(YEAR(A47)-YEAR(FY_START))*12+MONTH(A47)-MONTH(FY_START)+1))</f>
        <v/>
      </c>
      <c r="P47" s="40" t="str">
        <f aca="false">IF(A47="","",IF(AND(A47&gt;=VP_START,A47&lt;=VP_END),1,0))</f>
        <v/>
      </c>
    </row>
    <row r="48" customFormat="false" ht="15" hidden="false" customHeight="false" outlineLevel="0" collapsed="false">
      <c r="A48" s="37"/>
      <c r="B48" s="36"/>
      <c r="C48" s="36"/>
      <c r="D48" s="36"/>
      <c r="E48" s="36"/>
      <c r="F48" s="38"/>
      <c r="G48" s="36"/>
      <c r="H48" s="39" t="str">
        <f aca="false">IF(F48="","",IF(G48="Standard 5%",F48*VAT_RATE,0))</f>
        <v/>
      </c>
      <c r="I48" s="39" t="str">
        <f aca="false">IF(F48="","",F48+H48)</f>
        <v/>
      </c>
      <c r="J48" s="36"/>
      <c r="K48" s="37"/>
      <c r="L48" s="38"/>
      <c r="M48" s="22" t="str">
        <f aca="true">IF(OR(A48="",J48="Paid",J48="Written off"),"",TODAY()-A48)</f>
        <v/>
      </c>
      <c r="N48" s="22" t="str">
        <f aca="false">IF(M48="","",IF(M48&gt;OVERDUE_DAYS,"OVERDUE",""))</f>
        <v/>
      </c>
      <c r="O48" s="40" t="str">
        <f aca="false">IF(A48="","",IF(A48&lt;FY_START,0,(YEAR(A48)-YEAR(FY_START))*12+MONTH(A48)-MONTH(FY_START)+1))</f>
        <v/>
      </c>
      <c r="P48" s="40" t="str">
        <f aca="false">IF(A48="","",IF(AND(A48&gt;=VP_START,A48&lt;=VP_END),1,0))</f>
        <v/>
      </c>
    </row>
    <row r="49" customFormat="false" ht="15" hidden="false" customHeight="false" outlineLevel="0" collapsed="false">
      <c r="A49" s="37"/>
      <c r="B49" s="36"/>
      <c r="C49" s="36"/>
      <c r="D49" s="36"/>
      <c r="E49" s="36"/>
      <c r="F49" s="38"/>
      <c r="G49" s="36"/>
      <c r="H49" s="39" t="str">
        <f aca="false">IF(F49="","",IF(G49="Standard 5%",F49*VAT_RATE,0))</f>
        <v/>
      </c>
      <c r="I49" s="39" t="str">
        <f aca="false">IF(F49="","",F49+H49)</f>
        <v/>
      </c>
      <c r="J49" s="36"/>
      <c r="K49" s="37"/>
      <c r="L49" s="38"/>
      <c r="M49" s="22" t="str">
        <f aca="true">IF(OR(A49="",J49="Paid",J49="Written off"),"",TODAY()-A49)</f>
        <v/>
      </c>
      <c r="N49" s="22" t="str">
        <f aca="false">IF(M49="","",IF(M49&gt;OVERDUE_DAYS,"OVERDUE",""))</f>
        <v/>
      </c>
      <c r="O49" s="40" t="str">
        <f aca="false">IF(A49="","",IF(A49&lt;FY_START,0,(YEAR(A49)-YEAR(FY_START))*12+MONTH(A49)-MONTH(FY_START)+1))</f>
        <v/>
      </c>
      <c r="P49" s="40" t="str">
        <f aca="false">IF(A49="","",IF(AND(A49&gt;=VP_START,A49&lt;=VP_END),1,0))</f>
        <v/>
      </c>
    </row>
    <row r="50" customFormat="false" ht="15" hidden="false" customHeight="false" outlineLevel="0" collapsed="false">
      <c r="A50" s="37"/>
      <c r="B50" s="36"/>
      <c r="C50" s="36"/>
      <c r="D50" s="36"/>
      <c r="E50" s="36"/>
      <c r="F50" s="38"/>
      <c r="G50" s="36"/>
      <c r="H50" s="39" t="str">
        <f aca="false">IF(F50="","",IF(G50="Standard 5%",F50*VAT_RATE,0))</f>
        <v/>
      </c>
      <c r="I50" s="39" t="str">
        <f aca="false">IF(F50="","",F50+H50)</f>
        <v/>
      </c>
      <c r="J50" s="36"/>
      <c r="K50" s="37"/>
      <c r="L50" s="38"/>
      <c r="M50" s="22" t="str">
        <f aca="true">IF(OR(A50="",J50="Paid",J50="Written off"),"",TODAY()-A50)</f>
        <v/>
      </c>
      <c r="N50" s="22" t="str">
        <f aca="false">IF(M50="","",IF(M50&gt;OVERDUE_DAYS,"OVERDUE",""))</f>
        <v/>
      </c>
      <c r="O50" s="40" t="str">
        <f aca="false">IF(A50="","",IF(A50&lt;FY_START,0,(YEAR(A50)-YEAR(FY_START))*12+MONTH(A50)-MONTH(FY_START)+1))</f>
        <v/>
      </c>
      <c r="P50" s="40" t="str">
        <f aca="false">IF(A50="","",IF(AND(A50&gt;=VP_START,A50&lt;=VP_END),1,0))</f>
        <v/>
      </c>
    </row>
    <row r="51" customFormat="false" ht="15" hidden="false" customHeight="false" outlineLevel="0" collapsed="false">
      <c r="A51" s="37"/>
      <c r="B51" s="36"/>
      <c r="C51" s="36"/>
      <c r="D51" s="36"/>
      <c r="E51" s="36"/>
      <c r="F51" s="38"/>
      <c r="G51" s="36"/>
      <c r="H51" s="39" t="str">
        <f aca="false">IF(F51="","",IF(G51="Standard 5%",F51*VAT_RATE,0))</f>
        <v/>
      </c>
      <c r="I51" s="39" t="str">
        <f aca="false">IF(F51="","",F51+H51)</f>
        <v/>
      </c>
      <c r="J51" s="36"/>
      <c r="K51" s="37"/>
      <c r="L51" s="38"/>
      <c r="M51" s="22" t="str">
        <f aca="true">IF(OR(A51="",J51="Paid",J51="Written off"),"",TODAY()-A51)</f>
        <v/>
      </c>
      <c r="N51" s="22" t="str">
        <f aca="false">IF(M51="","",IF(M51&gt;OVERDUE_DAYS,"OVERDUE",""))</f>
        <v/>
      </c>
      <c r="O51" s="40" t="str">
        <f aca="false">IF(A51="","",IF(A51&lt;FY_START,0,(YEAR(A51)-YEAR(FY_START))*12+MONTH(A51)-MONTH(FY_START)+1))</f>
        <v/>
      </c>
      <c r="P51" s="40" t="str">
        <f aca="false">IF(A51="","",IF(AND(A51&gt;=VP_START,A51&lt;=VP_END),1,0))</f>
        <v/>
      </c>
    </row>
    <row r="52" customFormat="false" ht="15" hidden="false" customHeight="false" outlineLevel="0" collapsed="false">
      <c r="A52" s="37"/>
      <c r="B52" s="36"/>
      <c r="C52" s="36"/>
      <c r="D52" s="36"/>
      <c r="E52" s="36"/>
      <c r="F52" s="38"/>
      <c r="G52" s="36"/>
      <c r="H52" s="39" t="str">
        <f aca="false">IF(F52="","",IF(G52="Standard 5%",F52*VAT_RATE,0))</f>
        <v/>
      </c>
      <c r="I52" s="39" t="str">
        <f aca="false">IF(F52="","",F52+H52)</f>
        <v/>
      </c>
      <c r="J52" s="36"/>
      <c r="K52" s="37"/>
      <c r="L52" s="38"/>
      <c r="M52" s="22" t="str">
        <f aca="true">IF(OR(A52="",J52="Paid",J52="Written off"),"",TODAY()-A52)</f>
        <v/>
      </c>
      <c r="N52" s="22" t="str">
        <f aca="false">IF(M52="","",IF(M52&gt;OVERDUE_DAYS,"OVERDUE",""))</f>
        <v/>
      </c>
      <c r="O52" s="40" t="str">
        <f aca="false">IF(A52="","",IF(A52&lt;FY_START,0,(YEAR(A52)-YEAR(FY_START))*12+MONTH(A52)-MONTH(FY_START)+1))</f>
        <v/>
      </c>
      <c r="P52" s="40" t="str">
        <f aca="false">IF(A52="","",IF(AND(A52&gt;=VP_START,A52&lt;=VP_END),1,0))</f>
        <v/>
      </c>
    </row>
    <row r="53" customFormat="false" ht="15" hidden="false" customHeight="false" outlineLevel="0" collapsed="false">
      <c r="A53" s="37"/>
      <c r="B53" s="36"/>
      <c r="C53" s="36"/>
      <c r="D53" s="36"/>
      <c r="E53" s="36"/>
      <c r="F53" s="38"/>
      <c r="G53" s="36"/>
      <c r="H53" s="39" t="str">
        <f aca="false">IF(F53="","",IF(G53="Standard 5%",F53*VAT_RATE,0))</f>
        <v/>
      </c>
      <c r="I53" s="39" t="str">
        <f aca="false">IF(F53="","",F53+H53)</f>
        <v/>
      </c>
      <c r="J53" s="36"/>
      <c r="K53" s="37"/>
      <c r="L53" s="38"/>
      <c r="M53" s="22" t="str">
        <f aca="true">IF(OR(A53="",J53="Paid",J53="Written off"),"",TODAY()-A53)</f>
        <v/>
      </c>
      <c r="N53" s="22" t="str">
        <f aca="false">IF(M53="","",IF(M53&gt;OVERDUE_DAYS,"OVERDUE",""))</f>
        <v/>
      </c>
      <c r="O53" s="40" t="str">
        <f aca="false">IF(A53="","",IF(A53&lt;FY_START,0,(YEAR(A53)-YEAR(FY_START))*12+MONTH(A53)-MONTH(FY_START)+1))</f>
        <v/>
      </c>
      <c r="P53" s="40" t="str">
        <f aca="false">IF(A53="","",IF(AND(A53&gt;=VP_START,A53&lt;=VP_END),1,0))</f>
        <v/>
      </c>
    </row>
    <row r="54" customFormat="false" ht="15" hidden="false" customHeight="false" outlineLevel="0" collapsed="false">
      <c r="A54" s="37"/>
      <c r="B54" s="36"/>
      <c r="C54" s="36"/>
      <c r="D54" s="36"/>
      <c r="E54" s="36"/>
      <c r="F54" s="38"/>
      <c r="G54" s="36"/>
      <c r="H54" s="39" t="str">
        <f aca="false">IF(F54="","",IF(G54="Standard 5%",F54*VAT_RATE,0))</f>
        <v/>
      </c>
      <c r="I54" s="39" t="str">
        <f aca="false">IF(F54="","",F54+H54)</f>
        <v/>
      </c>
      <c r="J54" s="36"/>
      <c r="K54" s="37"/>
      <c r="L54" s="38"/>
      <c r="M54" s="22" t="str">
        <f aca="true">IF(OR(A54="",J54="Paid",J54="Written off"),"",TODAY()-A54)</f>
        <v/>
      </c>
      <c r="N54" s="22" t="str">
        <f aca="false">IF(M54="","",IF(M54&gt;OVERDUE_DAYS,"OVERDUE",""))</f>
        <v/>
      </c>
      <c r="O54" s="40" t="str">
        <f aca="false">IF(A54="","",IF(A54&lt;FY_START,0,(YEAR(A54)-YEAR(FY_START))*12+MONTH(A54)-MONTH(FY_START)+1))</f>
        <v/>
      </c>
      <c r="P54" s="40" t="str">
        <f aca="false">IF(A54="","",IF(AND(A54&gt;=VP_START,A54&lt;=VP_END),1,0))</f>
        <v/>
      </c>
    </row>
    <row r="55" customFormat="false" ht="15" hidden="false" customHeight="false" outlineLevel="0" collapsed="false">
      <c r="A55" s="37"/>
      <c r="B55" s="36"/>
      <c r="C55" s="36"/>
      <c r="D55" s="36"/>
      <c r="E55" s="36"/>
      <c r="F55" s="38"/>
      <c r="G55" s="36"/>
      <c r="H55" s="39" t="str">
        <f aca="false">IF(F55="","",IF(G55="Standard 5%",F55*VAT_RATE,0))</f>
        <v/>
      </c>
      <c r="I55" s="39" t="str">
        <f aca="false">IF(F55="","",F55+H55)</f>
        <v/>
      </c>
      <c r="J55" s="36"/>
      <c r="K55" s="37"/>
      <c r="L55" s="38"/>
      <c r="M55" s="22" t="str">
        <f aca="true">IF(OR(A55="",J55="Paid",J55="Written off"),"",TODAY()-A55)</f>
        <v/>
      </c>
      <c r="N55" s="22" t="str">
        <f aca="false">IF(M55="","",IF(M55&gt;OVERDUE_DAYS,"OVERDUE",""))</f>
        <v/>
      </c>
      <c r="O55" s="40" t="str">
        <f aca="false">IF(A55="","",IF(A55&lt;FY_START,0,(YEAR(A55)-YEAR(FY_START))*12+MONTH(A55)-MONTH(FY_START)+1))</f>
        <v/>
      </c>
      <c r="P55" s="40" t="str">
        <f aca="false">IF(A55="","",IF(AND(A55&gt;=VP_START,A55&lt;=VP_END),1,0))</f>
        <v/>
      </c>
    </row>
    <row r="56" customFormat="false" ht="15" hidden="false" customHeight="false" outlineLevel="0" collapsed="false">
      <c r="A56" s="37"/>
      <c r="B56" s="36"/>
      <c r="C56" s="36"/>
      <c r="D56" s="36"/>
      <c r="E56" s="36"/>
      <c r="F56" s="38"/>
      <c r="G56" s="36"/>
      <c r="H56" s="39" t="str">
        <f aca="false">IF(F56="","",IF(G56="Standard 5%",F56*VAT_RATE,0))</f>
        <v/>
      </c>
      <c r="I56" s="39" t="str">
        <f aca="false">IF(F56="","",F56+H56)</f>
        <v/>
      </c>
      <c r="J56" s="36"/>
      <c r="K56" s="37"/>
      <c r="L56" s="38"/>
      <c r="M56" s="22" t="str">
        <f aca="true">IF(OR(A56="",J56="Paid",J56="Written off"),"",TODAY()-A56)</f>
        <v/>
      </c>
      <c r="N56" s="22" t="str">
        <f aca="false">IF(M56="","",IF(M56&gt;OVERDUE_DAYS,"OVERDUE",""))</f>
        <v/>
      </c>
      <c r="O56" s="40" t="str">
        <f aca="false">IF(A56="","",IF(A56&lt;FY_START,0,(YEAR(A56)-YEAR(FY_START))*12+MONTH(A56)-MONTH(FY_START)+1))</f>
        <v/>
      </c>
      <c r="P56" s="40" t="str">
        <f aca="false">IF(A56="","",IF(AND(A56&gt;=VP_START,A56&lt;=VP_END),1,0))</f>
        <v/>
      </c>
    </row>
    <row r="57" customFormat="false" ht="15" hidden="false" customHeight="false" outlineLevel="0" collapsed="false">
      <c r="A57" s="37"/>
      <c r="B57" s="36"/>
      <c r="C57" s="36"/>
      <c r="D57" s="36"/>
      <c r="E57" s="36"/>
      <c r="F57" s="38"/>
      <c r="G57" s="36"/>
      <c r="H57" s="39" t="str">
        <f aca="false">IF(F57="","",IF(G57="Standard 5%",F57*VAT_RATE,0))</f>
        <v/>
      </c>
      <c r="I57" s="39" t="str">
        <f aca="false">IF(F57="","",F57+H57)</f>
        <v/>
      </c>
      <c r="J57" s="36"/>
      <c r="K57" s="37"/>
      <c r="L57" s="38"/>
      <c r="M57" s="22" t="str">
        <f aca="true">IF(OR(A57="",J57="Paid",J57="Written off"),"",TODAY()-A57)</f>
        <v/>
      </c>
      <c r="N57" s="22" t="str">
        <f aca="false">IF(M57="","",IF(M57&gt;OVERDUE_DAYS,"OVERDUE",""))</f>
        <v/>
      </c>
      <c r="O57" s="40" t="str">
        <f aca="false">IF(A57="","",IF(A57&lt;FY_START,0,(YEAR(A57)-YEAR(FY_START))*12+MONTH(A57)-MONTH(FY_START)+1))</f>
        <v/>
      </c>
      <c r="P57" s="40" t="str">
        <f aca="false">IF(A57="","",IF(AND(A57&gt;=VP_START,A57&lt;=VP_END),1,0))</f>
        <v/>
      </c>
    </row>
    <row r="58" customFormat="false" ht="15" hidden="false" customHeight="false" outlineLevel="0" collapsed="false">
      <c r="A58" s="37"/>
      <c r="B58" s="36"/>
      <c r="C58" s="36"/>
      <c r="D58" s="36"/>
      <c r="E58" s="36"/>
      <c r="F58" s="38"/>
      <c r="G58" s="36"/>
      <c r="H58" s="39" t="str">
        <f aca="false">IF(F58="","",IF(G58="Standard 5%",F58*VAT_RATE,0))</f>
        <v/>
      </c>
      <c r="I58" s="39" t="str">
        <f aca="false">IF(F58="","",F58+H58)</f>
        <v/>
      </c>
      <c r="J58" s="36"/>
      <c r="K58" s="37"/>
      <c r="L58" s="38"/>
      <c r="M58" s="22" t="str">
        <f aca="true">IF(OR(A58="",J58="Paid",J58="Written off"),"",TODAY()-A58)</f>
        <v/>
      </c>
      <c r="N58" s="22" t="str">
        <f aca="false">IF(M58="","",IF(M58&gt;OVERDUE_DAYS,"OVERDUE",""))</f>
        <v/>
      </c>
      <c r="O58" s="40" t="str">
        <f aca="false">IF(A58="","",IF(A58&lt;FY_START,0,(YEAR(A58)-YEAR(FY_START))*12+MONTH(A58)-MONTH(FY_START)+1))</f>
        <v/>
      </c>
      <c r="P58" s="40" t="str">
        <f aca="false">IF(A58="","",IF(AND(A58&gt;=VP_START,A58&lt;=VP_END),1,0))</f>
        <v/>
      </c>
    </row>
    <row r="59" customFormat="false" ht="15" hidden="false" customHeight="false" outlineLevel="0" collapsed="false">
      <c r="A59" s="37"/>
      <c r="B59" s="36"/>
      <c r="C59" s="36"/>
      <c r="D59" s="36"/>
      <c r="E59" s="36"/>
      <c r="F59" s="38"/>
      <c r="G59" s="36"/>
      <c r="H59" s="39" t="str">
        <f aca="false">IF(F59="","",IF(G59="Standard 5%",F59*VAT_RATE,0))</f>
        <v/>
      </c>
      <c r="I59" s="39" t="str">
        <f aca="false">IF(F59="","",F59+H59)</f>
        <v/>
      </c>
      <c r="J59" s="36"/>
      <c r="K59" s="37"/>
      <c r="L59" s="38"/>
      <c r="M59" s="22" t="str">
        <f aca="true">IF(OR(A59="",J59="Paid",J59="Written off"),"",TODAY()-A59)</f>
        <v/>
      </c>
      <c r="N59" s="22" t="str">
        <f aca="false">IF(M59="","",IF(M59&gt;OVERDUE_DAYS,"OVERDUE",""))</f>
        <v/>
      </c>
      <c r="O59" s="40" t="str">
        <f aca="false">IF(A59="","",IF(A59&lt;FY_START,0,(YEAR(A59)-YEAR(FY_START))*12+MONTH(A59)-MONTH(FY_START)+1))</f>
        <v/>
      </c>
      <c r="P59" s="40" t="str">
        <f aca="false">IF(A59="","",IF(AND(A59&gt;=VP_START,A59&lt;=VP_END),1,0))</f>
        <v/>
      </c>
    </row>
    <row r="60" customFormat="false" ht="15" hidden="false" customHeight="false" outlineLevel="0" collapsed="false">
      <c r="A60" s="37"/>
      <c r="B60" s="36"/>
      <c r="C60" s="36"/>
      <c r="D60" s="36"/>
      <c r="E60" s="36"/>
      <c r="F60" s="38"/>
      <c r="G60" s="36"/>
      <c r="H60" s="39" t="str">
        <f aca="false">IF(F60="","",IF(G60="Standard 5%",F60*VAT_RATE,0))</f>
        <v/>
      </c>
      <c r="I60" s="39" t="str">
        <f aca="false">IF(F60="","",F60+H60)</f>
        <v/>
      </c>
      <c r="J60" s="36"/>
      <c r="K60" s="37"/>
      <c r="L60" s="38"/>
      <c r="M60" s="22" t="str">
        <f aca="true">IF(OR(A60="",J60="Paid",J60="Written off"),"",TODAY()-A60)</f>
        <v/>
      </c>
      <c r="N60" s="22" t="str">
        <f aca="false">IF(M60="","",IF(M60&gt;OVERDUE_DAYS,"OVERDUE",""))</f>
        <v/>
      </c>
      <c r="O60" s="40" t="str">
        <f aca="false">IF(A60="","",IF(A60&lt;FY_START,0,(YEAR(A60)-YEAR(FY_START))*12+MONTH(A60)-MONTH(FY_START)+1))</f>
        <v/>
      </c>
      <c r="P60" s="40" t="str">
        <f aca="false">IF(A60="","",IF(AND(A60&gt;=VP_START,A60&lt;=VP_END),1,0))</f>
        <v/>
      </c>
    </row>
    <row r="61" customFormat="false" ht="15" hidden="false" customHeight="false" outlineLevel="0" collapsed="false">
      <c r="A61" s="37"/>
      <c r="B61" s="36"/>
      <c r="C61" s="36"/>
      <c r="D61" s="36"/>
      <c r="E61" s="36"/>
      <c r="F61" s="38"/>
      <c r="G61" s="36"/>
      <c r="H61" s="39" t="str">
        <f aca="false">IF(F61="","",IF(G61="Standard 5%",F61*VAT_RATE,0))</f>
        <v/>
      </c>
      <c r="I61" s="39" t="str">
        <f aca="false">IF(F61="","",F61+H61)</f>
        <v/>
      </c>
      <c r="J61" s="36"/>
      <c r="K61" s="37"/>
      <c r="L61" s="38"/>
      <c r="M61" s="22" t="str">
        <f aca="true">IF(OR(A61="",J61="Paid",J61="Written off"),"",TODAY()-A61)</f>
        <v/>
      </c>
      <c r="N61" s="22" t="str">
        <f aca="false">IF(M61="","",IF(M61&gt;OVERDUE_DAYS,"OVERDUE",""))</f>
        <v/>
      </c>
      <c r="O61" s="40" t="str">
        <f aca="false">IF(A61="","",IF(A61&lt;FY_START,0,(YEAR(A61)-YEAR(FY_START))*12+MONTH(A61)-MONTH(FY_START)+1))</f>
        <v/>
      </c>
      <c r="P61" s="40" t="str">
        <f aca="false">IF(A61="","",IF(AND(A61&gt;=VP_START,A61&lt;=VP_END),1,0))</f>
        <v/>
      </c>
    </row>
    <row r="62" customFormat="false" ht="15" hidden="false" customHeight="false" outlineLevel="0" collapsed="false">
      <c r="A62" s="37"/>
      <c r="B62" s="36"/>
      <c r="C62" s="36"/>
      <c r="D62" s="36"/>
      <c r="E62" s="36"/>
      <c r="F62" s="38"/>
      <c r="G62" s="36"/>
      <c r="H62" s="39" t="str">
        <f aca="false">IF(F62="","",IF(G62="Standard 5%",F62*VAT_RATE,0))</f>
        <v/>
      </c>
      <c r="I62" s="39" t="str">
        <f aca="false">IF(F62="","",F62+H62)</f>
        <v/>
      </c>
      <c r="J62" s="36"/>
      <c r="K62" s="37"/>
      <c r="L62" s="38"/>
      <c r="M62" s="22" t="str">
        <f aca="true">IF(OR(A62="",J62="Paid",J62="Written off"),"",TODAY()-A62)</f>
        <v/>
      </c>
      <c r="N62" s="22" t="str">
        <f aca="false">IF(M62="","",IF(M62&gt;OVERDUE_DAYS,"OVERDUE",""))</f>
        <v/>
      </c>
      <c r="O62" s="40" t="str">
        <f aca="false">IF(A62="","",IF(A62&lt;FY_START,0,(YEAR(A62)-YEAR(FY_START))*12+MONTH(A62)-MONTH(FY_START)+1))</f>
        <v/>
      </c>
      <c r="P62" s="40" t="str">
        <f aca="false">IF(A62="","",IF(AND(A62&gt;=VP_START,A62&lt;=VP_END),1,0))</f>
        <v/>
      </c>
    </row>
    <row r="63" customFormat="false" ht="15" hidden="false" customHeight="false" outlineLevel="0" collapsed="false">
      <c r="A63" s="37"/>
      <c r="B63" s="36"/>
      <c r="C63" s="36"/>
      <c r="D63" s="36"/>
      <c r="E63" s="36"/>
      <c r="F63" s="38"/>
      <c r="G63" s="36"/>
      <c r="H63" s="39" t="str">
        <f aca="false">IF(F63="","",IF(G63="Standard 5%",F63*VAT_RATE,0))</f>
        <v/>
      </c>
      <c r="I63" s="39" t="str">
        <f aca="false">IF(F63="","",F63+H63)</f>
        <v/>
      </c>
      <c r="J63" s="36"/>
      <c r="K63" s="37"/>
      <c r="L63" s="38"/>
      <c r="M63" s="22" t="str">
        <f aca="true">IF(OR(A63="",J63="Paid",J63="Written off"),"",TODAY()-A63)</f>
        <v/>
      </c>
      <c r="N63" s="22" t="str">
        <f aca="false">IF(M63="","",IF(M63&gt;OVERDUE_DAYS,"OVERDUE",""))</f>
        <v/>
      </c>
      <c r="O63" s="40" t="str">
        <f aca="false">IF(A63="","",IF(A63&lt;FY_START,0,(YEAR(A63)-YEAR(FY_START))*12+MONTH(A63)-MONTH(FY_START)+1))</f>
        <v/>
      </c>
      <c r="P63" s="40" t="str">
        <f aca="false">IF(A63="","",IF(AND(A63&gt;=VP_START,A63&lt;=VP_END),1,0))</f>
        <v/>
      </c>
    </row>
    <row r="64" customFormat="false" ht="15" hidden="false" customHeight="false" outlineLevel="0" collapsed="false">
      <c r="A64" s="37"/>
      <c r="B64" s="36"/>
      <c r="C64" s="36"/>
      <c r="D64" s="36"/>
      <c r="E64" s="36"/>
      <c r="F64" s="38"/>
      <c r="G64" s="36"/>
      <c r="H64" s="39" t="str">
        <f aca="false">IF(F64="","",IF(G64="Standard 5%",F64*VAT_RATE,0))</f>
        <v/>
      </c>
      <c r="I64" s="39" t="str">
        <f aca="false">IF(F64="","",F64+H64)</f>
        <v/>
      </c>
      <c r="J64" s="36"/>
      <c r="K64" s="37"/>
      <c r="L64" s="38"/>
      <c r="M64" s="22" t="str">
        <f aca="true">IF(OR(A64="",J64="Paid",J64="Written off"),"",TODAY()-A64)</f>
        <v/>
      </c>
      <c r="N64" s="22" t="str">
        <f aca="false">IF(M64="","",IF(M64&gt;OVERDUE_DAYS,"OVERDUE",""))</f>
        <v/>
      </c>
      <c r="O64" s="40" t="str">
        <f aca="false">IF(A64="","",IF(A64&lt;FY_START,0,(YEAR(A64)-YEAR(FY_START))*12+MONTH(A64)-MONTH(FY_START)+1))</f>
        <v/>
      </c>
      <c r="P64" s="40" t="str">
        <f aca="false">IF(A64="","",IF(AND(A64&gt;=VP_START,A64&lt;=VP_END),1,0))</f>
        <v/>
      </c>
    </row>
    <row r="65" customFormat="false" ht="15" hidden="false" customHeight="false" outlineLevel="0" collapsed="false">
      <c r="A65" s="37"/>
      <c r="B65" s="36"/>
      <c r="C65" s="36"/>
      <c r="D65" s="36"/>
      <c r="E65" s="36"/>
      <c r="F65" s="38"/>
      <c r="G65" s="36"/>
      <c r="H65" s="39" t="str">
        <f aca="false">IF(F65="","",IF(G65="Standard 5%",F65*VAT_RATE,0))</f>
        <v/>
      </c>
      <c r="I65" s="39" t="str">
        <f aca="false">IF(F65="","",F65+H65)</f>
        <v/>
      </c>
      <c r="J65" s="36"/>
      <c r="K65" s="37"/>
      <c r="L65" s="38"/>
      <c r="M65" s="22" t="str">
        <f aca="true">IF(OR(A65="",J65="Paid",J65="Written off"),"",TODAY()-A65)</f>
        <v/>
      </c>
      <c r="N65" s="22" t="str">
        <f aca="false">IF(M65="","",IF(M65&gt;OVERDUE_DAYS,"OVERDUE",""))</f>
        <v/>
      </c>
      <c r="O65" s="40" t="str">
        <f aca="false">IF(A65="","",IF(A65&lt;FY_START,0,(YEAR(A65)-YEAR(FY_START))*12+MONTH(A65)-MONTH(FY_START)+1))</f>
        <v/>
      </c>
      <c r="P65" s="40" t="str">
        <f aca="false">IF(A65="","",IF(AND(A65&gt;=VP_START,A65&lt;=VP_END),1,0))</f>
        <v/>
      </c>
    </row>
    <row r="66" customFormat="false" ht="15" hidden="false" customHeight="false" outlineLevel="0" collapsed="false">
      <c r="A66" s="37"/>
      <c r="B66" s="36"/>
      <c r="C66" s="36"/>
      <c r="D66" s="36"/>
      <c r="E66" s="36"/>
      <c r="F66" s="38"/>
      <c r="G66" s="36"/>
      <c r="H66" s="39" t="str">
        <f aca="false">IF(F66="","",IF(G66="Standard 5%",F66*VAT_RATE,0))</f>
        <v/>
      </c>
      <c r="I66" s="39" t="str">
        <f aca="false">IF(F66="","",F66+H66)</f>
        <v/>
      </c>
      <c r="J66" s="36"/>
      <c r="K66" s="37"/>
      <c r="L66" s="38"/>
      <c r="M66" s="22" t="str">
        <f aca="true">IF(OR(A66="",J66="Paid",J66="Written off"),"",TODAY()-A66)</f>
        <v/>
      </c>
      <c r="N66" s="22" t="str">
        <f aca="false">IF(M66="","",IF(M66&gt;OVERDUE_DAYS,"OVERDUE",""))</f>
        <v/>
      </c>
      <c r="O66" s="40" t="str">
        <f aca="false">IF(A66="","",IF(A66&lt;FY_START,0,(YEAR(A66)-YEAR(FY_START))*12+MONTH(A66)-MONTH(FY_START)+1))</f>
        <v/>
      </c>
      <c r="P66" s="40" t="str">
        <f aca="false">IF(A66="","",IF(AND(A66&gt;=VP_START,A66&lt;=VP_END),1,0))</f>
        <v/>
      </c>
    </row>
    <row r="67" customFormat="false" ht="15" hidden="false" customHeight="false" outlineLevel="0" collapsed="false">
      <c r="A67" s="37"/>
      <c r="B67" s="36"/>
      <c r="C67" s="36"/>
      <c r="D67" s="36"/>
      <c r="E67" s="36"/>
      <c r="F67" s="38"/>
      <c r="G67" s="36"/>
      <c r="H67" s="39" t="str">
        <f aca="false">IF(F67="","",IF(G67="Standard 5%",F67*VAT_RATE,0))</f>
        <v/>
      </c>
      <c r="I67" s="39" t="str">
        <f aca="false">IF(F67="","",F67+H67)</f>
        <v/>
      </c>
      <c r="J67" s="36"/>
      <c r="K67" s="37"/>
      <c r="L67" s="38"/>
      <c r="M67" s="22" t="str">
        <f aca="true">IF(OR(A67="",J67="Paid",J67="Written off"),"",TODAY()-A67)</f>
        <v/>
      </c>
      <c r="N67" s="22" t="str">
        <f aca="false">IF(M67="","",IF(M67&gt;OVERDUE_DAYS,"OVERDUE",""))</f>
        <v/>
      </c>
      <c r="O67" s="40" t="str">
        <f aca="false">IF(A67="","",IF(A67&lt;FY_START,0,(YEAR(A67)-YEAR(FY_START))*12+MONTH(A67)-MONTH(FY_START)+1))</f>
        <v/>
      </c>
      <c r="P67" s="40" t="str">
        <f aca="false">IF(A67="","",IF(AND(A67&gt;=VP_START,A67&lt;=VP_END),1,0))</f>
        <v/>
      </c>
    </row>
    <row r="68" customFormat="false" ht="15" hidden="false" customHeight="false" outlineLevel="0" collapsed="false">
      <c r="A68" s="37"/>
      <c r="B68" s="36"/>
      <c r="C68" s="36"/>
      <c r="D68" s="36"/>
      <c r="E68" s="36"/>
      <c r="F68" s="38"/>
      <c r="G68" s="36"/>
      <c r="H68" s="39" t="str">
        <f aca="false">IF(F68="","",IF(G68="Standard 5%",F68*VAT_RATE,0))</f>
        <v/>
      </c>
      <c r="I68" s="39" t="str">
        <f aca="false">IF(F68="","",F68+H68)</f>
        <v/>
      </c>
      <c r="J68" s="36"/>
      <c r="K68" s="37"/>
      <c r="L68" s="38"/>
      <c r="M68" s="22" t="str">
        <f aca="true">IF(OR(A68="",J68="Paid",J68="Written off"),"",TODAY()-A68)</f>
        <v/>
      </c>
      <c r="N68" s="22" t="str">
        <f aca="false">IF(M68="","",IF(M68&gt;OVERDUE_DAYS,"OVERDUE",""))</f>
        <v/>
      </c>
      <c r="O68" s="40" t="str">
        <f aca="false">IF(A68="","",IF(A68&lt;FY_START,0,(YEAR(A68)-YEAR(FY_START))*12+MONTH(A68)-MONTH(FY_START)+1))</f>
        <v/>
      </c>
      <c r="P68" s="40" t="str">
        <f aca="false">IF(A68="","",IF(AND(A68&gt;=VP_START,A68&lt;=VP_END),1,0))</f>
        <v/>
      </c>
    </row>
    <row r="69" customFormat="false" ht="15" hidden="false" customHeight="false" outlineLevel="0" collapsed="false">
      <c r="A69" s="37"/>
      <c r="B69" s="36"/>
      <c r="C69" s="36"/>
      <c r="D69" s="36"/>
      <c r="E69" s="36"/>
      <c r="F69" s="38"/>
      <c r="G69" s="36"/>
      <c r="H69" s="39" t="str">
        <f aca="false">IF(F69="","",IF(G69="Standard 5%",F69*VAT_RATE,0))</f>
        <v/>
      </c>
      <c r="I69" s="39" t="str">
        <f aca="false">IF(F69="","",F69+H69)</f>
        <v/>
      </c>
      <c r="J69" s="36"/>
      <c r="K69" s="37"/>
      <c r="L69" s="38"/>
      <c r="M69" s="22" t="str">
        <f aca="true">IF(OR(A69="",J69="Paid",J69="Written off"),"",TODAY()-A69)</f>
        <v/>
      </c>
      <c r="N69" s="22" t="str">
        <f aca="false">IF(M69="","",IF(M69&gt;OVERDUE_DAYS,"OVERDUE",""))</f>
        <v/>
      </c>
      <c r="O69" s="40" t="str">
        <f aca="false">IF(A69="","",IF(A69&lt;FY_START,0,(YEAR(A69)-YEAR(FY_START))*12+MONTH(A69)-MONTH(FY_START)+1))</f>
        <v/>
      </c>
      <c r="P69" s="40" t="str">
        <f aca="false">IF(A69="","",IF(AND(A69&gt;=VP_START,A69&lt;=VP_END),1,0))</f>
        <v/>
      </c>
    </row>
    <row r="70" customFormat="false" ht="15" hidden="false" customHeight="false" outlineLevel="0" collapsed="false">
      <c r="A70" s="37"/>
      <c r="B70" s="36"/>
      <c r="C70" s="36"/>
      <c r="D70" s="36"/>
      <c r="E70" s="36"/>
      <c r="F70" s="38"/>
      <c r="G70" s="36"/>
      <c r="H70" s="39" t="str">
        <f aca="false">IF(F70="","",IF(G70="Standard 5%",F70*VAT_RATE,0))</f>
        <v/>
      </c>
      <c r="I70" s="39" t="str">
        <f aca="false">IF(F70="","",F70+H70)</f>
        <v/>
      </c>
      <c r="J70" s="36"/>
      <c r="K70" s="37"/>
      <c r="L70" s="38"/>
      <c r="M70" s="22" t="str">
        <f aca="true">IF(OR(A70="",J70="Paid",J70="Written off"),"",TODAY()-A70)</f>
        <v/>
      </c>
      <c r="N70" s="22" t="str">
        <f aca="false">IF(M70="","",IF(M70&gt;OVERDUE_DAYS,"OVERDUE",""))</f>
        <v/>
      </c>
      <c r="O70" s="40" t="str">
        <f aca="false">IF(A70="","",IF(A70&lt;FY_START,0,(YEAR(A70)-YEAR(FY_START))*12+MONTH(A70)-MONTH(FY_START)+1))</f>
        <v/>
      </c>
      <c r="P70" s="40" t="str">
        <f aca="false">IF(A70="","",IF(AND(A70&gt;=VP_START,A70&lt;=VP_END),1,0))</f>
        <v/>
      </c>
    </row>
    <row r="71" customFormat="false" ht="15" hidden="false" customHeight="false" outlineLevel="0" collapsed="false">
      <c r="A71" s="37"/>
      <c r="B71" s="36"/>
      <c r="C71" s="36"/>
      <c r="D71" s="36"/>
      <c r="E71" s="36"/>
      <c r="F71" s="38"/>
      <c r="G71" s="36"/>
      <c r="H71" s="39" t="str">
        <f aca="false">IF(F71="","",IF(G71="Standard 5%",F71*VAT_RATE,0))</f>
        <v/>
      </c>
      <c r="I71" s="39" t="str">
        <f aca="false">IF(F71="","",F71+H71)</f>
        <v/>
      </c>
      <c r="J71" s="36"/>
      <c r="K71" s="37"/>
      <c r="L71" s="38"/>
      <c r="M71" s="22" t="str">
        <f aca="true">IF(OR(A71="",J71="Paid",J71="Written off"),"",TODAY()-A71)</f>
        <v/>
      </c>
      <c r="N71" s="22" t="str">
        <f aca="false">IF(M71="","",IF(M71&gt;OVERDUE_DAYS,"OVERDUE",""))</f>
        <v/>
      </c>
      <c r="O71" s="40" t="str">
        <f aca="false">IF(A71="","",IF(A71&lt;FY_START,0,(YEAR(A71)-YEAR(FY_START))*12+MONTH(A71)-MONTH(FY_START)+1))</f>
        <v/>
      </c>
      <c r="P71" s="40" t="str">
        <f aca="false">IF(A71="","",IF(AND(A71&gt;=VP_START,A71&lt;=VP_END),1,0))</f>
        <v/>
      </c>
    </row>
    <row r="72" customFormat="false" ht="15" hidden="false" customHeight="false" outlineLevel="0" collapsed="false">
      <c r="A72" s="37"/>
      <c r="B72" s="36"/>
      <c r="C72" s="36"/>
      <c r="D72" s="36"/>
      <c r="E72" s="36"/>
      <c r="F72" s="38"/>
      <c r="G72" s="36"/>
      <c r="H72" s="39" t="str">
        <f aca="false">IF(F72="","",IF(G72="Standard 5%",F72*VAT_RATE,0))</f>
        <v/>
      </c>
      <c r="I72" s="39" t="str">
        <f aca="false">IF(F72="","",F72+H72)</f>
        <v/>
      </c>
      <c r="J72" s="36"/>
      <c r="K72" s="37"/>
      <c r="L72" s="38"/>
      <c r="M72" s="22" t="str">
        <f aca="true">IF(OR(A72="",J72="Paid",J72="Written off"),"",TODAY()-A72)</f>
        <v/>
      </c>
      <c r="N72" s="22" t="str">
        <f aca="false">IF(M72="","",IF(M72&gt;OVERDUE_DAYS,"OVERDUE",""))</f>
        <v/>
      </c>
      <c r="O72" s="40" t="str">
        <f aca="false">IF(A72="","",IF(A72&lt;FY_START,0,(YEAR(A72)-YEAR(FY_START))*12+MONTH(A72)-MONTH(FY_START)+1))</f>
        <v/>
      </c>
      <c r="P72" s="40" t="str">
        <f aca="false">IF(A72="","",IF(AND(A72&gt;=VP_START,A72&lt;=VP_END),1,0))</f>
        <v/>
      </c>
    </row>
    <row r="73" customFormat="false" ht="15" hidden="false" customHeight="false" outlineLevel="0" collapsed="false">
      <c r="A73" s="37"/>
      <c r="B73" s="36"/>
      <c r="C73" s="36"/>
      <c r="D73" s="36"/>
      <c r="E73" s="36"/>
      <c r="F73" s="38"/>
      <c r="G73" s="36"/>
      <c r="H73" s="39" t="str">
        <f aca="false">IF(F73="","",IF(G73="Standard 5%",F73*VAT_RATE,0))</f>
        <v/>
      </c>
      <c r="I73" s="39" t="str">
        <f aca="false">IF(F73="","",F73+H73)</f>
        <v/>
      </c>
      <c r="J73" s="36"/>
      <c r="K73" s="37"/>
      <c r="L73" s="38"/>
      <c r="M73" s="22" t="str">
        <f aca="true">IF(OR(A73="",J73="Paid",J73="Written off"),"",TODAY()-A73)</f>
        <v/>
      </c>
      <c r="N73" s="22" t="str">
        <f aca="false">IF(M73="","",IF(M73&gt;OVERDUE_DAYS,"OVERDUE",""))</f>
        <v/>
      </c>
      <c r="O73" s="40" t="str">
        <f aca="false">IF(A73="","",IF(A73&lt;FY_START,0,(YEAR(A73)-YEAR(FY_START))*12+MONTH(A73)-MONTH(FY_START)+1))</f>
        <v/>
      </c>
      <c r="P73" s="40" t="str">
        <f aca="false">IF(A73="","",IF(AND(A73&gt;=VP_START,A73&lt;=VP_END),1,0))</f>
        <v/>
      </c>
    </row>
    <row r="74" customFormat="false" ht="15" hidden="false" customHeight="false" outlineLevel="0" collapsed="false">
      <c r="A74" s="37"/>
      <c r="B74" s="36"/>
      <c r="C74" s="36"/>
      <c r="D74" s="36"/>
      <c r="E74" s="36"/>
      <c r="F74" s="38"/>
      <c r="G74" s="36"/>
      <c r="H74" s="39" t="str">
        <f aca="false">IF(F74="","",IF(G74="Standard 5%",F74*VAT_RATE,0))</f>
        <v/>
      </c>
      <c r="I74" s="39" t="str">
        <f aca="false">IF(F74="","",F74+H74)</f>
        <v/>
      </c>
      <c r="J74" s="36"/>
      <c r="K74" s="37"/>
      <c r="L74" s="38"/>
      <c r="M74" s="22" t="str">
        <f aca="true">IF(OR(A74="",J74="Paid",J74="Written off"),"",TODAY()-A74)</f>
        <v/>
      </c>
      <c r="N74" s="22" t="str">
        <f aca="false">IF(M74="","",IF(M74&gt;OVERDUE_DAYS,"OVERDUE",""))</f>
        <v/>
      </c>
      <c r="O74" s="40" t="str">
        <f aca="false">IF(A74="","",IF(A74&lt;FY_START,0,(YEAR(A74)-YEAR(FY_START))*12+MONTH(A74)-MONTH(FY_START)+1))</f>
        <v/>
      </c>
      <c r="P74" s="40" t="str">
        <f aca="false">IF(A74="","",IF(AND(A74&gt;=VP_START,A74&lt;=VP_END),1,0))</f>
        <v/>
      </c>
    </row>
    <row r="75" customFormat="false" ht="15" hidden="false" customHeight="false" outlineLevel="0" collapsed="false">
      <c r="A75" s="37"/>
      <c r="B75" s="36"/>
      <c r="C75" s="36"/>
      <c r="D75" s="36"/>
      <c r="E75" s="36"/>
      <c r="F75" s="38"/>
      <c r="G75" s="36"/>
      <c r="H75" s="39" t="str">
        <f aca="false">IF(F75="","",IF(G75="Standard 5%",F75*VAT_RATE,0))</f>
        <v/>
      </c>
      <c r="I75" s="39" t="str">
        <f aca="false">IF(F75="","",F75+H75)</f>
        <v/>
      </c>
      <c r="J75" s="36"/>
      <c r="K75" s="37"/>
      <c r="L75" s="38"/>
      <c r="M75" s="22" t="str">
        <f aca="true">IF(OR(A75="",J75="Paid",J75="Written off"),"",TODAY()-A75)</f>
        <v/>
      </c>
      <c r="N75" s="22" t="str">
        <f aca="false">IF(M75="","",IF(M75&gt;OVERDUE_DAYS,"OVERDUE",""))</f>
        <v/>
      </c>
      <c r="O75" s="40" t="str">
        <f aca="false">IF(A75="","",IF(A75&lt;FY_START,0,(YEAR(A75)-YEAR(FY_START))*12+MONTH(A75)-MONTH(FY_START)+1))</f>
        <v/>
      </c>
      <c r="P75" s="40" t="str">
        <f aca="false">IF(A75="","",IF(AND(A75&gt;=VP_START,A75&lt;=VP_END),1,0))</f>
        <v/>
      </c>
    </row>
    <row r="76" customFormat="false" ht="15" hidden="false" customHeight="false" outlineLevel="0" collapsed="false">
      <c r="A76" s="37"/>
      <c r="B76" s="36"/>
      <c r="C76" s="36"/>
      <c r="D76" s="36"/>
      <c r="E76" s="36"/>
      <c r="F76" s="38"/>
      <c r="G76" s="36"/>
      <c r="H76" s="39" t="str">
        <f aca="false">IF(F76="","",IF(G76="Standard 5%",F76*VAT_RATE,0))</f>
        <v/>
      </c>
      <c r="I76" s="39" t="str">
        <f aca="false">IF(F76="","",F76+H76)</f>
        <v/>
      </c>
      <c r="J76" s="36"/>
      <c r="K76" s="37"/>
      <c r="L76" s="38"/>
      <c r="M76" s="22" t="str">
        <f aca="true">IF(OR(A76="",J76="Paid",J76="Written off"),"",TODAY()-A76)</f>
        <v/>
      </c>
      <c r="N76" s="22" t="str">
        <f aca="false">IF(M76="","",IF(M76&gt;OVERDUE_DAYS,"OVERDUE",""))</f>
        <v/>
      </c>
      <c r="O76" s="40" t="str">
        <f aca="false">IF(A76="","",IF(A76&lt;FY_START,0,(YEAR(A76)-YEAR(FY_START))*12+MONTH(A76)-MONTH(FY_START)+1))</f>
        <v/>
      </c>
      <c r="P76" s="40" t="str">
        <f aca="false">IF(A76="","",IF(AND(A76&gt;=VP_START,A76&lt;=VP_END),1,0))</f>
        <v/>
      </c>
    </row>
    <row r="77" customFormat="false" ht="15" hidden="false" customHeight="false" outlineLevel="0" collapsed="false">
      <c r="A77" s="37"/>
      <c r="B77" s="36"/>
      <c r="C77" s="36"/>
      <c r="D77" s="36"/>
      <c r="E77" s="36"/>
      <c r="F77" s="38"/>
      <c r="G77" s="36"/>
      <c r="H77" s="39" t="str">
        <f aca="false">IF(F77="","",IF(G77="Standard 5%",F77*VAT_RATE,0))</f>
        <v/>
      </c>
      <c r="I77" s="39" t="str">
        <f aca="false">IF(F77="","",F77+H77)</f>
        <v/>
      </c>
      <c r="J77" s="36"/>
      <c r="K77" s="37"/>
      <c r="L77" s="38"/>
      <c r="M77" s="22" t="str">
        <f aca="true">IF(OR(A77="",J77="Paid",J77="Written off"),"",TODAY()-A77)</f>
        <v/>
      </c>
      <c r="N77" s="22" t="str">
        <f aca="false">IF(M77="","",IF(M77&gt;OVERDUE_DAYS,"OVERDUE",""))</f>
        <v/>
      </c>
      <c r="O77" s="40" t="str">
        <f aca="false">IF(A77="","",IF(A77&lt;FY_START,0,(YEAR(A77)-YEAR(FY_START))*12+MONTH(A77)-MONTH(FY_START)+1))</f>
        <v/>
      </c>
      <c r="P77" s="40" t="str">
        <f aca="false">IF(A77="","",IF(AND(A77&gt;=VP_START,A77&lt;=VP_END),1,0))</f>
        <v/>
      </c>
    </row>
    <row r="78" customFormat="false" ht="15" hidden="false" customHeight="false" outlineLevel="0" collapsed="false">
      <c r="A78" s="37"/>
      <c r="B78" s="36"/>
      <c r="C78" s="36"/>
      <c r="D78" s="36"/>
      <c r="E78" s="36"/>
      <c r="F78" s="38"/>
      <c r="G78" s="36"/>
      <c r="H78" s="39" t="str">
        <f aca="false">IF(F78="","",IF(G78="Standard 5%",F78*VAT_RATE,0))</f>
        <v/>
      </c>
      <c r="I78" s="39" t="str">
        <f aca="false">IF(F78="","",F78+H78)</f>
        <v/>
      </c>
      <c r="J78" s="36"/>
      <c r="K78" s="37"/>
      <c r="L78" s="38"/>
      <c r="M78" s="22" t="str">
        <f aca="true">IF(OR(A78="",J78="Paid",J78="Written off"),"",TODAY()-A78)</f>
        <v/>
      </c>
      <c r="N78" s="22" t="str">
        <f aca="false">IF(M78="","",IF(M78&gt;OVERDUE_DAYS,"OVERDUE",""))</f>
        <v/>
      </c>
      <c r="O78" s="40" t="str">
        <f aca="false">IF(A78="","",IF(A78&lt;FY_START,0,(YEAR(A78)-YEAR(FY_START))*12+MONTH(A78)-MONTH(FY_START)+1))</f>
        <v/>
      </c>
      <c r="P78" s="40" t="str">
        <f aca="false">IF(A78="","",IF(AND(A78&gt;=VP_START,A78&lt;=VP_END),1,0))</f>
        <v/>
      </c>
    </row>
    <row r="79" customFormat="false" ht="15" hidden="false" customHeight="false" outlineLevel="0" collapsed="false">
      <c r="A79" s="37"/>
      <c r="B79" s="36"/>
      <c r="C79" s="36"/>
      <c r="D79" s="36"/>
      <c r="E79" s="36"/>
      <c r="F79" s="38"/>
      <c r="G79" s="36"/>
      <c r="H79" s="39" t="str">
        <f aca="false">IF(F79="","",IF(G79="Standard 5%",F79*VAT_RATE,0))</f>
        <v/>
      </c>
      <c r="I79" s="39" t="str">
        <f aca="false">IF(F79="","",F79+H79)</f>
        <v/>
      </c>
      <c r="J79" s="36"/>
      <c r="K79" s="37"/>
      <c r="L79" s="38"/>
      <c r="M79" s="22" t="str">
        <f aca="true">IF(OR(A79="",J79="Paid",J79="Written off"),"",TODAY()-A79)</f>
        <v/>
      </c>
      <c r="N79" s="22" t="str">
        <f aca="false">IF(M79="","",IF(M79&gt;OVERDUE_DAYS,"OVERDUE",""))</f>
        <v/>
      </c>
      <c r="O79" s="40" t="str">
        <f aca="false">IF(A79="","",IF(A79&lt;FY_START,0,(YEAR(A79)-YEAR(FY_START))*12+MONTH(A79)-MONTH(FY_START)+1))</f>
        <v/>
      </c>
      <c r="P79" s="40" t="str">
        <f aca="false">IF(A79="","",IF(AND(A79&gt;=VP_START,A79&lt;=VP_END),1,0))</f>
        <v/>
      </c>
    </row>
    <row r="80" customFormat="false" ht="15" hidden="false" customHeight="false" outlineLevel="0" collapsed="false">
      <c r="A80" s="37"/>
      <c r="B80" s="36"/>
      <c r="C80" s="36"/>
      <c r="D80" s="36"/>
      <c r="E80" s="36"/>
      <c r="F80" s="38"/>
      <c r="G80" s="36"/>
      <c r="H80" s="39" t="str">
        <f aca="false">IF(F80="","",IF(G80="Standard 5%",F80*VAT_RATE,0))</f>
        <v/>
      </c>
      <c r="I80" s="39" t="str">
        <f aca="false">IF(F80="","",F80+H80)</f>
        <v/>
      </c>
      <c r="J80" s="36"/>
      <c r="K80" s="37"/>
      <c r="L80" s="38"/>
      <c r="M80" s="22" t="str">
        <f aca="true">IF(OR(A80="",J80="Paid",J80="Written off"),"",TODAY()-A80)</f>
        <v/>
      </c>
      <c r="N80" s="22" t="str">
        <f aca="false">IF(M80="","",IF(M80&gt;OVERDUE_DAYS,"OVERDUE",""))</f>
        <v/>
      </c>
      <c r="O80" s="40" t="str">
        <f aca="false">IF(A80="","",IF(A80&lt;FY_START,0,(YEAR(A80)-YEAR(FY_START))*12+MONTH(A80)-MONTH(FY_START)+1))</f>
        <v/>
      </c>
      <c r="P80" s="40" t="str">
        <f aca="false">IF(A80="","",IF(AND(A80&gt;=VP_START,A80&lt;=VP_END),1,0))</f>
        <v/>
      </c>
    </row>
    <row r="81" customFormat="false" ht="15" hidden="false" customHeight="false" outlineLevel="0" collapsed="false">
      <c r="A81" s="37"/>
      <c r="B81" s="36"/>
      <c r="C81" s="36"/>
      <c r="D81" s="36"/>
      <c r="E81" s="36"/>
      <c r="F81" s="38"/>
      <c r="G81" s="36"/>
      <c r="H81" s="39" t="str">
        <f aca="false">IF(F81="","",IF(G81="Standard 5%",F81*VAT_RATE,0))</f>
        <v/>
      </c>
      <c r="I81" s="39" t="str">
        <f aca="false">IF(F81="","",F81+H81)</f>
        <v/>
      </c>
      <c r="J81" s="36"/>
      <c r="K81" s="37"/>
      <c r="L81" s="38"/>
      <c r="M81" s="22" t="str">
        <f aca="true">IF(OR(A81="",J81="Paid",J81="Written off"),"",TODAY()-A81)</f>
        <v/>
      </c>
      <c r="N81" s="22" t="str">
        <f aca="false">IF(M81="","",IF(M81&gt;OVERDUE_DAYS,"OVERDUE",""))</f>
        <v/>
      </c>
      <c r="O81" s="40" t="str">
        <f aca="false">IF(A81="","",IF(A81&lt;FY_START,0,(YEAR(A81)-YEAR(FY_START))*12+MONTH(A81)-MONTH(FY_START)+1))</f>
        <v/>
      </c>
      <c r="P81" s="40" t="str">
        <f aca="false">IF(A81="","",IF(AND(A81&gt;=VP_START,A81&lt;=VP_END),1,0))</f>
        <v/>
      </c>
    </row>
    <row r="82" customFormat="false" ht="15" hidden="false" customHeight="false" outlineLevel="0" collapsed="false">
      <c r="A82" s="37"/>
      <c r="B82" s="36"/>
      <c r="C82" s="36"/>
      <c r="D82" s="36"/>
      <c r="E82" s="36"/>
      <c r="F82" s="38"/>
      <c r="G82" s="36"/>
      <c r="H82" s="39" t="str">
        <f aca="false">IF(F82="","",IF(G82="Standard 5%",F82*VAT_RATE,0))</f>
        <v/>
      </c>
      <c r="I82" s="39" t="str">
        <f aca="false">IF(F82="","",F82+H82)</f>
        <v/>
      </c>
      <c r="J82" s="36"/>
      <c r="K82" s="37"/>
      <c r="L82" s="38"/>
      <c r="M82" s="22" t="str">
        <f aca="true">IF(OR(A82="",J82="Paid",J82="Written off"),"",TODAY()-A82)</f>
        <v/>
      </c>
      <c r="N82" s="22" t="str">
        <f aca="false">IF(M82="","",IF(M82&gt;OVERDUE_DAYS,"OVERDUE",""))</f>
        <v/>
      </c>
      <c r="O82" s="40" t="str">
        <f aca="false">IF(A82="","",IF(A82&lt;FY_START,0,(YEAR(A82)-YEAR(FY_START))*12+MONTH(A82)-MONTH(FY_START)+1))</f>
        <v/>
      </c>
      <c r="P82" s="40" t="str">
        <f aca="false">IF(A82="","",IF(AND(A82&gt;=VP_START,A82&lt;=VP_END),1,0))</f>
        <v/>
      </c>
    </row>
    <row r="83" customFormat="false" ht="15" hidden="false" customHeight="false" outlineLevel="0" collapsed="false">
      <c r="A83" s="37"/>
      <c r="B83" s="36"/>
      <c r="C83" s="36"/>
      <c r="D83" s="36"/>
      <c r="E83" s="36"/>
      <c r="F83" s="38"/>
      <c r="G83" s="36"/>
      <c r="H83" s="39" t="str">
        <f aca="false">IF(F83="","",IF(G83="Standard 5%",F83*VAT_RATE,0))</f>
        <v/>
      </c>
      <c r="I83" s="39" t="str">
        <f aca="false">IF(F83="","",F83+H83)</f>
        <v/>
      </c>
      <c r="J83" s="36"/>
      <c r="K83" s="37"/>
      <c r="L83" s="38"/>
      <c r="M83" s="22" t="str">
        <f aca="true">IF(OR(A83="",J83="Paid",J83="Written off"),"",TODAY()-A83)</f>
        <v/>
      </c>
      <c r="N83" s="22" t="str">
        <f aca="false">IF(M83="","",IF(M83&gt;OVERDUE_DAYS,"OVERDUE",""))</f>
        <v/>
      </c>
      <c r="O83" s="40" t="str">
        <f aca="false">IF(A83="","",IF(A83&lt;FY_START,0,(YEAR(A83)-YEAR(FY_START))*12+MONTH(A83)-MONTH(FY_START)+1))</f>
        <v/>
      </c>
      <c r="P83" s="40" t="str">
        <f aca="false">IF(A83="","",IF(AND(A83&gt;=VP_START,A83&lt;=VP_END),1,0))</f>
        <v/>
      </c>
    </row>
    <row r="84" customFormat="false" ht="15" hidden="false" customHeight="false" outlineLevel="0" collapsed="false">
      <c r="A84" s="37"/>
      <c r="B84" s="36"/>
      <c r="C84" s="36"/>
      <c r="D84" s="36"/>
      <c r="E84" s="36"/>
      <c r="F84" s="38"/>
      <c r="G84" s="36"/>
      <c r="H84" s="39" t="str">
        <f aca="false">IF(F84="","",IF(G84="Standard 5%",F84*VAT_RATE,0))</f>
        <v/>
      </c>
      <c r="I84" s="39" t="str">
        <f aca="false">IF(F84="","",F84+H84)</f>
        <v/>
      </c>
      <c r="J84" s="36"/>
      <c r="K84" s="37"/>
      <c r="L84" s="38"/>
      <c r="M84" s="22" t="str">
        <f aca="true">IF(OR(A84="",J84="Paid",J84="Written off"),"",TODAY()-A84)</f>
        <v/>
      </c>
      <c r="N84" s="22" t="str">
        <f aca="false">IF(M84="","",IF(M84&gt;OVERDUE_DAYS,"OVERDUE",""))</f>
        <v/>
      </c>
      <c r="O84" s="40" t="str">
        <f aca="false">IF(A84="","",IF(A84&lt;FY_START,0,(YEAR(A84)-YEAR(FY_START))*12+MONTH(A84)-MONTH(FY_START)+1))</f>
        <v/>
      </c>
      <c r="P84" s="40" t="str">
        <f aca="false">IF(A84="","",IF(AND(A84&gt;=VP_START,A84&lt;=VP_END),1,0))</f>
        <v/>
      </c>
    </row>
    <row r="85" customFormat="false" ht="15" hidden="false" customHeight="false" outlineLevel="0" collapsed="false">
      <c r="A85" s="37"/>
      <c r="B85" s="36"/>
      <c r="C85" s="36"/>
      <c r="D85" s="36"/>
      <c r="E85" s="36"/>
      <c r="F85" s="38"/>
      <c r="G85" s="36"/>
      <c r="H85" s="39" t="str">
        <f aca="false">IF(F85="","",IF(G85="Standard 5%",F85*VAT_RATE,0))</f>
        <v/>
      </c>
      <c r="I85" s="39" t="str">
        <f aca="false">IF(F85="","",F85+H85)</f>
        <v/>
      </c>
      <c r="J85" s="36"/>
      <c r="K85" s="37"/>
      <c r="L85" s="38"/>
      <c r="M85" s="22" t="str">
        <f aca="true">IF(OR(A85="",J85="Paid",J85="Written off"),"",TODAY()-A85)</f>
        <v/>
      </c>
      <c r="N85" s="22" t="str">
        <f aca="false">IF(M85="","",IF(M85&gt;OVERDUE_DAYS,"OVERDUE",""))</f>
        <v/>
      </c>
      <c r="O85" s="40" t="str">
        <f aca="false">IF(A85="","",IF(A85&lt;FY_START,0,(YEAR(A85)-YEAR(FY_START))*12+MONTH(A85)-MONTH(FY_START)+1))</f>
        <v/>
      </c>
      <c r="P85" s="40" t="str">
        <f aca="false">IF(A85="","",IF(AND(A85&gt;=VP_START,A85&lt;=VP_END),1,0))</f>
        <v/>
      </c>
    </row>
    <row r="86" customFormat="false" ht="15" hidden="false" customHeight="false" outlineLevel="0" collapsed="false">
      <c r="A86" s="37"/>
      <c r="B86" s="36"/>
      <c r="C86" s="36"/>
      <c r="D86" s="36"/>
      <c r="E86" s="36"/>
      <c r="F86" s="38"/>
      <c r="G86" s="36"/>
      <c r="H86" s="39" t="str">
        <f aca="false">IF(F86="","",IF(G86="Standard 5%",F86*VAT_RATE,0))</f>
        <v/>
      </c>
      <c r="I86" s="39" t="str">
        <f aca="false">IF(F86="","",F86+H86)</f>
        <v/>
      </c>
      <c r="J86" s="36"/>
      <c r="K86" s="37"/>
      <c r="L86" s="38"/>
      <c r="M86" s="22" t="str">
        <f aca="true">IF(OR(A86="",J86="Paid",J86="Written off"),"",TODAY()-A86)</f>
        <v/>
      </c>
      <c r="N86" s="22" t="str">
        <f aca="false">IF(M86="","",IF(M86&gt;OVERDUE_DAYS,"OVERDUE",""))</f>
        <v/>
      </c>
      <c r="O86" s="40" t="str">
        <f aca="false">IF(A86="","",IF(A86&lt;FY_START,0,(YEAR(A86)-YEAR(FY_START))*12+MONTH(A86)-MONTH(FY_START)+1))</f>
        <v/>
      </c>
      <c r="P86" s="40" t="str">
        <f aca="false">IF(A86="","",IF(AND(A86&gt;=VP_START,A86&lt;=VP_END),1,0))</f>
        <v/>
      </c>
    </row>
    <row r="87" customFormat="false" ht="15" hidden="false" customHeight="false" outlineLevel="0" collapsed="false">
      <c r="A87" s="37"/>
      <c r="B87" s="36"/>
      <c r="C87" s="36"/>
      <c r="D87" s="36"/>
      <c r="E87" s="36"/>
      <c r="F87" s="38"/>
      <c r="G87" s="36"/>
      <c r="H87" s="39" t="str">
        <f aca="false">IF(F87="","",IF(G87="Standard 5%",F87*VAT_RATE,0))</f>
        <v/>
      </c>
      <c r="I87" s="39" t="str">
        <f aca="false">IF(F87="","",F87+H87)</f>
        <v/>
      </c>
      <c r="J87" s="36"/>
      <c r="K87" s="37"/>
      <c r="L87" s="38"/>
      <c r="M87" s="22" t="str">
        <f aca="true">IF(OR(A87="",J87="Paid",J87="Written off"),"",TODAY()-A87)</f>
        <v/>
      </c>
      <c r="N87" s="22" t="str">
        <f aca="false">IF(M87="","",IF(M87&gt;OVERDUE_DAYS,"OVERDUE",""))</f>
        <v/>
      </c>
      <c r="O87" s="40" t="str">
        <f aca="false">IF(A87="","",IF(A87&lt;FY_START,0,(YEAR(A87)-YEAR(FY_START))*12+MONTH(A87)-MONTH(FY_START)+1))</f>
        <v/>
      </c>
      <c r="P87" s="40" t="str">
        <f aca="false">IF(A87="","",IF(AND(A87&gt;=VP_START,A87&lt;=VP_END),1,0))</f>
        <v/>
      </c>
    </row>
    <row r="88" customFormat="false" ht="15" hidden="false" customHeight="false" outlineLevel="0" collapsed="false">
      <c r="A88" s="37"/>
      <c r="B88" s="36"/>
      <c r="C88" s="36"/>
      <c r="D88" s="36"/>
      <c r="E88" s="36"/>
      <c r="F88" s="38"/>
      <c r="G88" s="36"/>
      <c r="H88" s="39" t="str">
        <f aca="false">IF(F88="","",IF(G88="Standard 5%",F88*VAT_RATE,0))</f>
        <v/>
      </c>
      <c r="I88" s="39" t="str">
        <f aca="false">IF(F88="","",F88+H88)</f>
        <v/>
      </c>
      <c r="J88" s="36"/>
      <c r="K88" s="37"/>
      <c r="L88" s="38"/>
      <c r="M88" s="22" t="str">
        <f aca="true">IF(OR(A88="",J88="Paid",J88="Written off"),"",TODAY()-A88)</f>
        <v/>
      </c>
      <c r="N88" s="22" t="str">
        <f aca="false">IF(M88="","",IF(M88&gt;OVERDUE_DAYS,"OVERDUE",""))</f>
        <v/>
      </c>
      <c r="O88" s="40" t="str">
        <f aca="false">IF(A88="","",IF(A88&lt;FY_START,0,(YEAR(A88)-YEAR(FY_START))*12+MONTH(A88)-MONTH(FY_START)+1))</f>
        <v/>
      </c>
      <c r="P88" s="40" t="str">
        <f aca="false">IF(A88="","",IF(AND(A88&gt;=VP_START,A88&lt;=VP_END),1,0))</f>
        <v/>
      </c>
    </row>
    <row r="89" customFormat="false" ht="15" hidden="false" customHeight="false" outlineLevel="0" collapsed="false">
      <c r="A89" s="37"/>
      <c r="B89" s="36"/>
      <c r="C89" s="36"/>
      <c r="D89" s="36"/>
      <c r="E89" s="36"/>
      <c r="F89" s="38"/>
      <c r="G89" s="36"/>
      <c r="H89" s="39" t="str">
        <f aca="false">IF(F89="","",IF(G89="Standard 5%",F89*VAT_RATE,0))</f>
        <v/>
      </c>
      <c r="I89" s="39" t="str">
        <f aca="false">IF(F89="","",F89+H89)</f>
        <v/>
      </c>
      <c r="J89" s="36"/>
      <c r="K89" s="37"/>
      <c r="L89" s="38"/>
      <c r="M89" s="22" t="str">
        <f aca="true">IF(OR(A89="",J89="Paid",J89="Written off"),"",TODAY()-A89)</f>
        <v/>
      </c>
      <c r="N89" s="22" t="str">
        <f aca="false">IF(M89="","",IF(M89&gt;OVERDUE_DAYS,"OVERDUE",""))</f>
        <v/>
      </c>
      <c r="O89" s="40" t="str">
        <f aca="false">IF(A89="","",IF(A89&lt;FY_START,0,(YEAR(A89)-YEAR(FY_START))*12+MONTH(A89)-MONTH(FY_START)+1))</f>
        <v/>
      </c>
      <c r="P89" s="40" t="str">
        <f aca="false">IF(A89="","",IF(AND(A89&gt;=VP_START,A89&lt;=VP_END),1,0))</f>
        <v/>
      </c>
    </row>
    <row r="90" customFormat="false" ht="15" hidden="false" customHeight="false" outlineLevel="0" collapsed="false">
      <c r="A90" s="37"/>
      <c r="B90" s="36"/>
      <c r="C90" s="36"/>
      <c r="D90" s="36"/>
      <c r="E90" s="36"/>
      <c r="F90" s="38"/>
      <c r="G90" s="36"/>
      <c r="H90" s="39" t="str">
        <f aca="false">IF(F90="","",IF(G90="Standard 5%",F90*VAT_RATE,0))</f>
        <v/>
      </c>
      <c r="I90" s="39" t="str">
        <f aca="false">IF(F90="","",F90+H90)</f>
        <v/>
      </c>
      <c r="J90" s="36"/>
      <c r="K90" s="37"/>
      <c r="L90" s="38"/>
      <c r="M90" s="22" t="str">
        <f aca="true">IF(OR(A90="",J90="Paid",J90="Written off"),"",TODAY()-A90)</f>
        <v/>
      </c>
      <c r="N90" s="22" t="str">
        <f aca="false">IF(M90="","",IF(M90&gt;OVERDUE_DAYS,"OVERDUE",""))</f>
        <v/>
      </c>
      <c r="O90" s="40" t="str">
        <f aca="false">IF(A90="","",IF(A90&lt;FY_START,0,(YEAR(A90)-YEAR(FY_START))*12+MONTH(A90)-MONTH(FY_START)+1))</f>
        <v/>
      </c>
      <c r="P90" s="40" t="str">
        <f aca="false">IF(A90="","",IF(AND(A90&gt;=VP_START,A90&lt;=VP_END),1,0))</f>
        <v/>
      </c>
    </row>
    <row r="91" customFormat="false" ht="15" hidden="false" customHeight="false" outlineLevel="0" collapsed="false">
      <c r="A91" s="37"/>
      <c r="B91" s="36"/>
      <c r="C91" s="36"/>
      <c r="D91" s="36"/>
      <c r="E91" s="36"/>
      <c r="F91" s="38"/>
      <c r="G91" s="36"/>
      <c r="H91" s="39" t="str">
        <f aca="false">IF(F91="","",IF(G91="Standard 5%",F91*VAT_RATE,0))</f>
        <v/>
      </c>
      <c r="I91" s="39" t="str">
        <f aca="false">IF(F91="","",F91+H91)</f>
        <v/>
      </c>
      <c r="J91" s="36"/>
      <c r="K91" s="37"/>
      <c r="L91" s="38"/>
      <c r="M91" s="22" t="str">
        <f aca="true">IF(OR(A91="",J91="Paid",J91="Written off"),"",TODAY()-A91)</f>
        <v/>
      </c>
      <c r="N91" s="22" t="str">
        <f aca="false">IF(M91="","",IF(M91&gt;OVERDUE_DAYS,"OVERDUE",""))</f>
        <v/>
      </c>
      <c r="O91" s="40" t="str">
        <f aca="false">IF(A91="","",IF(A91&lt;FY_START,0,(YEAR(A91)-YEAR(FY_START))*12+MONTH(A91)-MONTH(FY_START)+1))</f>
        <v/>
      </c>
      <c r="P91" s="40" t="str">
        <f aca="false">IF(A91="","",IF(AND(A91&gt;=VP_START,A91&lt;=VP_END),1,0))</f>
        <v/>
      </c>
    </row>
    <row r="92" customFormat="false" ht="15" hidden="false" customHeight="false" outlineLevel="0" collapsed="false">
      <c r="A92" s="37"/>
      <c r="B92" s="36"/>
      <c r="C92" s="36"/>
      <c r="D92" s="36"/>
      <c r="E92" s="36"/>
      <c r="F92" s="38"/>
      <c r="G92" s="36"/>
      <c r="H92" s="39" t="str">
        <f aca="false">IF(F92="","",IF(G92="Standard 5%",F92*VAT_RATE,0))</f>
        <v/>
      </c>
      <c r="I92" s="39" t="str">
        <f aca="false">IF(F92="","",F92+H92)</f>
        <v/>
      </c>
      <c r="J92" s="36"/>
      <c r="K92" s="37"/>
      <c r="L92" s="38"/>
      <c r="M92" s="22" t="str">
        <f aca="true">IF(OR(A92="",J92="Paid",J92="Written off"),"",TODAY()-A92)</f>
        <v/>
      </c>
      <c r="N92" s="22" t="str">
        <f aca="false">IF(M92="","",IF(M92&gt;OVERDUE_DAYS,"OVERDUE",""))</f>
        <v/>
      </c>
      <c r="O92" s="40" t="str">
        <f aca="false">IF(A92="","",IF(A92&lt;FY_START,0,(YEAR(A92)-YEAR(FY_START))*12+MONTH(A92)-MONTH(FY_START)+1))</f>
        <v/>
      </c>
      <c r="P92" s="40" t="str">
        <f aca="false">IF(A92="","",IF(AND(A92&gt;=VP_START,A92&lt;=VP_END),1,0))</f>
        <v/>
      </c>
    </row>
    <row r="93" customFormat="false" ht="15" hidden="false" customHeight="false" outlineLevel="0" collapsed="false">
      <c r="A93" s="37"/>
      <c r="B93" s="36"/>
      <c r="C93" s="36"/>
      <c r="D93" s="36"/>
      <c r="E93" s="36"/>
      <c r="F93" s="38"/>
      <c r="G93" s="36"/>
      <c r="H93" s="39" t="str">
        <f aca="false">IF(F93="","",IF(G93="Standard 5%",F93*VAT_RATE,0))</f>
        <v/>
      </c>
      <c r="I93" s="39" t="str">
        <f aca="false">IF(F93="","",F93+H93)</f>
        <v/>
      </c>
      <c r="J93" s="36"/>
      <c r="K93" s="37"/>
      <c r="L93" s="38"/>
      <c r="M93" s="22" t="str">
        <f aca="true">IF(OR(A93="",J93="Paid",J93="Written off"),"",TODAY()-A93)</f>
        <v/>
      </c>
      <c r="N93" s="22" t="str">
        <f aca="false">IF(M93="","",IF(M93&gt;OVERDUE_DAYS,"OVERDUE",""))</f>
        <v/>
      </c>
      <c r="O93" s="40" t="str">
        <f aca="false">IF(A93="","",IF(A93&lt;FY_START,0,(YEAR(A93)-YEAR(FY_START))*12+MONTH(A93)-MONTH(FY_START)+1))</f>
        <v/>
      </c>
      <c r="P93" s="40" t="str">
        <f aca="false">IF(A93="","",IF(AND(A93&gt;=VP_START,A93&lt;=VP_END),1,0))</f>
        <v/>
      </c>
    </row>
    <row r="94" customFormat="false" ht="15" hidden="false" customHeight="false" outlineLevel="0" collapsed="false">
      <c r="A94" s="37"/>
      <c r="B94" s="36"/>
      <c r="C94" s="36"/>
      <c r="D94" s="36"/>
      <c r="E94" s="36"/>
      <c r="F94" s="38"/>
      <c r="G94" s="36"/>
      <c r="H94" s="39" t="str">
        <f aca="false">IF(F94="","",IF(G94="Standard 5%",F94*VAT_RATE,0))</f>
        <v/>
      </c>
      <c r="I94" s="39" t="str">
        <f aca="false">IF(F94="","",F94+H94)</f>
        <v/>
      </c>
      <c r="J94" s="36"/>
      <c r="K94" s="37"/>
      <c r="L94" s="38"/>
      <c r="M94" s="22" t="str">
        <f aca="true">IF(OR(A94="",J94="Paid",J94="Written off"),"",TODAY()-A94)</f>
        <v/>
      </c>
      <c r="N94" s="22" t="str">
        <f aca="false">IF(M94="","",IF(M94&gt;OVERDUE_DAYS,"OVERDUE",""))</f>
        <v/>
      </c>
      <c r="O94" s="40" t="str">
        <f aca="false">IF(A94="","",IF(A94&lt;FY_START,0,(YEAR(A94)-YEAR(FY_START))*12+MONTH(A94)-MONTH(FY_START)+1))</f>
        <v/>
      </c>
      <c r="P94" s="40" t="str">
        <f aca="false">IF(A94="","",IF(AND(A94&gt;=VP_START,A94&lt;=VP_END),1,0))</f>
        <v/>
      </c>
    </row>
    <row r="95" customFormat="false" ht="15" hidden="false" customHeight="false" outlineLevel="0" collapsed="false">
      <c r="A95" s="37"/>
      <c r="B95" s="36"/>
      <c r="C95" s="36"/>
      <c r="D95" s="36"/>
      <c r="E95" s="36"/>
      <c r="F95" s="38"/>
      <c r="G95" s="36"/>
      <c r="H95" s="39" t="str">
        <f aca="false">IF(F95="","",IF(G95="Standard 5%",F95*VAT_RATE,0))</f>
        <v/>
      </c>
      <c r="I95" s="39" t="str">
        <f aca="false">IF(F95="","",F95+H95)</f>
        <v/>
      </c>
      <c r="J95" s="36"/>
      <c r="K95" s="37"/>
      <c r="L95" s="38"/>
      <c r="M95" s="22" t="str">
        <f aca="true">IF(OR(A95="",J95="Paid",J95="Written off"),"",TODAY()-A95)</f>
        <v/>
      </c>
      <c r="N95" s="22" t="str">
        <f aca="false">IF(M95="","",IF(M95&gt;OVERDUE_DAYS,"OVERDUE",""))</f>
        <v/>
      </c>
      <c r="O95" s="40" t="str">
        <f aca="false">IF(A95="","",IF(A95&lt;FY_START,0,(YEAR(A95)-YEAR(FY_START))*12+MONTH(A95)-MONTH(FY_START)+1))</f>
        <v/>
      </c>
      <c r="P95" s="40" t="str">
        <f aca="false">IF(A95="","",IF(AND(A95&gt;=VP_START,A95&lt;=VP_END),1,0))</f>
        <v/>
      </c>
    </row>
    <row r="96" customFormat="false" ht="15" hidden="false" customHeight="false" outlineLevel="0" collapsed="false">
      <c r="A96" s="37"/>
      <c r="B96" s="36"/>
      <c r="C96" s="36"/>
      <c r="D96" s="36"/>
      <c r="E96" s="36"/>
      <c r="F96" s="38"/>
      <c r="G96" s="36"/>
      <c r="H96" s="39" t="str">
        <f aca="false">IF(F96="","",IF(G96="Standard 5%",F96*VAT_RATE,0))</f>
        <v/>
      </c>
      <c r="I96" s="39" t="str">
        <f aca="false">IF(F96="","",F96+H96)</f>
        <v/>
      </c>
      <c r="J96" s="36"/>
      <c r="K96" s="37"/>
      <c r="L96" s="38"/>
      <c r="M96" s="22" t="str">
        <f aca="true">IF(OR(A96="",J96="Paid",J96="Written off"),"",TODAY()-A96)</f>
        <v/>
      </c>
      <c r="N96" s="22" t="str">
        <f aca="false">IF(M96="","",IF(M96&gt;OVERDUE_DAYS,"OVERDUE",""))</f>
        <v/>
      </c>
      <c r="O96" s="40" t="str">
        <f aca="false">IF(A96="","",IF(A96&lt;FY_START,0,(YEAR(A96)-YEAR(FY_START))*12+MONTH(A96)-MONTH(FY_START)+1))</f>
        <v/>
      </c>
      <c r="P96" s="40" t="str">
        <f aca="false">IF(A96="","",IF(AND(A96&gt;=VP_START,A96&lt;=VP_END),1,0))</f>
        <v/>
      </c>
    </row>
    <row r="97" customFormat="false" ht="15" hidden="false" customHeight="false" outlineLevel="0" collapsed="false">
      <c r="A97" s="37"/>
      <c r="B97" s="36"/>
      <c r="C97" s="36"/>
      <c r="D97" s="36"/>
      <c r="E97" s="36"/>
      <c r="F97" s="38"/>
      <c r="G97" s="36"/>
      <c r="H97" s="39" t="str">
        <f aca="false">IF(F97="","",IF(G97="Standard 5%",F97*VAT_RATE,0))</f>
        <v/>
      </c>
      <c r="I97" s="39" t="str">
        <f aca="false">IF(F97="","",F97+H97)</f>
        <v/>
      </c>
      <c r="J97" s="36"/>
      <c r="K97" s="37"/>
      <c r="L97" s="38"/>
      <c r="M97" s="22" t="str">
        <f aca="true">IF(OR(A97="",J97="Paid",J97="Written off"),"",TODAY()-A97)</f>
        <v/>
      </c>
      <c r="N97" s="22" t="str">
        <f aca="false">IF(M97="","",IF(M97&gt;OVERDUE_DAYS,"OVERDUE",""))</f>
        <v/>
      </c>
      <c r="O97" s="40" t="str">
        <f aca="false">IF(A97="","",IF(A97&lt;FY_START,0,(YEAR(A97)-YEAR(FY_START))*12+MONTH(A97)-MONTH(FY_START)+1))</f>
        <v/>
      </c>
      <c r="P97" s="40" t="str">
        <f aca="false">IF(A97="","",IF(AND(A97&gt;=VP_START,A97&lt;=VP_END),1,0))</f>
        <v/>
      </c>
    </row>
    <row r="98" customFormat="false" ht="15" hidden="false" customHeight="false" outlineLevel="0" collapsed="false">
      <c r="A98" s="37"/>
      <c r="B98" s="36"/>
      <c r="C98" s="36"/>
      <c r="D98" s="36"/>
      <c r="E98" s="36"/>
      <c r="F98" s="38"/>
      <c r="G98" s="36"/>
      <c r="H98" s="39" t="str">
        <f aca="false">IF(F98="","",IF(G98="Standard 5%",F98*VAT_RATE,0))</f>
        <v/>
      </c>
      <c r="I98" s="39" t="str">
        <f aca="false">IF(F98="","",F98+H98)</f>
        <v/>
      </c>
      <c r="J98" s="36"/>
      <c r="K98" s="37"/>
      <c r="L98" s="38"/>
      <c r="M98" s="22" t="str">
        <f aca="true">IF(OR(A98="",J98="Paid",J98="Written off"),"",TODAY()-A98)</f>
        <v/>
      </c>
      <c r="N98" s="22" t="str">
        <f aca="false">IF(M98="","",IF(M98&gt;OVERDUE_DAYS,"OVERDUE",""))</f>
        <v/>
      </c>
      <c r="O98" s="40" t="str">
        <f aca="false">IF(A98="","",IF(A98&lt;FY_START,0,(YEAR(A98)-YEAR(FY_START))*12+MONTH(A98)-MONTH(FY_START)+1))</f>
        <v/>
      </c>
      <c r="P98" s="40" t="str">
        <f aca="false">IF(A98="","",IF(AND(A98&gt;=VP_START,A98&lt;=VP_END),1,0))</f>
        <v/>
      </c>
    </row>
    <row r="99" customFormat="false" ht="15" hidden="false" customHeight="false" outlineLevel="0" collapsed="false">
      <c r="A99" s="37"/>
      <c r="B99" s="36"/>
      <c r="C99" s="36"/>
      <c r="D99" s="36"/>
      <c r="E99" s="36"/>
      <c r="F99" s="38"/>
      <c r="G99" s="36"/>
      <c r="H99" s="39" t="str">
        <f aca="false">IF(F99="","",IF(G99="Standard 5%",F99*VAT_RATE,0))</f>
        <v/>
      </c>
      <c r="I99" s="39" t="str">
        <f aca="false">IF(F99="","",F99+H99)</f>
        <v/>
      </c>
      <c r="J99" s="36"/>
      <c r="K99" s="37"/>
      <c r="L99" s="38"/>
      <c r="M99" s="22" t="str">
        <f aca="true">IF(OR(A99="",J99="Paid",J99="Written off"),"",TODAY()-A99)</f>
        <v/>
      </c>
      <c r="N99" s="22" t="str">
        <f aca="false">IF(M99="","",IF(M99&gt;OVERDUE_DAYS,"OVERDUE",""))</f>
        <v/>
      </c>
      <c r="O99" s="40" t="str">
        <f aca="false">IF(A99="","",IF(A99&lt;FY_START,0,(YEAR(A99)-YEAR(FY_START))*12+MONTH(A99)-MONTH(FY_START)+1))</f>
        <v/>
      </c>
      <c r="P99" s="40" t="str">
        <f aca="false">IF(A99="","",IF(AND(A99&gt;=VP_START,A99&lt;=VP_END),1,0))</f>
        <v/>
      </c>
    </row>
    <row r="100" customFormat="false" ht="15" hidden="false" customHeight="false" outlineLevel="0" collapsed="false">
      <c r="A100" s="37"/>
      <c r="B100" s="36"/>
      <c r="C100" s="36"/>
      <c r="D100" s="36"/>
      <c r="E100" s="36"/>
      <c r="F100" s="38"/>
      <c r="G100" s="36"/>
      <c r="H100" s="39" t="str">
        <f aca="false">IF(F100="","",IF(G100="Standard 5%",F100*VAT_RATE,0))</f>
        <v/>
      </c>
      <c r="I100" s="39" t="str">
        <f aca="false">IF(F100="","",F100+H100)</f>
        <v/>
      </c>
      <c r="J100" s="36"/>
      <c r="K100" s="37"/>
      <c r="L100" s="38"/>
      <c r="M100" s="22" t="str">
        <f aca="true">IF(OR(A100="",J100="Paid",J100="Written off"),"",TODAY()-A100)</f>
        <v/>
      </c>
      <c r="N100" s="22" t="str">
        <f aca="false">IF(M100="","",IF(M100&gt;OVERDUE_DAYS,"OVERDUE",""))</f>
        <v/>
      </c>
      <c r="O100" s="40" t="str">
        <f aca="false">IF(A100="","",IF(A100&lt;FY_START,0,(YEAR(A100)-YEAR(FY_START))*12+MONTH(A100)-MONTH(FY_START)+1))</f>
        <v/>
      </c>
      <c r="P100" s="40" t="str">
        <f aca="false">IF(A100="","",IF(AND(A100&gt;=VP_START,A100&lt;=VP_END),1,0))</f>
        <v/>
      </c>
    </row>
    <row r="101" customFormat="false" ht="15" hidden="false" customHeight="false" outlineLevel="0" collapsed="false">
      <c r="A101" s="37"/>
      <c r="B101" s="36"/>
      <c r="C101" s="36"/>
      <c r="D101" s="36"/>
      <c r="E101" s="36"/>
      <c r="F101" s="38"/>
      <c r="G101" s="36"/>
      <c r="H101" s="39" t="str">
        <f aca="false">IF(F101="","",IF(G101="Standard 5%",F101*VAT_RATE,0))</f>
        <v/>
      </c>
      <c r="I101" s="39" t="str">
        <f aca="false">IF(F101="","",F101+H101)</f>
        <v/>
      </c>
      <c r="J101" s="36"/>
      <c r="K101" s="37"/>
      <c r="L101" s="38"/>
      <c r="M101" s="22" t="str">
        <f aca="true">IF(OR(A101="",J101="Paid",J101="Written off"),"",TODAY()-A101)</f>
        <v/>
      </c>
      <c r="N101" s="22" t="str">
        <f aca="false">IF(M101="","",IF(M101&gt;OVERDUE_DAYS,"OVERDUE",""))</f>
        <v/>
      </c>
      <c r="O101" s="40" t="str">
        <f aca="false">IF(A101="","",IF(A101&lt;FY_START,0,(YEAR(A101)-YEAR(FY_START))*12+MONTH(A101)-MONTH(FY_START)+1))</f>
        <v/>
      </c>
      <c r="P101" s="40" t="str">
        <f aca="false">IF(A101="","",IF(AND(A101&gt;=VP_START,A101&lt;=VP_END),1,0))</f>
        <v/>
      </c>
    </row>
    <row r="102" customFormat="false" ht="15" hidden="false" customHeight="false" outlineLevel="0" collapsed="false">
      <c r="A102" s="37"/>
      <c r="B102" s="36"/>
      <c r="C102" s="36"/>
      <c r="D102" s="36"/>
      <c r="E102" s="36"/>
      <c r="F102" s="38"/>
      <c r="G102" s="36"/>
      <c r="H102" s="39" t="str">
        <f aca="false">IF(F102="","",IF(G102="Standard 5%",F102*VAT_RATE,0))</f>
        <v/>
      </c>
      <c r="I102" s="39" t="str">
        <f aca="false">IF(F102="","",F102+H102)</f>
        <v/>
      </c>
      <c r="J102" s="36"/>
      <c r="K102" s="37"/>
      <c r="L102" s="38"/>
      <c r="M102" s="22" t="str">
        <f aca="true">IF(OR(A102="",J102="Paid",J102="Written off"),"",TODAY()-A102)</f>
        <v/>
      </c>
      <c r="N102" s="22" t="str">
        <f aca="false">IF(M102="","",IF(M102&gt;OVERDUE_DAYS,"OVERDUE",""))</f>
        <v/>
      </c>
      <c r="O102" s="40" t="str">
        <f aca="false">IF(A102="","",IF(A102&lt;FY_START,0,(YEAR(A102)-YEAR(FY_START))*12+MONTH(A102)-MONTH(FY_START)+1))</f>
        <v/>
      </c>
      <c r="P102" s="40" t="str">
        <f aca="false">IF(A102="","",IF(AND(A102&gt;=VP_START,A102&lt;=VP_END),1,0))</f>
        <v/>
      </c>
    </row>
    <row r="103" customFormat="false" ht="15" hidden="false" customHeight="false" outlineLevel="0" collapsed="false">
      <c r="A103" s="37"/>
      <c r="B103" s="36"/>
      <c r="C103" s="36"/>
      <c r="D103" s="36"/>
      <c r="E103" s="36"/>
      <c r="F103" s="38"/>
      <c r="G103" s="36"/>
      <c r="H103" s="39" t="str">
        <f aca="false">IF(F103="","",IF(G103="Standard 5%",F103*VAT_RATE,0))</f>
        <v/>
      </c>
      <c r="I103" s="39" t="str">
        <f aca="false">IF(F103="","",F103+H103)</f>
        <v/>
      </c>
      <c r="J103" s="36"/>
      <c r="K103" s="37"/>
      <c r="L103" s="38"/>
      <c r="M103" s="22" t="str">
        <f aca="true">IF(OR(A103="",J103="Paid",J103="Written off"),"",TODAY()-A103)</f>
        <v/>
      </c>
      <c r="N103" s="22" t="str">
        <f aca="false">IF(M103="","",IF(M103&gt;OVERDUE_DAYS,"OVERDUE",""))</f>
        <v/>
      </c>
      <c r="O103" s="40" t="str">
        <f aca="false">IF(A103="","",IF(A103&lt;FY_START,0,(YEAR(A103)-YEAR(FY_START))*12+MONTH(A103)-MONTH(FY_START)+1))</f>
        <v/>
      </c>
      <c r="P103" s="40" t="str">
        <f aca="false">IF(A103="","",IF(AND(A103&gt;=VP_START,A103&lt;=VP_END),1,0))</f>
        <v/>
      </c>
    </row>
    <row r="104" customFormat="false" ht="15" hidden="false" customHeight="false" outlineLevel="0" collapsed="false">
      <c r="A104" s="37"/>
      <c r="B104" s="36"/>
      <c r="C104" s="36"/>
      <c r="D104" s="36"/>
      <c r="E104" s="36"/>
      <c r="F104" s="38"/>
      <c r="G104" s="36"/>
      <c r="H104" s="39" t="str">
        <f aca="false">IF(F104="","",IF(G104="Standard 5%",F104*VAT_RATE,0))</f>
        <v/>
      </c>
      <c r="I104" s="39" t="str">
        <f aca="false">IF(F104="","",F104+H104)</f>
        <v/>
      </c>
      <c r="J104" s="36"/>
      <c r="K104" s="37"/>
      <c r="L104" s="38"/>
      <c r="M104" s="22" t="str">
        <f aca="true">IF(OR(A104="",J104="Paid",J104="Written off"),"",TODAY()-A104)</f>
        <v/>
      </c>
      <c r="N104" s="22" t="str">
        <f aca="false">IF(M104="","",IF(M104&gt;OVERDUE_DAYS,"OVERDUE",""))</f>
        <v/>
      </c>
      <c r="O104" s="40" t="str">
        <f aca="false">IF(A104="","",IF(A104&lt;FY_START,0,(YEAR(A104)-YEAR(FY_START))*12+MONTH(A104)-MONTH(FY_START)+1))</f>
        <v/>
      </c>
      <c r="P104" s="40" t="str">
        <f aca="false">IF(A104="","",IF(AND(A104&gt;=VP_START,A104&lt;=VP_END),1,0))</f>
        <v/>
      </c>
    </row>
    <row r="105" customFormat="false" ht="15" hidden="false" customHeight="false" outlineLevel="0" collapsed="false">
      <c r="A105" s="37"/>
      <c r="B105" s="36"/>
      <c r="C105" s="36"/>
      <c r="D105" s="36"/>
      <c r="E105" s="36"/>
      <c r="F105" s="38"/>
      <c r="G105" s="36"/>
      <c r="H105" s="39" t="str">
        <f aca="false">IF(F105="","",IF(G105="Standard 5%",F105*VAT_RATE,0))</f>
        <v/>
      </c>
      <c r="I105" s="39" t="str">
        <f aca="false">IF(F105="","",F105+H105)</f>
        <v/>
      </c>
      <c r="J105" s="36"/>
      <c r="K105" s="37"/>
      <c r="L105" s="38"/>
      <c r="M105" s="22" t="str">
        <f aca="true">IF(OR(A105="",J105="Paid",J105="Written off"),"",TODAY()-A105)</f>
        <v/>
      </c>
      <c r="N105" s="22" t="str">
        <f aca="false">IF(M105="","",IF(M105&gt;OVERDUE_DAYS,"OVERDUE",""))</f>
        <v/>
      </c>
      <c r="O105" s="40" t="str">
        <f aca="false">IF(A105="","",IF(A105&lt;FY_START,0,(YEAR(A105)-YEAR(FY_START))*12+MONTH(A105)-MONTH(FY_START)+1))</f>
        <v/>
      </c>
      <c r="P105" s="40" t="str">
        <f aca="false">IF(A105="","",IF(AND(A105&gt;=VP_START,A105&lt;=VP_END),1,0))</f>
        <v/>
      </c>
    </row>
    <row r="106" customFormat="false" ht="15" hidden="false" customHeight="false" outlineLevel="0" collapsed="false">
      <c r="A106" s="37"/>
      <c r="B106" s="36"/>
      <c r="C106" s="36"/>
      <c r="D106" s="36"/>
      <c r="E106" s="36"/>
      <c r="F106" s="38"/>
      <c r="G106" s="36"/>
      <c r="H106" s="39" t="str">
        <f aca="false">IF(F106="","",IF(G106="Standard 5%",F106*VAT_RATE,0))</f>
        <v/>
      </c>
      <c r="I106" s="39" t="str">
        <f aca="false">IF(F106="","",F106+H106)</f>
        <v/>
      </c>
      <c r="J106" s="36"/>
      <c r="K106" s="37"/>
      <c r="L106" s="38"/>
      <c r="M106" s="22" t="str">
        <f aca="true">IF(OR(A106="",J106="Paid",J106="Written off"),"",TODAY()-A106)</f>
        <v/>
      </c>
      <c r="N106" s="22" t="str">
        <f aca="false">IF(M106="","",IF(M106&gt;OVERDUE_DAYS,"OVERDUE",""))</f>
        <v/>
      </c>
      <c r="O106" s="40" t="str">
        <f aca="false">IF(A106="","",IF(A106&lt;FY_START,0,(YEAR(A106)-YEAR(FY_START))*12+MONTH(A106)-MONTH(FY_START)+1))</f>
        <v/>
      </c>
      <c r="P106" s="40" t="str">
        <f aca="false">IF(A106="","",IF(AND(A106&gt;=VP_START,A106&lt;=VP_END),1,0))</f>
        <v/>
      </c>
    </row>
    <row r="107" customFormat="false" ht="15" hidden="false" customHeight="false" outlineLevel="0" collapsed="false">
      <c r="A107" s="37"/>
      <c r="B107" s="36"/>
      <c r="C107" s="36"/>
      <c r="D107" s="36"/>
      <c r="E107" s="36"/>
      <c r="F107" s="38"/>
      <c r="G107" s="36"/>
      <c r="H107" s="39" t="str">
        <f aca="false">IF(F107="","",IF(G107="Standard 5%",F107*VAT_RATE,0))</f>
        <v/>
      </c>
      <c r="I107" s="39" t="str">
        <f aca="false">IF(F107="","",F107+H107)</f>
        <v/>
      </c>
      <c r="J107" s="36"/>
      <c r="K107" s="37"/>
      <c r="L107" s="38"/>
      <c r="M107" s="22" t="str">
        <f aca="true">IF(OR(A107="",J107="Paid",J107="Written off"),"",TODAY()-A107)</f>
        <v/>
      </c>
      <c r="N107" s="22" t="str">
        <f aca="false">IF(M107="","",IF(M107&gt;OVERDUE_DAYS,"OVERDUE",""))</f>
        <v/>
      </c>
      <c r="O107" s="40" t="str">
        <f aca="false">IF(A107="","",IF(A107&lt;FY_START,0,(YEAR(A107)-YEAR(FY_START))*12+MONTH(A107)-MONTH(FY_START)+1))</f>
        <v/>
      </c>
      <c r="P107" s="40" t="str">
        <f aca="false">IF(A107="","",IF(AND(A107&gt;=VP_START,A107&lt;=VP_END),1,0))</f>
        <v/>
      </c>
    </row>
    <row r="108" customFormat="false" ht="15" hidden="false" customHeight="false" outlineLevel="0" collapsed="false">
      <c r="A108" s="37"/>
      <c r="B108" s="36"/>
      <c r="C108" s="36"/>
      <c r="D108" s="36"/>
      <c r="E108" s="36"/>
      <c r="F108" s="38"/>
      <c r="G108" s="36"/>
      <c r="H108" s="39" t="str">
        <f aca="false">IF(F108="","",IF(G108="Standard 5%",F108*VAT_RATE,0))</f>
        <v/>
      </c>
      <c r="I108" s="39" t="str">
        <f aca="false">IF(F108="","",F108+H108)</f>
        <v/>
      </c>
      <c r="J108" s="36"/>
      <c r="K108" s="37"/>
      <c r="L108" s="38"/>
      <c r="M108" s="22" t="str">
        <f aca="true">IF(OR(A108="",J108="Paid",J108="Written off"),"",TODAY()-A108)</f>
        <v/>
      </c>
      <c r="N108" s="22" t="str">
        <f aca="false">IF(M108="","",IF(M108&gt;OVERDUE_DAYS,"OVERDUE",""))</f>
        <v/>
      </c>
      <c r="O108" s="40" t="str">
        <f aca="false">IF(A108="","",IF(A108&lt;FY_START,0,(YEAR(A108)-YEAR(FY_START))*12+MONTH(A108)-MONTH(FY_START)+1))</f>
        <v/>
      </c>
      <c r="P108" s="40" t="str">
        <f aca="false">IF(A108="","",IF(AND(A108&gt;=VP_START,A108&lt;=VP_END),1,0))</f>
        <v/>
      </c>
    </row>
    <row r="109" customFormat="false" ht="15" hidden="false" customHeight="false" outlineLevel="0" collapsed="false">
      <c r="A109" s="37"/>
      <c r="B109" s="36"/>
      <c r="C109" s="36"/>
      <c r="D109" s="36"/>
      <c r="E109" s="36"/>
      <c r="F109" s="38"/>
      <c r="G109" s="36"/>
      <c r="H109" s="39" t="str">
        <f aca="false">IF(F109="","",IF(G109="Standard 5%",F109*VAT_RATE,0))</f>
        <v/>
      </c>
      <c r="I109" s="39" t="str">
        <f aca="false">IF(F109="","",F109+H109)</f>
        <v/>
      </c>
      <c r="J109" s="36"/>
      <c r="K109" s="37"/>
      <c r="L109" s="38"/>
      <c r="M109" s="22" t="str">
        <f aca="true">IF(OR(A109="",J109="Paid",J109="Written off"),"",TODAY()-A109)</f>
        <v/>
      </c>
      <c r="N109" s="22" t="str">
        <f aca="false">IF(M109="","",IF(M109&gt;OVERDUE_DAYS,"OVERDUE",""))</f>
        <v/>
      </c>
      <c r="O109" s="40" t="str">
        <f aca="false">IF(A109="","",IF(A109&lt;FY_START,0,(YEAR(A109)-YEAR(FY_START))*12+MONTH(A109)-MONTH(FY_START)+1))</f>
        <v/>
      </c>
      <c r="P109" s="40" t="str">
        <f aca="false">IF(A109="","",IF(AND(A109&gt;=VP_START,A109&lt;=VP_END),1,0))</f>
        <v/>
      </c>
    </row>
    <row r="110" customFormat="false" ht="15" hidden="false" customHeight="false" outlineLevel="0" collapsed="false">
      <c r="A110" s="37"/>
      <c r="B110" s="36"/>
      <c r="C110" s="36"/>
      <c r="D110" s="36"/>
      <c r="E110" s="36"/>
      <c r="F110" s="38"/>
      <c r="G110" s="36"/>
      <c r="H110" s="39" t="str">
        <f aca="false">IF(F110="","",IF(G110="Standard 5%",F110*VAT_RATE,0))</f>
        <v/>
      </c>
      <c r="I110" s="39" t="str">
        <f aca="false">IF(F110="","",F110+H110)</f>
        <v/>
      </c>
      <c r="J110" s="36"/>
      <c r="K110" s="37"/>
      <c r="L110" s="38"/>
      <c r="M110" s="22" t="str">
        <f aca="true">IF(OR(A110="",J110="Paid",J110="Written off"),"",TODAY()-A110)</f>
        <v/>
      </c>
      <c r="N110" s="22" t="str">
        <f aca="false">IF(M110="","",IF(M110&gt;OVERDUE_DAYS,"OVERDUE",""))</f>
        <v/>
      </c>
      <c r="O110" s="40" t="str">
        <f aca="false">IF(A110="","",IF(A110&lt;FY_START,0,(YEAR(A110)-YEAR(FY_START))*12+MONTH(A110)-MONTH(FY_START)+1))</f>
        <v/>
      </c>
      <c r="P110" s="40" t="str">
        <f aca="false">IF(A110="","",IF(AND(A110&gt;=VP_START,A110&lt;=VP_END),1,0))</f>
        <v/>
      </c>
    </row>
    <row r="111" customFormat="false" ht="15" hidden="false" customHeight="false" outlineLevel="0" collapsed="false">
      <c r="A111" s="37"/>
      <c r="B111" s="36"/>
      <c r="C111" s="36"/>
      <c r="D111" s="36"/>
      <c r="E111" s="36"/>
      <c r="F111" s="38"/>
      <c r="G111" s="36"/>
      <c r="H111" s="39" t="str">
        <f aca="false">IF(F111="","",IF(G111="Standard 5%",F111*VAT_RATE,0))</f>
        <v/>
      </c>
      <c r="I111" s="39" t="str">
        <f aca="false">IF(F111="","",F111+H111)</f>
        <v/>
      </c>
      <c r="J111" s="36"/>
      <c r="K111" s="37"/>
      <c r="L111" s="38"/>
      <c r="M111" s="22" t="str">
        <f aca="true">IF(OR(A111="",J111="Paid",J111="Written off"),"",TODAY()-A111)</f>
        <v/>
      </c>
      <c r="N111" s="22" t="str">
        <f aca="false">IF(M111="","",IF(M111&gt;OVERDUE_DAYS,"OVERDUE",""))</f>
        <v/>
      </c>
      <c r="O111" s="40" t="str">
        <f aca="false">IF(A111="","",IF(A111&lt;FY_START,0,(YEAR(A111)-YEAR(FY_START))*12+MONTH(A111)-MONTH(FY_START)+1))</f>
        <v/>
      </c>
      <c r="P111" s="40" t="str">
        <f aca="false">IF(A111="","",IF(AND(A111&gt;=VP_START,A111&lt;=VP_END),1,0))</f>
        <v/>
      </c>
    </row>
    <row r="112" customFormat="false" ht="15" hidden="false" customHeight="false" outlineLevel="0" collapsed="false">
      <c r="A112" s="37"/>
      <c r="B112" s="36"/>
      <c r="C112" s="36"/>
      <c r="D112" s="36"/>
      <c r="E112" s="36"/>
      <c r="F112" s="38"/>
      <c r="G112" s="36"/>
      <c r="H112" s="39" t="str">
        <f aca="false">IF(F112="","",IF(G112="Standard 5%",F112*VAT_RATE,0))</f>
        <v/>
      </c>
      <c r="I112" s="39" t="str">
        <f aca="false">IF(F112="","",F112+H112)</f>
        <v/>
      </c>
      <c r="J112" s="36"/>
      <c r="K112" s="37"/>
      <c r="L112" s="38"/>
      <c r="M112" s="22" t="str">
        <f aca="true">IF(OR(A112="",J112="Paid",J112="Written off"),"",TODAY()-A112)</f>
        <v/>
      </c>
      <c r="N112" s="22" t="str">
        <f aca="false">IF(M112="","",IF(M112&gt;OVERDUE_DAYS,"OVERDUE",""))</f>
        <v/>
      </c>
      <c r="O112" s="40" t="str">
        <f aca="false">IF(A112="","",IF(A112&lt;FY_START,0,(YEAR(A112)-YEAR(FY_START))*12+MONTH(A112)-MONTH(FY_START)+1))</f>
        <v/>
      </c>
      <c r="P112" s="40" t="str">
        <f aca="false">IF(A112="","",IF(AND(A112&gt;=VP_START,A112&lt;=VP_END),1,0))</f>
        <v/>
      </c>
    </row>
    <row r="113" customFormat="false" ht="15" hidden="false" customHeight="false" outlineLevel="0" collapsed="false">
      <c r="A113" s="37"/>
      <c r="B113" s="36"/>
      <c r="C113" s="36"/>
      <c r="D113" s="36"/>
      <c r="E113" s="36"/>
      <c r="F113" s="38"/>
      <c r="G113" s="36"/>
      <c r="H113" s="39" t="str">
        <f aca="false">IF(F113="","",IF(G113="Standard 5%",F113*VAT_RATE,0))</f>
        <v/>
      </c>
      <c r="I113" s="39" t="str">
        <f aca="false">IF(F113="","",F113+H113)</f>
        <v/>
      </c>
      <c r="J113" s="36"/>
      <c r="K113" s="37"/>
      <c r="L113" s="38"/>
      <c r="M113" s="22" t="str">
        <f aca="true">IF(OR(A113="",J113="Paid",J113="Written off"),"",TODAY()-A113)</f>
        <v/>
      </c>
      <c r="N113" s="22" t="str">
        <f aca="false">IF(M113="","",IF(M113&gt;OVERDUE_DAYS,"OVERDUE",""))</f>
        <v/>
      </c>
      <c r="O113" s="40" t="str">
        <f aca="false">IF(A113="","",IF(A113&lt;FY_START,0,(YEAR(A113)-YEAR(FY_START))*12+MONTH(A113)-MONTH(FY_START)+1))</f>
        <v/>
      </c>
      <c r="P113" s="40" t="str">
        <f aca="false">IF(A113="","",IF(AND(A113&gt;=VP_START,A113&lt;=VP_END),1,0))</f>
        <v/>
      </c>
    </row>
    <row r="114" customFormat="false" ht="15" hidden="false" customHeight="false" outlineLevel="0" collapsed="false">
      <c r="A114" s="37"/>
      <c r="B114" s="36"/>
      <c r="C114" s="36"/>
      <c r="D114" s="36"/>
      <c r="E114" s="36"/>
      <c r="F114" s="38"/>
      <c r="G114" s="36"/>
      <c r="H114" s="39" t="str">
        <f aca="false">IF(F114="","",IF(G114="Standard 5%",F114*VAT_RATE,0))</f>
        <v/>
      </c>
      <c r="I114" s="39" t="str">
        <f aca="false">IF(F114="","",F114+H114)</f>
        <v/>
      </c>
      <c r="J114" s="36"/>
      <c r="K114" s="37"/>
      <c r="L114" s="38"/>
      <c r="M114" s="22" t="str">
        <f aca="true">IF(OR(A114="",J114="Paid",J114="Written off"),"",TODAY()-A114)</f>
        <v/>
      </c>
      <c r="N114" s="22" t="str">
        <f aca="false">IF(M114="","",IF(M114&gt;OVERDUE_DAYS,"OVERDUE",""))</f>
        <v/>
      </c>
      <c r="O114" s="40" t="str">
        <f aca="false">IF(A114="","",IF(A114&lt;FY_START,0,(YEAR(A114)-YEAR(FY_START))*12+MONTH(A114)-MONTH(FY_START)+1))</f>
        <v/>
      </c>
      <c r="P114" s="40" t="str">
        <f aca="false">IF(A114="","",IF(AND(A114&gt;=VP_START,A114&lt;=VP_END),1,0))</f>
        <v/>
      </c>
    </row>
    <row r="115" customFormat="false" ht="15" hidden="false" customHeight="false" outlineLevel="0" collapsed="false">
      <c r="A115" s="37"/>
      <c r="B115" s="36"/>
      <c r="C115" s="36"/>
      <c r="D115" s="36"/>
      <c r="E115" s="36"/>
      <c r="F115" s="38"/>
      <c r="G115" s="36"/>
      <c r="H115" s="39" t="str">
        <f aca="false">IF(F115="","",IF(G115="Standard 5%",F115*VAT_RATE,0))</f>
        <v/>
      </c>
      <c r="I115" s="39" t="str">
        <f aca="false">IF(F115="","",F115+H115)</f>
        <v/>
      </c>
      <c r="J115" s="36"/>
      <c r="K115" s="37"/>
      <c r="L115" s="38"/>
      <c r="M115" s="22" t="str">
        <f aca="true">IF(OR(A115="",J115="Paid",J115="Written off"),"",TODAY()-A115)</f>
        <v/>
      </c>
      <c r="N115" s="22" t="str">
        <f aca="false">IF(M115="","",IF(M115&gt;OVERDUE_DAYS,"OVERDUE",""))</f>
        <v/>
      </c>
      <c r="O115" s="40" t="str">
        <f aca="false">IF(A115="","",IF(A115&lt;FY_START,0,(YEAR(A115)-YEAR(FY_START))*12+MONTH(A115)-MONTH(FY_START)+1))</f>
        <v/>
      </c>
      <c r="P115" s="40" t="str">
        <f aca="false">IF(A115="","",IF(AND(A115&gt;=VP_START,A115&lt;=VP_END),1,0))</f>
        <v/>
      </c>
    </row>
    <row r="116" customFormat="false" ht="15" hidden="false" customHeight="false" outlineLevel="0" collapsed="false">
      <c r="A116" s="37"/>
      <c r="B116" s="36"/>
      <c r="C116" s="36"/>
      <c r="D116" s="36"/>
      <c r="E116" s="36"/>
      <c r="F116" s="38"/>
      <c r="G116" s="36"/>
      <c r="H116" s="39" t="str">
        <f aca="false">IF(F116="","",IF(G116="Standard 5%",F116*VAT_RATE,0))</f>
        <v/>
      </c>
      <c r="I116" s="39" t="str">
        <f aca="false">IF(F116="","",F116+H116)</f>
        <v/>
      </c>
      <c r="J116" s="36"/>
      <c r="K116" s="37"/>
      <c r="L116" s="38"/>
      <c r="M116" s="22" t="str">
        <f aca="true">IF(OR(A116="",J116="Paid",J116="Written off"),"",TODAY()-A116)</f>
        <v/>
      </c>
      <c r="N116" s="22" t="str">
        <f aca="false">IF(M116="","",IF(M116&gt;OVERDUE_DAYS,"OVERDUE",""))</f>
        <v/>
      </c>
      <c r="O116" s="40" t="str">
        <f aca="false">IF(A116="","",IF(A116&lt;FY_START,0,(YEAR(A116)-YEAR(FY_START))*12+MONTH(A116)-MONTH(FY_START)+1))</f>
        <v/>
      </c>
      <c r="P116" s="40" t="str">
        <f aca="false">IF(A116="","",IF(AND(A116&gt;=VP_START,A116&lt;=VP_END),1,0))</f>
        <v/>
      </c>
    </row>
    <row r="117" customFormat="false" ht="15" hidden="false" customHeight="false" outlineLevel="0" collapsed="false">
      <c r="A117" s="37"/>
      <c r="B117" s="36"/>
      <c r="C117" s="36"/>
      <c r="D117" s="36"/>
      <c r="E117" s="36"/>
      <c r="F117" s="38"/>
      <c r="G117" s="36"/>
      <c r="H117" s="39" t="str">
        <f aca="false">IF(F117="","",IF(G117="Standard 5%",F117*VAT_RATE,0))</f>
        <v/>
      </c>
      <c r="I117" s="39" t="str">
        <f aca="false">IF(F117="","",F117+H117)</f>
        <v/>
      </c>
      <c r="J117" s="36"/>
      <c r="K117" s="37"/>
      <c r="L117" s="38"/>
      <c r="M117" s="22" t="str">
        <f aca="true">IF(OR(A117="",J117="Paid",J117="Written off"),"",TODAY()-A117)</f>
        <v/>
      </c>
      <c r="N117" s="22" t="str">
        <f aca="false">IF(M117="","",IF(M117&gt;OVERDUE_DAYS,"OVERDUE",""))</f>
        <v/>
      </c>
      <c r="O117" s="40" t="str">
        <f aca="false">IF(A117="","",IF(A117&lt;FY_START,0,(YEAR(A117)-YEAR(FY_START))*12+MONTH(A117)-MONTH(FY_START)+1))</f>
        <v/>
      </c>
      <c r="P117" s="40" t="str">
        <f aca="false">IF(A117="","",IF(AND(A117&gt;=VP_START,A117&lt;=VP_END),1,0))</f>
        <v/>
      </c>
    </row>
    <row r="118" customFormat="false" ht="15" hidden="false" customHeight="false" outlineLevel="0" collapsed="false">
      <c r="A118" s="37"/>
      <c r="B118" s="36"/>
      <c r="C118" s="36"/>
      <c r="D118" s="36"/>
      <c r="E118" s="36"/>
      <c r="F118" s="38"/>
      <c r="G118" s="36"/>
      <c r="H118" s="39" t="str">
        <f aca="false">IF(F118="","",IF(G118="Standard 5%",F118*VAT_RATE,0))</f>
        <v/>
      </c>
      <c r="I118" s="39" t="str">
        <f aca="false">IF(F118="","",F118+H118)</f>
        <v/>
      </c>
      <c r="J118" s="36"/>
      <c r="K118" s="37"/>
      <c r="L118" s="38"/>
      <c r="M118" s="22" t="str">
        <f aca="true">IF(OR(A118="",J118="Paid",J118="Written off"),"",TODAY()-A118)</f>
        <v/>
      </c>
      <c r="N118" s="22" t="str">
        <f aca="false">IF(M118="","",IF(M118&gt;OVERDUE_DAYS,"OVERDUE",""))</f>
        <v/>
      </c>
      <c r="O118" s="40" t="str">
        <f aca="false">IF(A118="","",IF(A118&lt;FY_START,0,(YEAR(A118)-YEAR(FY_START))*12+MONTH(A118)-MONTH(FY_START)+1))</f>
        <v/>
      </c>
      <c r="P118" s="40" t="str">
        <f aca="false">IF(A118="","",IF(AND(A118&gt;=VP_START,A118&lt;=VP_END),1,0))</f>
        <v/>
      </c>
    </row>
    <row r="119" customFormat="false" ht="15" hidden="false" customHeight="false" outlineLevel="0" collapsed="false">
      <c r="A119" s="37"/>
      <c r="B119" s="36"/>
      <c r="C119" s="36"/>
      <c r="D119" s="36"/>
      <c r="E119" s="36"/>
      <c r="F119" s="38"/>
      <c r="G119" s="36"/>
      <c r="H119" s="39" t="str">
        <f aca="false">IF(F119="","",IF(G119="Standard 5%",F119*VAT_RATE,0))</f>
        <v/>
      </c>
      <c r="I119" s="39" t="str">
        <f aca="false">IF(F119="","",F119+H119)</f>
        <v/>
      </c>
      <c r="J119" s="36"/>
      <c r="K119" s="37"/>
      <c r="L119" s="38"/>
      <c r="M119" s="22" t="str">
        <f aca="true">IF(OR(A119="",J119="Paid",J119="Written off"),"",TODAY()-A119)</f>
        <v/>
      </c>
      <c r="N119" s="22" t="str">
        <f aca="false">IF(M119="","",IF(M119&gt;OVERDUE_DAYS,"OVERDUE",""))</f>
        <v/>
      </c>
      <c r="O119" s="40" t="str">
        <f aca="false">IF(A119="","",IF(A119&lt;FY_START,0,(YEAR(A119)-YEAR(FY_START))*12+MONTH(A119)-MONTH(FY_START)+1))</f>
        <v/>
      </c>
      <c r="P119" s="40" t="str">
        <f aca="false">IF(A119="","",IF(AND(A119&gt;=VP_START,A119&lt;=VP_END),1,0))</f>
        <v/>
      </c>
    </row>
    <row r="120" customFormat="false" ht="15" hidden="false" customHeight="false" outlineLevel="0" collapsed="false">
      <c r="A120" s="37"/>
      <c r="B120" s="36"/>
      <c r="C120" s="36"/>
      <c r="D120" s="36"/>
      <c r="E120" s="36"/>
      <c r="F120" s="38"/>
      <c r="G120" s="36"/>
      <c r="H120" s="39" t="str">
        <f aca="false">IF(F120="","",IF(G120="Standard 5%",F120*VAT_RATE,0))</f>
        <v/>
      </c>
      <c r="I120" s="39" t="str">
        <f aca="false">IF(F120="","",F120+H120)</f>
        <v/>
      </c>
      <c r="J120" s="36"/>
      <c r="K120" s="37"/>
      <c r="L120" s="38"/>
      <c r="M120" s="22" t="str">
        <f aca="true">IF(OR(A120="",J120="Paid",J120="Written off"),"",TODAY()-A120)</f>
        <v/>
      </c>
      <c r="N120" s="22" t="str">
        <f aca="false">IF(M120="","",IF(M120&gt;OVERDUE_DAYS,"OVERDUE",""))</f>
        <v/>
      </c>
      <c r="O120" s="40" t="str">
        <f aca="false">IF(A120="","",IF(A120&lt;FY_START,0,(YEAR(A120)-YEAR(FY_START))*12+MONTH(A120)-MONTH(FY_START)+1))</f>
        <v/>
      </c>
      <c r="P120" s="40" t="str">
        <f aca="false">IF(A120="","",IF(AND(A120&gt;=VP_START,A120&lt;=VP_END),1,0))</f>
        <v/>
      </c>
    </row>
    <row r="121" customFormat="false" ht="15" hidden="false" customHeight="false" outlineLevel="0" collapsed="false">
      <c r="A121" s="37"/>
      <c r="B121" s="36"/>
      <c r="C121" s="36"/>
      <c r="D121" s="36"/>
      <c r="E121" s="36"/>
      <c r="F121" s="38"/>
      <c r="G121" s="36"/>
      <c r="H121" s="39" t="str">
        <f aca="false">IF(F121="","",IF(G121="Standard 5%",F121*VAT_RATE,0))</f>
        <v/>
      </c>
      <c r="I121" s="39" t="str">
        <f aca="false">IF(F121="","",F121+H121)</f>
        <v/>
      </c>
      <c r="J121" s="36"/>
      <c r="K121" s="37"/>
      <c r="L121" s="38"/>
      <c r="M121" s="22" t="str">
        <f aca="true">IF(OR(A121="",J121="Paid",J121="Written off"),"",TODAY()-A121)</f>
        <v/>
      </c>
      <c r="N121" s="22" t="str">
        <f aca="false">IF(M121="","",IF(M121&gt;OVERDUE_DAYS,"OVERDUE",""))</f>
        <v/>
      </c>
      <c r="O121" s="40" t="str">
        <f aca="false">IF(A121="","",IF(A121&lt;FY_START,0,(YEAR(A121)-YEAR(FY_START))*12+MONTH(A121)-MONTH(FY_START)+1))</f>
        <v/>
      </c>
      <c r="P121" s="40" t="str">
        <f aca="false">IF(A121="","",IF(AND(A121&gt;=VP_START,A121&lt;=VP_END),1,0))</f>
        <v/>
      </c>
    </row>
    <row r="122" customFormat="false" ht="15" hidden="false" customHeight="false" outlineLevel="0" collapsed="false">
      <c r="A122" s="37"/>
      <c r="B122" s="36"/>
      <c r="C122" s="36"/>
      <c r="D122" s="36"/>
      <c r="E122" s="36"/>
      <c r="F122" s="38"/>
      <c r="G122" s="36"/>
      <c r="H122" s="39" t="str">
        <f aca="false">IF(F122="","",IF(G122="Standard 5%",F122*VAT_RATE,0))</f>
        <v/>
      </c>
      <c r="I122" s="39" t="str">
        <f aca="false">IF(F122="","",F122+H122)</f>
        <v/>
      </c>
      <c r="J122" s="36"/>
      <c r="K122" s="37"/>
      <c r="L122" s="38"/>
      <c r="M122" s="22" t="str">
        <f aca="true">IF(OR(A122="",J122="Paid",J122="Written off"),"",TODAY()-A122)</f>
        <v/>
      </c>
      <c r="N122" s="22" t="str">
        <f aca="false">IF(M122="","",IF(M122&gt;OVERDUE_DAYS,"OVERDUE",""))</f>
        <v/>
      </c>
      <c r="O122" s="40" t="str">
        <f aca="false">IF(A122="","",IF(A122&lt;FY_START,0,(YEAR(A122)-YEAR(FY_START))*12+MONTH(A122)-MONTH(FY_START)+1))</f>
        <v/>
      </c>
      <c r="P122" s="40" t="str">
        <f aca="false">IF(A122="","",IF(AND(A122&gt;=VP_START,A122&lt;=VP_END),1,0))</f>
        <v/>
      </c>
    </row>
    <row r="123" customFormat="false" ht="15" hidden="false" customHeight="false" outlineLevel="0" collapsed="false">
      <c r="A123" s="37"/>
      <c r="B123" s="36"/>
      <c r="C123" s="36"/>
      <c r="D123" s="36"/>
      <c r="E123" s="36"/>
      <c r="F123" s="38"/>
      <c r="G123" s="36"/>
      <c r="H123" s="39" t="str">
        <f aca="false">IF(F123="","",IF(G123="Standard 5%",F123*VAT_RATE,0))</f>
        <v/>
      </c>
      <c r="I123" s="39" t="str">
        <f aca="false">IF(F123="","",F123+H123)</f>
        <v/>
      </c>
      <c r="J123" s="36"/>
      <c r="K123" s="37"/>
      <c r="L123" s="38"/>
      <c r="M123" s="22" t="str">
        <f aca="true">IF(OR(A123="",J123="Paid",J123="Written off"),"",TODAY()-A123)</f>
        <v/>
      </c>
      <c r="N123" s="22" t="str">
        <f aca="false">IF(M123="","",IF(M123&gt;OVERDUE_DAYS,"OVERDUE",""))</f>
        <v/>
      </c>
      <c r="O123" s="40" t="str">
        <f aca="false">IF(A123="","",IF(A123&lt;FY_START,0,(YEAR(A123)-YEAR(FY_START))*12+MONTH(A123)-MONTH(FY_START)+1))</f>
        <v/>
      </c>
      <c r="P123" s="40" t="str">
        <f aca="false">IF(A123="","",IF(AND(A123&gt;=VP_START,A123&lt;=VP_END),1,0))</f>
        <v/>
      </c>
    </row>
    <row r="124" customFormat="false" ht="15" hidden="false" customHeight="false" outlineLevel="0" collapsed="false">
      <c r="A124" s="37"/>
      <c r="B124" s="36"/>
      <c r="C124" s="36"/>
      <c r="D124" s="36"/>
      <c r="E124" s="36"/>
      <c r="F124" s="38"/>
      <c r="G124" s="36"/>
      <c r="H124" s="39" t="str">
        <f aca="false">IF(F124="","",IF(G124="Standard 5%",F124*VAT_RATE,0))</f>
        <v/>
      </c>
      <c r="I124" s="39" t="str">
        <f aca="false">IF(F124="","",F124+H124)</f>
        <v/>
      </c>
      <c r="J124" s="36"/>
      <c r="K124" s="37"/>
      <c r="L124" s="38"/>
      <c r="M124" s="22" t="str">
        <f aca="true">IF(OR(A124="",J124="Paid",J124="Written off"),"",TODAY()-A124)</f>
        <v/>
      </c>
      <c r="N124" s="22" t="str">
        <f aca="false">IF(M124="","",IF(M124&gt;OVERDUE_DAYS,"OVERDUE",""))</f>
        <v/>
      </c>
      <c r="O124" s="40" t="str">
        <f aca="false">IF(A124="","",IF(A124&lt;FY_START,0,(YEAR(A124)-YEAR(FY_START))*12+MONTH(A124)-MONTH(FY_START)+1))</f>
        <v/>
      </c>
      <c r="P124" s="40" t="str">
        <f aca="false">IF(A124="","",IF(AND(A124&gt;=VP_START,A124&lt;=VP_END),1,0))</f>
        <v/>
      </c>
    </row>
    <row r="125" customFormat="false" ht="15" hidden="false" customHeight="false" outlineLevel="0" collapsed="false">
      <c r="A125" s="37"/>
      <c r="B125" s="36"/>
      <c r="C125" s="36"/>
      <c r="D125" s="36"/>
      <c r="E125" s="36"/>
      <c r="F125" s="38"/>
      <c r="G125" s="36"/>
      <c r="H125" s="39" t="str">
        <f aca="false">IF(F125="","",IF(G125="Standard 5%",F125*VAT_RATE,0))</f>
        <v/>
      </c>
      <c r="I125" s="39" t="str">
        <f aca="false">IF(F125="","",F125+H125)</f>
        <v/>
      </c>
      <c r="J125" s="36"/>
      <c r="K125" s="37"/>
      <c r="L125" s="38"/>
      <c r="M125" s="22" t="str">
        <f aca="true">IF(OR(A125="",J125="Paid",J125="Written off"),"",TODAY()-A125)</f>
        <v/>
      </c>
      <c r="N125" s="22" t="str">
        <f aca="false">IF(M125="","",IF(M125&gt;OVERDUE_DAYS,"OVERDUE",""))</f>
        <v/>
      </c>
      <c r="O125" s="40" t="str">
        <f aca="false">IF(A125="","",IF(A125&lt;FY_START,0,(YEAR(A125)-YEAR(FY_START))*12+MONTH(A125)-MONTH(FY_START)+1))</f>
        <v/>
      </c>
      <c r="P125" s="40" t="str">
        <f aca="false">IF(A125="","",IF(AND(A125&gt;=VP_START,A125&lt;=VP_END),1,0))</f>
        <v/>
      </c>
    </row>
    <row r="126" customFormat="false" ht="15" hidden="false" customHeight="false" outlineLevel="0" collapsed="false">
      <c r="A126" s="37"/>
      <c r="B126" s="36"/>
      <c r="C126" s="36"/>
      <c r="D126" s="36"/>
      <c r="E126" s="36"/>
      <c r="F126" s="38"/>
      <c r="G126" s="36"/>
      <c r="H126" s="39" t="str">
        <f aca="false">IF(F126="","",IF(G126="Standard 5%",F126*VAT_RATE,0))</f>
        <v/>
      </c>
      <c r="I126" s="39" t="str">
        <f aca="false">IF(F126="","",F126+H126)</f>
        <v/>
      </c>
      <c r="J126" s="36"/>
      <c r="K126" s="37"/>
      <c r="L126" s="38"/>
      <c r="M126" s="22" t="str">
        <f aca="true">IF(OR(A126="",J126="Paid",J126="Written off"),"",TODAY()-A126)</f>
        <v/>
      </c>
      <c r="N126" s="22" t="str">
        <f aca="false">IF(M126="","",IF(M126&gt;OVERDUE_DAYS,"OVERDUE",""))</f>
        <v/>
      </c>
      <c r="O126" s="40" t="str">
        <f aca="false">IF(A126="","",IF(A126&lt;FY_START,0,(YEAR(A126)-YEAR(FY_START))*12+MONTH(A126)-MONTH(FY_START)+1))</f>
        <v/>
      </c>
      <c r="P126" s="40" t="str">
        <f aca="false">IF(A126="","",IF(AND(A126&gt;=VP_START,A126&lt;=VP_END),1,0))</f>
        <v/>
      </c>
    </row>
    <row r="127" customFormat="false" ht="15" hidden="false" customHeight="false" outlineLevel="0" collapsed="false">
      <c r="A127" s="37"/>
      <c r="B127" s="36"/>
      <c r="C127" s="36"/>
      <c r="D127" s="36"/>
      <c r="E127" s="36"/>
      <c r="F127" s="38"/>
      <c r="G127" s="36"/>
      <c r="H127" s="39" t="str">
        <f aca="false">IF(F127="","",IF(G127="Standard 5%",F127*VAT_RATE,0))</f>
        <v/>
      </c>
      <c r="I127" s="39" t="str">
        <f aca="false">IF(F127="","",F127+H127)</f>
        <v/>
      </c>
      <c r="J127" s="36"/>
      <c r="K127" s="37"/>
      <c r="L127" s="38"/>
      <c r="M127" s="22" t="str">
        <f aca="true">IF(OR(A127="",J127="Paid",J127="Written off"),"",TODAY()-A127)</f>
        <v/>
      </c>
      <c r="N127" s="22" t="str">
        <f aca="false">IF(M127="","",IF(M127&gt;OVERDUE_DAYS,"OVERDUE",""))</f>
        <v/>
      </c>
      <c r="O127" s="40" t="str">
        <f aca="false">IF(A127="","",IF(A127&lt;FY_START,0,(YEAR(A127)-YEAR(FY_START))*12+MONTH(A127)-MONTH(FY_START)+1))</f>
        <v/>
      </c>
      <c r="P127" s="40" t="str">
        <f aca="false">IF(A127="","",IF(AND(A127&gt;=VP_START,A127&lt;=VP_END),1,0))</f>
        <v/>
      </c>
    </row>
    <row r="128" customFormat="false" ht="15" hidden="false" customHeight="false" outlineLevel="0" collapsed="false">
      <c r="A128" s="37"/>
      <c r="B128" s="36"/>
      <c r="C128" s="36"/>
      <c r="D128" s="36"/>
      <c r="E128" s="36"/>
      <c r="F128" s="38"/>
      <c r="G128" s="36"/>
      <c r="H128" s="39" t="str">
        <f aca="false">IF(F128="","",IF(G128="Standard 5%",F128*VAT_RATE,0))</f>
        <v/>
      </c>
      <c r="I128" s="39" t="str">
        <f aca="false">IF(F128="","",F128+H128)</f>
        <v/>
      </c>
      <c r="J128" s="36"/>
      <c r="K128" s="37"/>
      <c r="L128" s="38"/>
      <c r="M128" s="22" t="str">
        <f aca="true">IF(OR(A128="",J128="Paid",J128="Written off"),"",TODAY()-A128)</f>
        <v/>
      </c>
      <c r="N128" s="22" t="str">
        <f aca="false">IF(M128="","",IF(M128&gt;OVERDUE_DAYS,"OVERDUE",""))</f>
        <v/>
      </c>
      <c r="O128" s="40" t="str">
        <f aca="false">IF(A128="","",IF(A128&lt;FY_START,0,(YEAR(A128)-YEAR(FY_START))*12+MONTH(A128)-MONTH(FY_START)+1))</f>
        <v/>
      </c>
      <c r="P128" s="40" t="str">
        <f aca="false">IF(A128="","",IF(AND(A128&gt;=VP_START,A128&lt;=VP_END),1,0))</f>
        <v/>
      </c>
    </row>
    <row r="129" customFormat="false" ht="15" hidden="false" customHeight="false" outlineLevel="0" collapsed="false">
      <c r="A129" s="37"/>
      <c r="B129" s="36"/>
      <c r="C129" s="36"/>
      <c r="D129" s="36"/>
      <c r="E129" s="36"/>
      <c r="F129" s="38"/>
      <c r="G129" s="36"/>
      <c r="H129" s="39" t="str">
        <f aca="false">IF(F129="","",IF(G129="Standard 5%",F129*VAT_RATE,0))</f>
        <v/>
      </c>
      <c r="I129" s="39" t="str">
        <f aca="false">IF(F129="","",F129+H129)</f>
        <v/>
      </c>
      <c r="J129" s="36"/>
      <c r="K129" s="37"/>
      <c r="L129" s="38"/>
      <c r="M129" s="22" t="str">
        <f aca="true">IF(OR(A129="",J129="Paid",J129="Written off"),"",TODAY()-A129)</f>
        <v/>
      </c>
      <c r="N129" s="22" t="str">
        <f aca="false">IF(M129="","",IF(M129&gt;OVERDUE_DAYS,"OVERDUE",""))</f>
        <v/>
      </c>
      <c r="O129" s="40" t="str">
        <f aca="false">IF(A129="","",IF(A129&lt;FY_START,0,(YEAR(A129)-YEAR(FY_START))*12+MONTH(A129)-MONTH(FY_START)+1))</f>
        <v/>
      </c>
      <c r="P129" s="40" t="str">
        <f aca="false">IF(A129="","",IF(AND(A129&gt;=VP_START,A129&lt;=VP_END),1,0))</f>
        <v/>
      </c>
    </row>
    <row r="130" customFormat="false" ht="15" hidden="false" customHeight="false" outlineLevel="0" collapsed="false">
      <c r="A130" s="37"/>
      <c r="B130" s="36"/>
      <c r="C130" s="36"/>
      <c r="D130" s="36"/>
      <c r="E130" s="36"/>
      <c r="F130" s="38"/>
      <c r="G130" s="36"/>
      <c r="H130" s="39" t="str">
        <f aca="false">IF(F130="","",IF(G130="Standard 5%",F130*VAT_RATE,0))</f>
        <v/>
      </c>
      <c r="I130" s="39" t="str">
        <f aca="false">IF(F130="","",F130+H130)</f>
        <v/>
      </c>
      <c r="J130" s="36"/>
      <c r="K130" s="37"/>
      <c r="L130" s="38"/>
      <c r="M130" s="22" t="str">
        <f aca="true">IF(OR(A130="",J130="Paid",J130="Written off"),"",TODAY()-A130)</f>
        <v/>
      </c>
      <c r="N130" s="22" t="str">
        <f aca="false">IF(M130="","",IF(M130&gt;OVERDUE_DAYS,"OVERDUE",""))</f>
        <v/>
      </c>
      <c r="O130" s="40" t="str">
        <f aca="false">IF(A130="","",IF(A130&lt;FY_START,0,(YEAR(A130)-YEAR(FY_START))*12+MONTH(A130)-MONTH(FY_START)+1))</f>
        <v/>
      </c>
      <c r="P130" s="40" t="str">
        <f aca="false">IF(A130="","",IF(AND(A130&gt;=VP_START,A130&lt;=VP_END),1,0))</f>
        <v/>
      </c>
    </row>
    <row r="131" customFormat="false" ht="15" hidden="false" customHeight="false" outlineLevel="0" collapsed="false">
      <c r="A131" s="37"/>
      <c r="B131" s="36"/>
      <c r="C131" s="36"/>
      <c r="D131" s="36"/>
      <c r="E131" s="36"/>
      <c r="F131" s="38"/>
      <c r="G131" s="36"/>
      <c r="H131" s="39" t="str">
        <f aca="false">IF(F131="","",IF(G131="Standard 5%",F131*VAT_RATE,0))</f>
        <v/>
      </c>
      <c r="I131" s="39" t="str">
        <f aca="false">IF(F131="","",F131+H131)</f>
        <v/>
      </c>
      <c r="J131" s="36"/>
      <c r="K131" s="37"/>
      <c r="L131" s="38"/>
      <c r="M131" s="22" t="str">
        <f aca="true">IF(OR(A131="",J131="Paid",J131="Written off"),"",TODAY()-A131)</f>
        <v/>
      </c>
      <c r="N131" s="22" t="str">
        <f aca="false">IF(M131="","",IF(M131&gt;OVERDUE_DAYS,"OVERDUE",""))</f>
        <v/>
      </c>
      <c r="O131" s="40" t="str">
        <f aca="false">IF(A131="","",IF(A131&lt;FY_START,0,(YEAR(A131)-YEAR(FY_START))*12+MONTH(A131)-MONTH(FY_START)+1))</f>
        <v/>
      </c>
      <c r="P131" s="40" t="str">
        <f aca="false">IF(A131="","",IF(AND(A131&gt;=VP_START,A131&lt;=VP_END),1,0))</f>
        <v/>
      </c>
    </row>
    <row r="132" customFormat="false" ht="15" hidden="false" customHeight="false" outlineLevel="0" collapsed="false">
      <c r="A132" s="37"/>
      <c r="B132" s="36"/>
      <c r="C132" s="36"/>
      <c r="D132" s="36"/>
      <c r="E132" s="36"/>
      <c r="F132" s="38"/>
      <c r="G132" s="36"/>
      <c r="H132" s="39" t="str">
        <f aca="false">IF(F132="","",IF(G132="Standard 5%",F132*VAT_RATE,0))</f>
        <v/>
      </c>
      <c r="I132" s="39" t="str">
        <f aca="false">IF(F132="","",F132+H132)</f>
        <v/>
      </c>
      <c r="J132" s="36"/>
      <c r="K132" s="37"/>
      <c r="L132" s="38"/>
      <c r="M132" s="22" t="str">
        <f aca="true">IF(OR(A132="",J132="Paid",J132="Written off"),"",TODAY()-A132)</f>
        <v/>
      </c>
      <c r="N132" s="22" t="str">
        <f aca="false">IF(M132="","",IF(M132&gt;OVERDUE_DAYS,"OVERDUE",""))</f>
        <v/>
      </c>
      <c r="O132" s="40" t="str">
        <f aca="false">IF(A132="","",IF(A132&lt;FY_START,0,(YEAR(A132)-YEAR(FY_START))*12+MONTH(A132)-MONTH(FY_START)+1))</f>
        <v/>
      </c>
      <c r="P132" s="40" t="str">
        <f aca="false">IF(A132="","",IF(AND(A132&gt;=VP_START,A132&lt;=VP_END),1,0))</f>
        <v/>
      </c>
    </row>
    <row r="133" customFormat="false" ht="15" hidden="false" customHeight="false" outlineLevel="0" collapsed="false">
      <c r="A133" s="37"/>
      <c r="B133" s="36"/>
      <c r="C133" s="36"/>
      <c r="D133" s="36"/>
      <c r="E133" s="36"/>
      <c r="F133" s="38"/>
      <c r="G133" s="36"/>
      <c r="H133" s="39" t="str">
        <f aca="false">IF(F133="","",IF(G133="Standard 5%",F133*VAT_RATE,0))</f>
        <v/>
      </c>
      <c r="I133" s="39" t="str">
        <f aca="false">IF(F133="","",F133+H133)</f>
        <v/>
      </c>
      <c r="J133" s="36"/>
      <c r="K133" s="37"/>
      <c r="L133" s="38"/>
      <c r="M133" s="22" t="str">
        <f aca="true">IF(OR(A133="",J133="Paid",J133="Written off"),"",TODAY()-A133)</f>
        <v/>
      </c>
      <c r="N133" s="22" t="str">
        <f aca="false">IF(M133="","",IF(M133&gt;OVERDUE_DAYS,"OVERDUE",""))</f>
        <v/>
      </c>
      <c r="O133" s="40" t="str">
        <f aca="false">IF(A133="","",IF(A133&lt;FY_START,0,(YEAR(A133)-YEAR(FY_START))*12+MONTH(A133)-MONTH(FY_START)+1))</f>
        <v/>
      </c>
      <c r="P133" s="40" t="str">
        <f aca="false">IF(A133="","",IF(AND(A133&gt;=VP_START,A133&lt;=VP_END),1,0))</f>
        <v/>
      </c>
    </row>
    <row r="134" customFormat="false" ht="15" hidden="false" customHeight="false" outlineLevel="0" collapsed="false">
      <c r="A134" s="37"/>
      <c r="B134" s="36"/>
      <c r="C134" s="36"/>
      <c r="D134" s="36"/>
      <c r="E134" s="36"/>
      <c r="F134" s="38"/>
      <c r="G134" s="36"/>
      <c r="H134" s="39" t="str">
        <f aca="false">IF(F134="","",IF(G134="Standard 5%",F134*VAT_RATE,0))</f>
        <v/>
      </c>
      <c r="I134" s="39" t="str">
        <f aca="false">IF(F134="","",F134+H134)</f>
        <v/>
      </c>
      <c r="J134" s="36"/>
      <c r="K134" s="37"/>
      <c r="L134" s="38"/>
      <c r="M134" s="22" t="str">
        <f aca="true">IF(OR(A134="",J134="Paid",J134="Written off"),"",TODAY()-A134)</f>
        <v/>
      </c>
      <c r="N134" s="22" t="str">
        <f aca="false">IF(M134="","",IF(M134&gt;OVERDUE_DAYS,"OVERDUE",""))</f>
        <v/>
      </c>
      <c r="O134" s="40" t="str">
        <f aca="false">IF(A134="","",IF(A134&lt;FY_START,0,(YEAR(A134)-YEAR(FY_START))*12+MONTH(A134)-MONTH(FY_START)+1))</f>
        <v/>
      </c>
      <c r="P134" s="40" t="str">
        <f aca="false">IF(A134="","",IF(AND(A134&gt;=VP_START,A134&lt;=VP_END),1,0))</f>
        <v/>
      </c>
    </row>
    <row r="135" customFormat="false" ht="15" hidden="false" customHeight="false" outlineLevel="0" collapsed="false">
      <c r="A135" s="37"/>
      <c r="B135" s="36"/>
      <c r="C135" s="36"/>
      <c r="D135" s="36"/>
      <c r="E135" s="36"/>
      <c r="F135" s="38"/>
      <c r="G135" s="36"/>
      <c r="H135" s="39" t="str">
        <f aca="false">IF(F135="","",IF(G135="Standard 5%",F135*VAT_RATE,0))</f>
        <v/>
      </c>
      <c r="I135" s="39" t="str">
        <f aca="false">IF(F135="","",F135+H135)</f>
        <v/>
      </c>
      <c r="J135" s="36"/>
      <c r="K135" s="37"/>
      <c r="L135" s="38"/>
      <c r="M135" s="22" t="str">
        <f aca="true">IF(OR(A135="",J135="Paid",J135="Written off"),"",TODAY()-A135)</f>
        <v/>
      </c>
      <c r="N135" s="22" t="str">
        <f aca="false">IF(M135="","",IF(M135&gt;OVERDUE_DAYS,"OVERDUE",""))</f>
        <v/>
      </c>
      <c r="O135" s="40" t="str">
        <f aca="false">IF(A135="","",IF(A135&lt;FY_START,0,(YEAR(A135)-YEAR(FY_START))*12+MONTH(A135)-MONTH(FY_START)+1))</f>
        <v/>
      </c>
      <c r="P135" s="40" t="str">
        <f aca="false">IF(A135="","",IF(AND(A135&gt;=VP_START,A135&lt;=VP_END),1,0))</f>
        <v/>
      </c>
    </row>
    <row r="136" customFormat="false" ht="15" hidden="false" customHeight="false" outlineLevel="0" collapsed="false">
      <c r="A136" s="37"/>
      <c r="B136" s="36"/>
      <c r="C136" s="36"/>
      <c r="D136" s="36"/>
      <c r="E136" s="36"/>
      <c r="F136" s="38"/>
      <c r="G136" s="36"/>
      <c r="H136" s="39" t="str">
        <f aca="false">IF(F136="","",IF(G136="Standard 5%",F136*VAT_RATE,0))</f>
        <v/>
      </c>
      <c r="I136" s="39" t="str">
        <f aca="false">IF(F136="","",F136+H136)</f>
        <v/>
      </c>
      <c r="J136" s="36"/>
      <c r="K136" s="37"/>
      <c r="L136" s="38"/>
      <c r="M136" s="22" t="str">
        <f aca="true">IF(OR(A136="",J136="Paid",J136="Written off"),"",TODAY()-A136)</f>
        <v/>
      </c>
      <c r="N136" s="22" t="str">
        <f aca="false">IF(M136="","",IF(M136&gt;OVERDUE_DAYS,"OVERDUE",""))</f>
        <v/>
      </c>
      <c r="O136" s="40" t="str">
        <f aca="false">IF(A136="","",IF(A136&lt;FY_START,0,(YEAR(A136)-YEAR(FY_START))*12+MONTH(A136)-MONTH(FY_START)+1))</f>
        <v/>
      </c>
      <c r="P136" s="40" t="str">
        <f aca="false">IF(A136="","",IF(AND(A136&gt;=VP_START,A136&lt;=VP_END),1,0))</f>
        <v/>
      </c>
    </row>
    <row r="137" customFormat="false" ht="15" hidden="false" customHeight="false" outlineLevel="0" collapsed="false">
      <c r="A137" s="37"/>
      <c r="B137" s="36"/>
      <c r="C137" s="36"/>
      <c r="D137" s="36"/>
      <c r="E137" s="36"/>
      <c r="F137" s="38"/>
      <c r="G137" s="36"/>
      <c r="H137" s="39" t="str">
        <f aca="false">IF(F137="","",IF(G137="Standard 5%",F137*VAT_RATE,0))</f>
        <v/>
      </c>
      <c r="I137" s="39" t="str">
        <f aca="false">IF(F137="","",F137+H137)</f>
        <v/>
      </c>
      <c r="J137" s="36"/>
      <c r="K137" s="37"/>
      <c r="L137" s="38"/>
      <c r="M137" s="22" t="str">
        <f aca="true">IF(OR(A137="",J137="Paid",J137="Written off"),"",TODAY()-A137)</f>
        <v/>
      </c>
      <c r="N137" s="22" t="str">
        <f aca="false">IF(M137="","",IF(M137&gt;OVERDUE_DAYS,"OVERDUE",""))</f>
        <v/>
      </c>
      <c r="O137" s="40" t="str">
        <f aca="false">IF(A137="","",IF(A137&lt;FY_START,0,(YEAR(A137)-YEAR(FY_START))*12+MONTH(A137)-MONTH(FY_START)+1))</f>
        <v/>
      </c>
      <c r="P137" s="40" t="str">
        <f aca="false">IF(A137="","",IF(AND(A137&gt;=VP_START,A137&lt;=VP_END),1,0))</f>
        <v/>
      </c>
    </row>
    <row r="138" customFormat="false" ht="15" hidden="false" customHeight="false" outlineLevel="0" collapsed="false">
      <c r="A138" s="37"/>
      <c r="B138" s="36"/>
      <c r="C138" s="36"/>
      <c r="D138" s="36"/>
      <c r="E138" s="36"/>
      <c r="F138" s="38"/>
      <c r="G138" s="36"/>
      <c r="H138" s="39" t="str">
        <f aca="false">IF(F138="","",IF(G138="Standard 5%",F138*VAT_RATE,0))</f>
        <v/>
      </c>
      <c r="I138" s="39" t="str">
        <f aca="false">IF(F138="","",F138+H138)</f>
        <v/>
      </c>
      <c r="J138" s="36"/>
      <c r="K138" s="37"/>
      <c r="L138" s="38"/>
      <c r="M138" s="22" t="str">
        <f aca="true">IF(OR(A138="",J138="Paid",J138="Written off"),"",TODAY()-A138)</f>
        <v/>
      </c>
      <c r="N138" s="22" t="str">
        <f aca="false">IF(M138="","",IF(M138&gt;OVERDUE_DAYS,"OVERDUE",""))</f>
        <v/>
      </c>
      <c r="O138" s="40" t="str">
        <f aca="false">IF(A138="","",IF(A138&lt;FY_START,0,(YEAR(A138)-YEAR(FY_START))*12+MONTH(A138)-MONTH(FY_START)+1))</f>
        <v/>
      </c>
      <c r="P138" s="40" t="str">
        <f aca="false">IF(A138="","",IF(AND(A138&gt;=VP_START,A138&lt;=VP_END),1,0))</f>
        <v/>
      </c>
    </row>
    <row r="139" customFormat="false" ht="15" hidden="false" customHeight="false" outlineLevel="0" collapsed="false">
      <c r="A139" s="37"/>
      <c r="B139" s="36"/>
      <c r="C139" s="36"/>
      <c r="D139" s="36"/>
      <c r="E139" s="36"/>
      <c r="F139" s="38"/>
      <c r="G139" s="36"/>
      <c r="H139" s="39" t="str">
        <f aca="false">IF(F139="","",IF(G139="Standard 5%",F139*VAT_RATE,0))</f>
        <v/>
      </c>
      <c r="I139" s="39" t="str">
        <f aca="false">IF(F139="","",F139+H139)</f>
        <v/>
      </c>
      <c r="J139" s="36"/>
      <c r="K139" s="37"/>
      <c r="L139" s="38"/>
      <c r="M139" s="22" t="str">
        <f aca="true">IF(OR(A139="",J139="Paid",J139="Written off"),"",TODAY()-A139)</f>
        <v/>
      </c>
      <c r="N139" s="22" t="str">
        <f aca="false">IF(M139="","",IF(M139&gt;OVERDUE_DAYS,"OVERDUE",""))</f>
        <v/>
      </c>
      <c r="O139" s="40" t="str">
        <f aca="false">IF(A139="","",IF(A139&lt;FY_START,0,(YEAR(A139)-YEAR(FY_START))*12+MONTH(A139)-MONTH(FY_START)+1))</f>
        <v/>
      </c>
      <c r="P139" s="40" t="str">
        <f aca="false">IF(A139="","",IF(AND(A139&gt;=VP_START,A139&lt;=VP_END),1,0))</f>
        <v/>
      </c>
    </row>
    <row r="140" customFormat="false" ht="15" hidden="false" customHeight="false" outlineLevel="0" collapsed="false">
      <c r="A140" s="37"/>
      <c r="B140" s="36"/>
      <c r="C140" s="36"/>
      <c r="D140" s="36"/>
      <c r="E140" s="36"/>
      <c r="F140" s="38"/>
      <c r="G140" s="36"/>
      <c r="H140" s="39" t="str">
        <f aca="false">IF(F140="","",IF(G140="Standard 5%",F140*VAT_RATE,0))</f>
        <v/>
      </c>
      <c r="I140" s="39" t="str">
        <f aca="false">IF(F140="","",F140+H140)</f>
        <v/>
      </c>
      <c r="J140" s="36"/>
      <c r="K140" s="37"/>
      <c r="L140" s="38"/>
      <c r="M140" s="22" t="str">
        <f aca="true">IF(OR(A140="",J140="Paid",J140="Written off"),"",TODAY()-A140)</f>
        <v/>
      </c>
      <c r="N140" s="22" t="str">
        <f aca="false">IF(M140="","",IF(M140&gt;OVERDUE_DAYS,"OVERDUE",""))</f>
        <v/>
      </c>
      <c r="O140" s="40" t="str">
        <f aca="false">IF(A140="","",IF(A140&lt;FY_START,0,(YEAR(A140)-YEAR(FY_START))*12+MONTH(A140)-MONTH(FY_START)+1))</f>
        <v/>
      </c>
      <c r="P140" s="40" t="str">
        <f aca="false">IF(A140="","",IF(AND(A140&gt;=VP_START,A140&lt;=VP_END),1,0))</f>
        <v/>
      </c>
    </row>
    <row r="141" customFormat="false" ht="15" hidden="false" customHeight="false" outlineLevel="0" collapsed="false">
      <c r="A141" s="37"/>
      <c r="B141" s="36"/>
      <c r="C141" s="36"/>
      <c r="D141" s="36"/>
      <c r="E141" s="36"/>
      <c r="F141" s="38"/>
      <c r="G141" s="36"/>
      <c r="H141" s="39" t="str">
        <f aca="false">IF(F141="","",IF(G141="Standard 5%",F141*VAT_RATE,0))</f>
        <v/>
      </c>
      <c r="I141" s="39" t="str">
        <f aca="false">IF(F141="","",F141+H141)</f>
        <v/>
      </c>
      <c r="J141" s="36"/>
      <c r="K141" s="37"/>
      <c r="L141" s="38"/>
      <c r="M141" s="22" t="str">
        <f aca="true">IF(OR(A141="",J141="Paid",J141="Written off"),"",TODAY()-A141)</f>
        <v/>
      </c>
      <c r="N141" s="22" t="str">
        <f aca="false">IF(M141="","",IF(M141&gt;OVERDUE_DAYS,"OVERDUE",""))</f>
        <v/>
      </c>
      <c r="O141" s="40" t="str">
        <f aca="false">IF(A141="","",IF(A141&lt;FY_START,0,(YEAR(A141)-YEAR(FY_START))*12+MONTH(A141)-MONTH(FY_START)+1))</f>
        <v/>
      </c>
      <c r="P141" s="40" t="str">
        <f aca="false">IF(A141="","",IF(AND(A141&gt;=VP_START,A141&lt;=VP_END),1,0))</f>
        <v/>
      </c>
    </row>
    <row r="142" customFormat="false" ht="15" hidden="false" customHeight="false" outlineLevel="0" collapsed="false">
      <c r="A142" s="37"/>
      <c r="B142" s="36"/>
      <c r="C142" s="36"/>
      <c r="D142" s="36"/>
      <c r="E142" s="36"/>
      <c r="F142" s="38"/>
      <c r="G142" s="36"/>
      <c r="H142" s="39" t="str">
        <f aca="false">IF(F142="","",IF(G142="Standard 5%",F142*VAT_RATE,0))</f>
        <v/>
      </c>
      <c r="I142" s="39" t="str">
        <f aca="false">IF(F142="","",F142+H142)</f>
        <v/>
      </c>
      <c r="J142" s="36"/>
      <c r="K142" s="37"/>
      <c r="L142" s="38"/>
      <c r="M142" s="22" t="str">
        <f aca="true">IF(OR(A142="",J142="Paid",J142="Written off"),"",TODAY()-A142)</f>
        <v/>
      </c>
      <c r="N142" s="22" t="str">
        <f aca="false">IF(M142="","",IF(M142&gt;OVERDUE_DAYS,"OVERDUE",""))</f>
        <v/>
      </c>
      <c r="O142" s="40" t="str">
        <f aca="false">IF(A142="","",IF(A142&lt;FY_START,0,(YEAR(A142)-YEAR(FY_START))*12+MONTH(A142)-MONTH(FY_START)+1))</f>
        <v/>
      </c>
      <c r="P142" s="40" t="str">
        <f aca="false">IF(A142="","",IF(AND(A142&gt;=VP_START,A142&lt;=VP_END),1,0))</f>
        <v/>
      </c>
    </row>
    <row r="143" customFormat="false" ht="15" hidden="false" customHeight="false" outlineLevel="0" collapsed="false">
      <c r="A143" s="37"/>
      <c r="B143" s="36"/>
      <c r="C143" s="36"/>
      <c r="D143" s="36"/>
      <c r="E143" s="36"/>
      <c r="F143" s="38"/>
      <c r="G143" s="36"/>
      <c r="H143" s="39" t="str">
        <f aca="false">IF(F143="","",IF(G143="Standard 5%",F143*VAT_RATE,0))</f>
        <v/>
      </c>
      <c r="I143" s="39" t="str">
        <f aca="false">IF(F143="","",F143+H143)</f>
        <v/>
      </c>
      <c r="J143" s="36"/>
      <c r="K143" s="37"/>
      <c r="L143" s="38"/>
      <c r="M143" s="22" t="str">
        <f aca="true">IF(OR(A143="",J143="Paid",J143="Written off"),"",TODAY()-A143)</f>
        <v/>
      </c>
      <c r="N143" s="22" t="str">
        <f aca="false">IF(M143="","",IF(M143&gt;OVERDUE_DAYS,"OVERDUE",""))</f>
        <v/>
      </c>
      <c r="O143" s="40" t="str">
        <f aca="false">IF(A143="","",IF(A143&lt;FY_START,0,(YEAR(A143)-YEAR(FY_START))*12+MONTH(A143)-MONTH(FY_START)+1))</f>
        <v/>
      </c>
      <c r="P143" s="40" t="str">
        <f aca="false">IF(A143="","",IF(AND(A143&gt;=VP_START,A143&lt;=VP_END),1,0))</f>
        <v/>
      </c>
    </row>
    <row r="144" customFormat="false" ht="15" hidden="false" customHeight="false" outlineLevel="0" collapsed="false">
      <c r="A144" s="37"/>
      <c r="B144" s="36"/>
      <c r="C144" s="36"/>
      <c r="D144" s="36"/>
      <c r="E144" s="36"/>
      <c r="F144" s="38"/>
      <c r="G144" s="36"/>
      <c r="H144" s="39" t="str">
        <f aca="false">IF(F144="","",IF(G144="Standard 5%",F144*VAT_RATE,0))</f>
        <v/>
      </c>
      <c r="I144" s="39" t="str">
        <f aca="false">IF(F144="","",F144+H144)</f>
        <v/>
      </c>
      <c r="J144" s="36"/>
      <c r="K144" s="37"/>
      <c r="L144" s="38"/>
      <c r="M144" s="22" t="str">
        <f aca="true">IF(OR(A144="",J144="Paid",J144="Written off"),"",TODAY()-A144)</f>
        <v/>
      </c>
      <c r="N144" s="22" t="str">
        <f aca="false">IF(M144="","",IF(M144&gt;OVERDUE_DAYS,"OVERDUE",""))</f>
        <v/>
      </c>
      <c r="O144" s="40" t="str">
        <f aca="false">IF(A144="","",IF(A144&lt;FY_START,0,(YEAR(A144)-YEAR(FY_START))*12+MONTH(A144)-MONTH(FY_START)+1))</f>
        <v/>
      </c>
      <c r="P144" s="40" t="str">
        <f aca="false">IF(A144="","",IF(AND(A144&gt;=VP_START,A144&lt;=VP_END),1,0))</f>
        <v/>
      </c>
    </row>
    <row r="145" customFormat="false" ht="15" hidden="false" customHeight="false" outlineLevel="0" collapsed="false">
      <c r="A145" s="37"/>
      <c r="B145" s="36"/>
      <c r="C145" s="36"/>
      <c r="D145" s="36"/>
      <c r="E145" s="36"/>
      <c r="F145" s="38"/>
      <c r="G145" s="36"/>
      <c r="H145" s="39" t="str">
        <f aca="false">IF(F145="","",IF(G145="Standard 5%",F145*VAT_RATE,0))</f>
        <v/>
      </c>
      <c r="I145" s="39" t="str">
        <f aca="false">IF(F145="","",F145+H145)</f>
        <v/>
      </c>
      <c r="J145" s="36"/>
      <c r="K145" s="37"/>
      <c r="L145" s="38"/>
      <c r="M145" s="22" t="str">
        <f aca="true">IF(OR(A145="",J145="Paid",J145="Written off"),"",TODAY()-A145)</f>
        <v/>
      </c>
      <c r="N145" s="22" t="str">
        <f aca="false">IF(M145="","",IF(M145&gt;OVERDUE_DAYS,"OVERDUE",""))</f>
        <v/>
      </c>
      <c r="O145" s="40" t="str">
        <f aca="false">IF(A145="","",IF(A145&lt;FY_START,0,(YEAR(A145)-YEAR(FY_START))*12+MONTH(A145)-MONTH(FY_START)+1))</f>
        <v/>
      </c>
      <c r="P145" s="40" t="str">
        <f aca="false">IF(A145="","",IF(AND(A145&gt;=VP_START,A145&lt;=VP_END),1,0))</f>
        <v/>
      </c>
    </row>
    <row r="146" customFormat="false" ht="15" hidden="false" customHeight="false" outlineLevel="0" collapsed="false">
      <c r="A146" s="37"/>
      <c r="B146" s="36"/>
      <c r="C146" s="36"/>
      <c r="D146" s="36"/>
      <c r="E146" s="36"/>
      <c r="F146" s="38"/>
      <c r="G146" s="36"/>
      <c r="H146" s="39" t="str">
        <f aca="false">IF(F146="","",IF(G146="Standard 5%",F146*VAT_RATE,0))</f>
        <v/>
      </c>
      <c r="I146" s="39" t="str">
        <f aca="false">IF(F146="","",F146+H146)</f>
        <v/>
      </c>
      <c r="J146" s="36"/>
      <c r="K146" s="37"/>
      <c r="L146" s="38"/>
      <c r="M146" s="22" t="str">
        <f aca="true">IF(OR(A146="",J146="Paid",J146="Written off"),"",TODAY()-A146)</f>
        <v/>
      </c>
      <c r="N146" s="22" t="str">
        <f aca="false">IF(M146="","",IF(M146&gt;OVERDUE_DAYS,"OVERDUE",""))</f>
        <v/>
      </c>
      <c r="O146" s="40" t="str">
        <f aca="false">IF(A146="","",IF(A146&lt;FY_START,0,(YEAR(A146)-YEAR(FY_START))*12+MONTH(A146)-MONTH(FY_START)+1))</f>
        <v/>
      </c>
      <c r="P146" s="40" t="str">
        <f aca="false">IF(A146="","",IF(AND(A146&gt;=VP_START,A146&lt;=VP_END),1,0))</f>
        <v/>
      </c>
    </row>
    <row r="147" customFormat="false" ht="15" hidden="false" customHeight="false" outlineLevel="0" collapsed="false">
      <c r="A147" s="37"/>
      <c r="B147" s="36"/>
      <c r="C147" s="36"/>
      <c r="D147" s="36"/>
      <c r="E147" s="36"/>
      <c r="F147" s="38"/>
      <c r="G147" s="36"/>
      <c r="H147" s="39" t="str">
        <f aca="false">IF(F147="","",IF(G147="Standard 5%",F147*VAT_RATE,0))</f>
        <v/>
      </c>
      <c r="I147" s="39" t="str">
        <f aca="false">IF(F147="","",F147+H147)</f>
        <v/>
      </c>
      <c r="J147" s="36"/>
      <c r="K147" s="37"/>
      <c r="L147" s="38"/>
      <c r="M147" s="22" t="str">
        <f aca="true">IF(OR(A147="",J147="Paid",J147="Written off"),"",TODAY()-A147)</f>
        <v/>
      </c>
      <c r="N147" s="22" t="str">
        <f aca="false">IF(M147="","",IF(M147&gt;OVERDUE_DAYS,"OVERDUE",""))</f>
        <v/>
      </c>
      <c r="O147" s="40" t="str">
        <f aca="false">IF(A147="","",IF(A147&lt;FY_START,0,(YEAR(A147)-YEAR(FY_START))*12+MONTH(A147)-MONTH(FY_START)+1))</f>
        <v/>
      </c>
      <c r="P147" s="40" t="str">
        <f aca="false">IF(A147="","",IF(AND(A147&gt;=VP_START,A147&lt;=VP_END),1,0))</f>
        <v/>
      </c>
    </row>
    <row r="148" customFormat="false" ht="15" hidden="false" customHeight="false" outlineLevel="0" collapsed="false">
      <c r="A148" s="37"/>
      <c r="B148" s="36"/>
      <c r="C148" s="36"/>
      <c r="D148" s="36"/>
      <c r="E148" s="36"/>
      <c r="F148" s="38"/>
      <c r="G148" s="36"/>
      <c r="H148" s="39" t="str">
        <f aca="false">IF(F148="","",IF(G148="Standard 5%",F148*VAT_RATE,0))</f>
        <v/>
      </c>
      <c r="I148" s="39" t="str">
        <f aca="false">IF(F148="","",F148+H148)</f>
        <v/>
      </c>
      <c r="J148" s="36"/>
      <c r="K148" s="37"/>
      <c r="L148" s="38"/>
      <c r="M148" s="22" t="str">
        <f aca="true">IF(OR(A148="",J148="Paid",J148="Written off"),"",TODAY()-A148)</f>
        <v/>
      </c>
      <c r="N148" s="22" t="str">
        <f aca="false">IF(M148="","",IF(M148&gt;OVERDUE_DAYS,"OVERDUE",""))</f>
        <v/>
      </c>
      <c r="O148" s="40" t="str">
        <f aca="false">IF(A148="","",IF(A148&lt;FY_START,0,(YEAR(A148)-YEAR(FY_START))*12+MONTH(A148)-MONTH(FY_START)+1))</f>
        <v/>
      </c>
      <c r="P148" s="40" t="str">
        <f aca="false">IF(A148="","",IF(AND(A148&gt;=VP_START,A148&lt;=VP_END),1,0))</f>
        <v/>
      </c>
    </row>
    <row r="149" customFormat="false" ht="15" hidden="false" customHeight="false" outlineLevel="0" collapsed="false">
      <c r="A149" s="37"/>
      <c r="B149" s="36"/>
      <c r="C149" s="36"/>
      <c r="D149" s="36"/>
      <c r="E149" s="36"/>
      <c r="F149" s="38"/>
      <c r="G149" s="36"/>
      <c r="H149" s="39" t="str">
        <f aca="false">IF(F149="","",IF(G149="Standard 5%",F149*VAT_RATE,0))</f>
        <v/>
      </c>
      <c r="I149" s="39" t="str">
        <f aca="false">IF(F149="","",F149+H149)</f>
        <v/>
      </c>
      <c r="J149" s="36"/>
      <c r="K149" s="37"/>
      <c r="L149" s="38"/>
      <c r="M149" s="22" t="str">
        <f aca="true">IF(OR(A149="",J149="Paid",J149="Written off"),"",TODAY()-A149)</f>
        <v/>
      </c>
      <c r="N149" s="22" t="str">
        <f aca="false">IF(M149="","",IF(M149&gt;OVERDUE_DAYS,"OVERDUE",""))</f>
        <v/>
      </c>
      <c r="O149" s="40" t="str">
        <f aca="false">IF(A149="","",IF(A149&lt;FY_START,0,(YEAR(A149)-YEAR(FY_START))*12+MONTH(A149)-MONTH(FY_START)+1))</f>
        <v/>
      </c>
      <c r="P149" s="40" t="str">
        <f aca="false">IF(A149="","",IF(AND(A149&gt;=VP_START,A149&lt;=VP_END),1,0))</f>
        <v/>
      </c>
    </row>
    <row r="150" customFormat="false" ht="15" hidden="false" customHeight="false" outlineLevel="0" collapsed="false">
      <c r="A150" s="37"/>
      <c r="B150" s="36"/>
      <c r="C150" s="36"/>
      <c r="D150" s="36"/>
      <c r="E150" s="36"/>
      <c r="F150" s="38"/>
      <c r="G150" s="36"/>
      <c r="H150" s="39" t="str">
        <f aca="false">IF(F150="","",IF(G150="Standard 5%",F150*VAT_RATE,0))</f>
        <v/>
      </c>
      <c r="I150" s="39" t="str">
        <f aca="false">IF(F150="","",F150+H150)</f>
        <v/>
      </c>
      <c r="J150" s="36"/>
      <c r="K150" s="37"/>
      <c r="L150" s="38"/>
      <c r="M150" s="22" t="str">
        <f aca="true">IF(OR(A150="",J150="Paid",J150="Written off"),"",TODAY()-A150)</f>
        <v/>
      </c>
      <c r="N150" s="22" t="str">
        <f aca="false">IF(M150="","",IF(M150&gt;OVERDUE_DAYS,"OVERDUE",""))</f>
        <v/>
      </c>
      <c r="O150" s="40" t="str">
        <f aca="false">IF(A150="","",IF(A150&lt;FY_START,0,(YEAR(A150)-YEAR(FY_START))*12+MONTH(A150)-MONTH(FY_START)+1))</f>
        <v/>
      </c>
      <c r="P150" s="40" t="str">
        <f aca="false">IF(A150="","",IF(AND(A150&gt;=VP_START,A150&lt;=VP_END),1,0))</f>
        <v/>
      </c>
    </row>
    <row r="151" customFormat="false" ht="15" hidden="false" customHeight="false" outlineLevel="0" collapsed="false">
      <c r="A151" s="37"/>
      <c r="B151" s="36"/>
      <c r="C151" s="36"/>
      <c r="D151" s="36"/>
      <c r="E151" s="36"/>
      <c r="F151" s="38"/>
      <c r="G151" s="36"/>
      <c r="H151" s="39" t="str">
        <f aca="false">IF(F151="","",IF(G151="Standard 5%",F151*VAT_RATE,0))</f>
        <v/>
      </c>
      <c r="I151" s="39" t="str">
        <f aca="false">IF(F151="","",F151+H151)</f>
        <v/>
      </c>
      <c r="J151" s="36"/>
      <c r="K151" s="37"/>
      <c r="L151" s="38"/>
      <c r="M151" s="22" t="str">
        <f aca="true">IF(OR(A151="",J151="Paid",J151="Written off"),"",TODAY()-A151)</f>
        <v/>
      </c>
      <c r="N151" s="22" t="str">
        <f aca="false">IF(M151="","",IF(M151&gt;OVERDUE_DAYS,"OVERDUE",""))</f>
        <v/>
      </c>
      <c r="O151" s="40" t="str">
        <f aca="false">IF(A151="","",IF(A151&lt;FY_START,0,(YEAR(A151)-YEAR(FY_START))*12+MONTH(A151)-MONTH(FY_START)+1))</f>
        <v/>
      </c>
      <c r="P151" s="40" t="str">
        <f aca="false">IF(A151="","",IF(AND(A151&gt;=VP_START,A151&lt;=VP_END),1,0))</f>
        <v/>
      </c>
    </row>
    <row r="152" customFormat="false" ht="15" hidden="false" customHeight="false" outlineLevel="0" collapsed="false">
      <c r="A152" s="37"/>
      <c r="B152" s="36"/>
      <c r="C152" s="36"/>
      <c r="D152" s="36"/>
      <c r="E152" s="36"/>
      <c r="F152" s="38"/>
      <c r="G152" s="36"/>
      <c r="H152" s="39" t="str">
        <f aca="false">IF(F152="","",IF(G152="Standard 5%",F152*VAT_RATE,0))</f>
        <v/>
      </c>
      <c r="I152" s="39" t="str">
        <f aca="false">IF(F152="","",F152+H152)</f>
        <v/>
      </c>
      <c r="J152" s="36"/>
      <c r="K152" s="37"/>
      <c r="L152" s="38"/>
      <c r="M152" s="22" t="str">
        <f aca="true">IF(OR(A152="",J152="Paid",J152="Written off"),"",TODAY()-A152)</f>
        <v/>
      </c>
      <c r="N152" s="22" t="str">
        <f aca="false">IF(M152="","",IF(M152&gt;OVERDUE_DAYS,"OVERDUE",""))</f>
        <v/>
      </c>
      <c r="O152" s="40" t="str">
        <f aca="false">IF(A152="","",IF(A152&lt;FY_START,0,(YEAR(A152)-YEAR(FY_START))*12+MONTH(A152)-MONTH(FY_START)+1))</f>
        <v/>
      </c>
      <c r="P152" s="40" t="str">
        <f aca="false">IF(A152="","",IF(AND(A152&gt;=VP_START,A152&lt;=VP_END),1,0))</f>
        <v/>
      </c>
    </row>
    <row r="153" customFormat="false" ht="15" hidden="false" customHeight="false" outlineLevel="0" collapsed="false">
      <c r="A153" s="37"/>
      <c r="B153" s="36"/>
      <c r="C153" s="36"/>
      <c r="D153" s="36"/>
      <c r="E153" s="36"/>
      <c r="F153" s="38"/>
      <c r="G153" s="36"/>
      <c r="H153" s="39" t="str">
        <f aca="false">IF(F153="","",IF(G153="Standard 5%",F153*VAT_RATE,0))</f>
        <v/>
      </c>
      <c r="I153" s="39" t="str">
        <f aca="false">IF(F153="","",F153+H153)</f>
        <v/>
      </c>
      <c r="J153" s="36"/>
      <c r="K153" s="37"/>
      <c r="L153" s="38"/>
      <c r="M153" s="22" t="str">
        <f aca="true">IF(OR(A153="",J153="Paid",J153="Written off"),"",TODAY()-A153)</f>
        <v/>
      </c>
      <c r="N153" s="22" t="str">
        <f aca="false">IF(M153="","",IF(M153&gt;OVERDUE_DAYS,"OVERDUE",""))</f>
        <v/>
      </c>
      <c r="O153" s="40" t="str">
        <f aca="false">IF(A153="","",IF(A153&lt;FY_START,0,(YEAR(A153)-YEAR(FY_START))*12+MONTH(A153)-MONTH(FY_START)+1))</f>
        <v/>
      </c>
      <c r="P153" s="40" t="str">
        <f aca="false">IF(A153="","",IF(AND(A153&gt;=VP_START,A153&lt;=VP_END),1,0))</f>
        <v/>
      </c>
    </row>
    <row r="154" customFormat="false" ht="15" hidden="false" customHeight="false" outlineLevel="0" collapsed="false">
      <c r="A154" s="37"/>
      <c r="B154" s="36"/>
      <c r="C154" s="36"/>
      <c r="D154" s="36"/>
      <c r="E154" s="36"/>
      <c r="F154" s="38"/>
      <c r="G154" s="36"/>
      <c r="H154" s="39" t="str">
        <f aca="false">IF(F154="","",IF(G154="Standard 5%",F154*VAT_RATE,0))</f>
        <v/>
      </c>
      <c r="I154" s="39" t="str">
        <f aca="false">IF(F154="","",F154+H154)</f>
        <v/>
      </c>
      <c r="J154" s="36"/>
      <c r="K154" s="37"/>
      <c r="L154" s="38"/>
      <c r="M154" s="22" t="str">
        <f aca="true">IF(OR(A154="",J154="Paid",J154="Written off"),"",TODAY()-A154)</f>
        <v/>
      </c>
      <c r="N154" s="22" t="str">
        <f aca="false">IF(M154="","",IF(M154&gt;OVERDUE_DAYS,"OVERDUE",""))</f>
        <v/>
      </c>
      <c r="O154" s="40" t="str">
        <f aca="false">IF(A154="","",IF(A154&lt;FY_START,0,(YEAR(A154)-YEAR(FY_START))*12+MONTH(A154)-MONTH(FY_START)+1))</f>
        <v/>
      </c>
      <c r="P154" s="40" t="str">
        <f aca="false">IF(A154="","",IF(AND(A154&gt;=VP_START,A154&lt;=VP_END),1,0))</f>
        <v/>
      </c>
    </row>
    <row r="155" customFormat="false" ht="15" hidden="false" customHeight="false" outlineLevel="0" collapsed="false">
      <c r="A155" s="37"/>
      <c r="B155" s="36"/>
      <c r="C155" s="36"/>
      <c r="D155" s="36"/>
      <c r="E155" s="36"/>
      <c r="F155" s="38"/>
      <c r="G155" s="36"/>
      <c r="H155" s="39" t="str">
        <f aca="false">IF(F155="","",IF(G155="Standard 5%",F155*VAT_RATE,0))</f>
        <v/>
      </c>
      <c r="I155" s="39" t="str">
        <f aca="false">IF(F155="","",F155+H155)</f>
        <v/>
      </c>
      <c r="J155" s="36"/>
      <c r="K155" s="37"/>
      <c r="L155" s="38"/>
      <c r="M155" s="22" t="str">
        <f aca="true">IF(OR(A155="",J155="Paid",J155="Written off"),"",TODAY()-A155)</f>
        <v/>
      </c>
      <c r="N155" s="22" t="str">
        <f aca="false">IF(M155="","",IF(M155&gt;OVERDUE_DAYS,"OVERDUE",""))</f>
        <v/>
      </c>
      <c r="O155" s="40" t="str">
        <f aca="false">IF(A155="","",IF(A155&lt;FY_START,0,(YEAR(A155)-YEAR(FY_START))*12+MONTH(A155)-MONTH(FY_START)+1))</f>
        <v/>
      </c>
      <c r="P155" s="40" t="str">
        <f aca="false">IF(A155="","",IF(AND(A155&gt;=VP_START,A155&lt;=VP_END),1,0))</f>
        <v/>
      </c>
    </row>
    <row r="156" customFormat="false" ht="15" hidden="false" customHeight="false" outlineLevel="0" collapsed="false">
      <c r="A156" s="37"/>
      <c r="B156" s="36"/>
      <c r="C156" s="36"/>
      <c r="D156" s="36"/>
      <c r="E156" s="36"/>
      <c r="F156" s="38"/>
      <c r="G156" s="36"/>
      <c r="H156" s="39" t="str">
        <f aca="false">IF(F156="","",IF(G156="Standard 5%",F156*VAT_RATE,0))</f>
        <v/>
      </c>
      <c r="I156" s="39" t="str">
        <f aca="false">IF(F156="","",F156+H156)</f>
        <v/>
      </c>
      <c r="J156" s="36"/>
      <c r="K156" s="37"/>
      <c r="L156" s="38"/>
      <c r="M156" s="22" t="str">
        <f aca="true">IF(OR(A156="",J156="Paid",J156="Written off"),"",TODAY()-A156)</f>
        <v/>
      </c>
      <c r="N156" s="22" t="str">
        <f aca="false">IF(M156="","",IF(M156&gt;OVERDUE_DAYS,"OVERDUE",""))</f>
        <v/>
      </c>
      <c r="O156" s="40" t="str">
        <f aca="false">IF(A156="","",IF(A156&lt;FY_START,0,(YEAR(A156)-YEAR(FY_START))*12+MONTH(A156)-MONTH(FY_START)+1))</f>
        <v/>
      </c>
      <c r="P156" s="40" t="str">
        <f aca="false">IF(A156="","",IF(AND(A156&gt;=VP_START,A156&lt;=VP_END),1,0))</f>
        <v/>
      </c>
    </row>
    <row r="157" customFormat="false" ht="15" hidden="false" customHeight="false" outlineLevel="0" collapsed="false">
      <c r="A157" s="37"/>
      <c r="B157" s="36"/>
      <c r="C157" s="36"/>
      <c r="D157" s="36"/>
      <c r="E157" s="36"/>
      <c r="F157" s="38"/>
      <c r="G157" s="36"/>
      <c r="H157" s="39" t="str">
        <f aca="false">IF(F157="","",IF(G157="Standard 5%",F157*VAT_RATE,0))</f>
        <v/>
      </c>
      <c r="I157" s="39" t="str">
        <f aca="false">IF(F157="","",F157+H157)</f>
        <v/>
      </c>
      <c r="J157" s="36"/>
      <c r="K157" s="37"/>
      <c r="L157" s="38"/>
      <c r="M157" s="22" t="str">
        <f aca="true">IF(OR(A157="",J157="Paid",J157="Written off"),"",TODAY()-A157)</f>
        <v/>
      </c>
      <c r="N157" s="22" t="str">
        <f aca="false">IF(M157="","",IF(M157&gt;OVERDUE_DAYS,"OVERDUE",""))</f>
        <v/>
      </c>
      <c r="O157" s="40" t="str">
        <f aca="false">IF(A157="","",IF(A157&lt;FY_START,0,(YEAR(A157)-YEAR(FY_START))*12+MONTH(A157)-MONTH(FY_START)+1))</f>
        <v/>
      </c>
      <c r="P157" s="40" t="str">
        <f aca="false">IF(A157="","",IF(AND(A157&gt;=VP_START,A157&lt;=VP_END),1,0))</f>
        <v/>
      </c>
    </row>
    <row r="158" customFormat="false" ht="15" hidden="false" customHeight="false" outlineLevel="0" collapsed="false">
      <c r="A158" s="37"/>
      <c r="B158" s="36"/>
      <c r="C158" s="36"/>
      <c r="D158" s="36"/>
      <c r="E158" s="36"/>
      <c r="F158" s="38"/>
      <c r="G158" s="36"/>
      <c r="H158" s="39" t="str">
        <f aca="false">IF(F158="","",IF(G158="Standard 5%",F158*VAT_RATE,0))</f>
        <v/>
      </c>
      <c r="I158" s="39" t="str">
        <f aca="false">IF(F158="","",F158+H158)</f>
        <v/>
      </c>
      <c r="J158" s="36"/>
      <c r="K158" s="37"/>
      <c r="L158" s="38"/>
      <c r="M158" s="22" t="str">
        <f aca="true">IF(OR(A158="",J158="Paid",J158="Written off"),"",TODAY()-A158)</f>
        <v/>
      </c>
      <c r="N158" s="22" t="str">
        <f aca="false">IF(M158="","",IF(M158&gt;OVERDUE_DAYS,"OVERDUE",""))</f>
        <v/>
      </c>
      <c r="O158" s="40" t="str">
        <f aca="false">IF(A158="","",IF(A158&lt;FY_START,0,(YEAR(A158)-YEAR(FY_START))*12+MONTH(A158)-MONTH(FY_START)+1))</f>
        <v/>
      </c>
      <c r="P158" s="40" t="str">
        <f aca="false">IF(A158="","",IF(AND(A158&gt;=VP_START,A158&lt;=VP_END),1,0))</f>
        <v/>
      </c>
    </row>
    <row r="159" customFormat="false" ht="15" hidden="false" customHeight="false" outlineLevel="0" collapsed="false">
      <c r="A159" s="37"/>
      <c r="B159" s="36"/>
      <c r="C159" s="36"/>
      <c r="D159" s="36"/>
      <c r="E159" s="36"/>
      <c r="F159" s="38"/>
      <c r="G159" s="36"/>
      <c r="H159" s="39" t="str">
        <f aca="false">IF(F159="","",IF(G159="Standard 5%",F159*VAT_RATE,0))</f>
        <v/>
      </c>
      <c r="I159" s="39" t="str">
        <f aca="false">IF(F159="","",F159+H159)</f>
        <v/>
      </c>
      <c r="J159" s="36"/>
      <c r="K159" s="37"/>
      <c r="L159" s="38"/>
      <c r="M159" s="22" t="str">
        <f aca="true">IF(OR(A159="",J159="Paid",J159="Written off"),"",TODAY()-A159)</f>
        <v/>
      </c>
      <c r="N159" s="22" t="str">
        <f aca="false">IF(M159="","",IF(M159&gt;OVERDUE_DAYS,"OVERDUE",""))</f>
        <v/>
      </c>
      <c r="O159" s="40" t="str">
        <f aca="false">IF(A159="","",IF(A159&lt;FY_START,0,(YEAR(A159)-YEAR(FY_START))*12+MONTH(A159)-MONTH(FY_START)+1))</f>
        <v/>
      </c>
      <c r="P159" s="40" t="str">
        <f aca="false">IF(A159="","",IF(AND(A159&gt;=VP_START,A159&lt;=VP_END),1,0))</f>
        <v/>
      </c>
    </row>
    <row r="160" customFormat="false" ht="15" hidden="false" customHeight="false" outlineLevel="0" collapsed="false">
      <c r="A160" s="37"/>
      <c r="B160" s="36"/>
      <c r="C160" s="36"/>
      <c r="D160" s="36"/>
      <c r="E160" s="36"/>
      <c r="F160" s="38"/>
      <c r="G160" s="36"/>
      <c r="H160" s="39" t="str">
        <f aca="false">IF(F160="","",IF(G160="Standard 5%",F160*VAT_RATE,0))</f>
        <v/>
      </c>
      <c r="I160" s="39" t="str">
        <f aca="false">IF(F160="","",F160+H160)</f>
        <v/>
      </c>
      <c r="J160" s="36"/>
      <c r="K160" s="37"/>
      <c r="L160" s="38"/>
      <c r="M160" s="22" t="str">
        <f aca="true">IF(OR(A160="",J160="Paid",J160="Written off"),"",TODAY()-A160)</f>
        <v/>
      </c>
      <c r="N160" s="22" t="str">
        <f aca="false">IF(M160="","",IF(M160&gt;OVERDUE_DAYS,"OVERDUE",""))</f>
        <v/>
      </c>
      <c r="O160" s="40" t="str">
        <f aca="false">IF(A160="","",IF(A160&lt;FY_START,0,(YEAR(A160)-YEAR(FY_START))*12+MONTH(A160)-MONTH(FY_START)+1))</f>
        <v/>
      </c>
      <c r="P160" s="40" t="str">
        <f aca="false">IF(A160="","",IF(AND(A160&gt;=VP_START,A160&lt;=VP_END),1,0))</f>
        <v/>
      </c>
    </row>
    <row r="161" customFormat="false" ht="15" hidden="false" customHeight="false" outlineLevel="0" collapsed="false">
      <c r="A161" s="37"/>
      <c r="B161" s="36"/>
      <c r="C161" s="36"/>
      <c r="D161" s="36"/>
      <c r="E161" s="36"/>
      <c r="F161" s="38"/>
      <c r="G161" s="36"/>
      <c r="H161" s="39" t="str">
        <f aca="false">IF(F161="","",IF(G161="Standard 5%",F161*VAT_RATE,0))</f>
        <v/>
      </c>
      <c r="I161" s="39" t="str">
        <f aca="false">IF(F161="","",F161+H161)</f>
        <v/>
      </c>
      <c r="J161" s="36"/>
      <c r="K161" s="37"/>
      <c r="L161" s="38"/>
      <c r="M161" s="22" t="str">
        <f aca="true">IF(OR(A161="",J161="Paid",J161="Written off"),"",TODAY()-A161)</f>
        <v/>
      </c>
      <c r="N161" s="22" t="str">
        <f aca="false">IF(M161="","",IF(M161&gt;OVERDUE_DAYS,"OVERDUE",""))</f>
        <v/>
      </c>
      <c r="O161" s="40" t="str">
        <f aca="false">IF(A161="","",IF(A161&lt;FY_START,0,(YEAR(A161)-YEAR(FY_START))*12+MONTH(A161)-MONTH(FY_START)+1))</f>
        <v/>
      </c>
      <c r="P161" s="40" t="str">
        <f aca="false">IF(A161="","",IF(AND(A161&gt;=VP_START,A161&lt;=VP_END),1,0))</f>
        <v/>
      </c>
    </row>
    <row r="162" customFormat="false" ht="15" hidden="false" customHeight="false" outlineLevel="0" collapsed="false">
      <c r="A162" s="37"/>
      <c r="B162" s="36"/>
      <c r="C162" s="36"/>
      <c r="D162" s="36"/>
      <c r="E162" s="36"/>
      <c r="F162" s="38"/>
      <c r="G162" s="36"/>
      <c r="H162" s="39" t="str">
        <f aca="false">IF(F162="","",IF(G162="Standard 5%",F162*VAT_RATE,0))</f>
        <v/>
      </c>
      <c r="I162" s="39" t="str">
        <f aca="false">IF(F162="","",F162+H162)</f>
        <v/>
      </c>
      <c r="J162" s="36"/>
      <c r="K162" s="37"/>
      <c r="L162" s="38"/>
      <c r="M162" s="22" t="str">
        <f aca="true">IF(OR(A162="",J162="Paid",J162="Written off"),"",TODAY()-A162)</f>
        <v/>
      </c>
      <c r="N162" s="22" t="str">
        <f aca="false">IF(M162="","",IF(M162&gt;OVERDUE_DAYS,"OVERDUE",""))</f>
        <v/>
      </c>
      <c r="O162" s="40" t="str">
        <f aca="false">IF(A162="","",IF(A162&lt;FY_START,0,(YEAR(A162)-YEAR(FY_START))*12+MONTH(A162)-MONTH(FY_START)+1))</f>
        <v/>
      </c>
      <c r="P162" s="40" t="str">
        <f aca="false">IF(A162="","",IF(AND(A162&gt;=VP_START,A162&lt;=VP_END),1,0))</f>
        <v/>
      </c>
    </row>
    <row r="163" customFormat="false" ht="15" hidden="false" customHeight="false" outlineLevel="0" collapsed="false">
      <c r="A163" s="37"/>
      <c r="B163" s="36"/>
      <c r="C163" s="36"/>
      <c r="D163" s="36"/>
      <c r="E163" s="36"/>
      <c r="F163" s="38"/>
      <c r="G163" s="36"/>
      <c r="H163" s="39" t="str">
        <f aca="false">IF(F163="","",IF(G163="Standard 5%",F163*VAT_RATE,0))</f>
        <v/>
      </c>
      <c r="I163" s="39" t="str">
        <f aca="false">IF(F163="","",F163+H163)</f>
        <v/>
      </c>
      <c r="J163" s="36"/>
      <c r="K163" s="37"/>
      <c r="L163" s="38"/>
      <c r="M163" s="22" t="str">
        <f aca="true">IF(OR(A163="",J163="Paid",J163="Written off"),"",TODAY()-A163)</f>
        <v/>
      </c>
      <c r="N163" s="22" t="str">
        <f aca="false">IF(M163="","",IF(M163&gt;OVERDUE_DAYS,"OVERDUE",""))</f>
        <v/>
      </c>
      <c r="O163" s="40" t="str">
        <f aca="false">IF(A163="","",IF(A163&lt;FY_START,0,(YEAR(A163)-YEAR(FY_START))*12+MONTH(A163)-MONTH(FY_START)+1))</f>
        <v/>
      </c>
      <c r="P163" s="40" t="str">
        <f aca="false">IF(A163="","",IF(AND(A163&gt;=VP_START,A163&lt;=VP_END),1,0))</f>
        <v/>
      </c>
    </row>
    <row r="164" customFormat="false" ht="15" hidden="false" customHeight="false" outlineLevel="0" collapsed="false">
      <c r="A164" s="37"/>
      <c r="B164" s="36"/>
      <c r="C164" s="36"/>
      <c r="D164" s="36"/>
      <c r="E164" s="36"/>
      <c r="F164" s="38"/>
      <c r="G164" s="36"/>
      <c r="H164" s="39" t="str">
        <f aca="false">IF(F164="","",IF(G164="Standard 5%",F164*VAT_RATE,0))</f>
        <v/>
      </c>
      <c r="I164" s="39" t="str">
        <f aca="false">IF(F164="","",F164+H164)</f>
        <v/>
      </c>
      <c r="J164" s="36"/>
      <c r="K164" s="37"/>
      <c r="L164" s="38"/>
      <c r="M164" s="22" t="str">
        <f aca="true">IF(OR(A164="",J164="Paid",J164="Written off"),"",TODAY()-A164)</f>
        <v/>
      </c>
      <c r="N164" s="22" t="str">
        <f aca="false">IF(M164="","",IF(M164&gt;OVERDUE_DAYS,"OVERDUE",""))</f>
        <v/>
      </c>
      <c r="O164" s="40" t="str">
        <f aca="false">IF(A164="","",IF(A164&lt;FY_START,0,(YEAR(A164)-YEAR(FY_START))*12+MONTH(A164)-MONTH(FY_START)+1))</f>
        <v/>
      </c>
      <c r="P164" s="40" t="str">
        <f aca="false">IF(A164="","",IF(AND(A164&gt;=VP_START,A164&lt;=VP_END),1,0))</f>
        <v/>
      </c>
    </row>
    <row r="165" customFormat="false" ht="15" hidden="false" customHeight="false" outlineLevel="0" collapsed="false">
      <c r="A165" s="37"/>
      <c r="B165" s="36"/>
      <c r="C165" s="36"/>
      <c r="D165" s="36"/>
      <c r="E165" s="36"/>
      <c r="F165" s="38"/>
      <c r="G165" s="36"/>
      <c r="H165" s="39" t="str">
        <f aca="false">IF(F165="","",IF(G165="Standard 5%",F165*VAT_RATE,0))</f>
        <v/>
      </c>
      <c r="I165" s="39" t="str">
        <f aca="false">IF(F165="","",F165+H165)</f>
        <v/>
      </c>
      <c r="J165" s="36"/>
      <c r="K165" s="37"/>
      <c r="L165" s="38"/>
      <c r="M165" s="22" t="str">
        <f aca="true">IF(OR(A165="",J165="Paid",J165="Written off"),"",TODAY()-A165)</f>
        <v/>
      </c>
      <c r="N165" s="22" t="str">
        <f aca="false">IF(M165="","",IF(M165&gt;OVERDUE_DAYS,"OVERDUE",""))</f>
        <v/>
      </c>
      <c r="O165" s="40" t="str">
        <f aca="false">IF(A165="","",IF(A165&lt;FY_START,0,(YEAR(A165)-YEAR(FY_START))*12+MONTH(A165)-MONTH(FY_START)+1))</f>
        <v/>
      </c>
      <c r="P165" s="40" t="str">
        <f aca="false">IF(A165="","",IF(AND(A165&gt;=VP_START,A165&lt;=VP_END),1,0))</f>
        <v/>
      </c>
    </row>
    <row r="166" customFormat="false" ht="15" hidden="false" customHeight="false" outlineLevel="0" collapsed="false">
      <c r="A166" s="37"/>
      <c r="B166" s="36"/>
      <c r="C166" s="36"/>
      <c r="D166" s="36"/>
      <c r="E166" s="36"/>
      <c r="F166" s="38"/>
      <c r="G166" s="36"/>
      <c r="H166" s="39" t="str">
        <f aca="false">IF(F166="","",IF(G166="Standard 5%",F166*VAT_RATE,0))</f>
        <v/>
      </c>
      <c r="I166" s="39" t="str">
        <f aca="false">IF(F166="","",F166+H166)</f>
        <v/>
      </c>
      <c r="J166" s="36"/>
      <c r="K166" s="37"/>
      <c r="L166" s="38"/>
      <c r="M166" s="22" t="str">
        <f aca="true">IF(OR(A166="",J166="Paid",J166="Written off"),"",TODAY()-A166)</f>
        <v/>
      </c>
      <c r="N166" s="22" t="str">
        <f aca="false">IF(M166="","",IF(M166&gt;OVERDUE_DAYS,"OVERDUE",""))</f>
        <v/>
      </c>
      <c r="O166" s="40" t="str">
        <f aca="false">IF(A166="","",IF(A166&lt;FY_START,0,(YEAR(A166)-YEAR(FY_START))*12+MONTH(A166)-MONTH(FY_START)+1))</f>
        <v/>
      </c>
      <c r="P166" s="40" t="str">
        <f aca="false">IF(A166="","",IF(AND(A166&gt;=VP_START,A166&lt;=VP_END),1,0))</f>
        <v/>
      </c>
    </row>
    <row r="167" customFormat="false" ht="15" hidden="false" customHeight="false" outlineLevel="0" collapsed="false">
      <c r="A167" s="37"/>
      <c r="B167" s="36"/>
      <c r="C167" s="36"/>
      <c r="D167" s="36"/>
      <c r="E167" s="36"/>
      <c r="F167" s="38"/>
      <c r="G167" s="36"/>
      <c r="H167" s="39" t="str">
        <f aca="false">IF(F167="","",IF(G167="Standard 5%",F167*VAT_RATE,0))</f>
        <v/>
      </c>
      <c r="I167" s="39" t="str">
        <f aca="false">IF(F167="","",F167+H167)</f>
        <v/>
      </c>
      <c r="J167" s="36"/>
      <c r="K167" s="37"/>
      <c r="L167" s="38"/>
      <c r="M167" s="22" t="str">
        <f aca="true">IF(OR(A167="",J167="Paid",J167="Written off"),"",TODAY()-A167)</f>
        <v/>
      </c>
      <c r="N167" s="22" t="str">
        <f aca="false">IF(M167="","",IF(M167&gt;OVERDUE_DAYS,"OVERDUE",""))</f>
        <v/>
      </c>
      <c r="O167" s="40" t="str">
        <f aca="false">IF(A167="","",IF(A167&lt;FY_START,0,(YEAR(A167)-YEAR(FY_START))*12+MONTH(A167)-MONTH(FY_START)+1))</f>
        <v/>
      </c>
      <c r="P167" s="40" t="str">
        <f aca="false">IF(A167="","",IF(AND(A167&gt;=VP_START,A167&lt;=VP_END),1,0))</f>
        <v/>
      </c>
    </row>
    <row r="168" customFormat="false" ht="15" hidden="false" customHeight="false" outlineLevel="0" collapsed="false">
      <c r="A168" s="37"/>
      <c r="B168" s="36"/>
      <c r="C168" s="36"/>
      <c r="D168" s="36"/>
      <c r="E168" s="36"/>
      <c r="F168" s="38"/>
      <c r="G168" s="36"/>
      <c r="H168" s="39" t="str">
        <f aca="false">IF(F168="","",IF(G168="Standard 5%",F168*VAT_RATE,0))</f>
        <v/>
      </c>
      <c r="I168" s="39" t="str">
        <f aca="false">IF(F168="","",F168+H168)</f>
        <v/>
      </c>
      <c r="J168" s="36"/>
      <c r="K168" s="37"/>
      <c r="L168" s="38"/>
      <c r="M168" s="22" t="str">
        <f aca="true">IF(OR(A168="",J168="Paid",J168="Written off"),"",TODAY()-A168)</f>
        <v/>
      </c>
      <c r="N168" s="22" t="str">
        <f aca="false">IF(M168="","",IF(M168&gt;OVERDUE_DAYS,"OVERDUE",""))</f>
        <v/>
      </c>
      <c r="O168" s="40" t="str">
        <f aca="false">IF(A168="","",IF(A168&lt;FY_START,0,(YEAR(A168)-YEAR(FY_START))*12+MONTH(A168)-MONTH(FY_START)+1))</f>
        <v/>
      </c>
      <c r="P168" s="40" t="str">
        <f aca="false">IF(A168="","",IF(AND(A168&gt;=VP_START,A168&lt;=VP_END),1,0))</f>
        <v/>
      </c>
    </row>
    <row r="169" customFormat="false" ht="15" hidden="false" customHeight="false" outlineLevel="0" collapsed="false">
      <c r="A169" s="37"/>
      <c r="B169" s="36"/>
      <c r="C169" s="36"/>
      <c r="D169" s="36"/>
      <c r="E169" s="36"/>
      <c r="F169" s="38"/>
      <c r="G169" s="36"/>
      <c r="H169" s="39" t="str">
        <f aca="false">IF(F169="","",IF(G169="Standard 5%",F169*VAT_RATE,0))</f>
        <v/>
      </c>
      <c r="I169" s="39" t="str">
        <f aca="false">IF(F169="","",F169+H169)</f>
        <v/>
      </c>
      <c r="J169" s="36"/>
      <c r="K169" s="37"/>
      <c r="L169" s="38"/>
      <c r="M169" s="22" t="str">
        <f aca="true">IF(OR(A169="",J169="Paid",J169="Written off"),"",TODAY()-A169)</f>
        <v/>
      </c>
      <c r="N169" s="22" t="str">
        <f aca="false">IF(M169="","",IF(M169&gt;OVERDUE_DAYS,"OVERDUE",""))</f>
        <v/>
      </c>
      <c r="O169" s="40" t="str">
        <f aca="false">IF(A169="","",IF(A169&lt;FY_START,0,(YEAR(A169)-YEAR(FY_START))*12+MONTH(A169)-MONTH(FY_START)+1))</f>
        <v/>
      </c>
      <c r="P169" s="40" t="str">
        <f aca="false">IF(A169="","",IF(AND(A169&gt;=VP_START,A169&lt;=VP_END),1,0))</f>
        <v/>
      </c>
    </row>
    <row r="170" customFormat="false" ht="15" hidden="false" customHeight="false" outlineLevel="0" collapsed="false">
      <c r="A170" s="37"/>
      <c r="B170" s="36"/>
      <c r="C170" s="36"/>
      <c r="D170" s="36"/>
      <c r="E170" s="36"/>
      <c r="F170" s="38"/>
      <c r="G170" s="36"/>
      <c r="H170" s="39" t="str">
        <f aca="false">IF(F170="","",IF(G170="Standard 5%",F170*VAT_RATE,0))</f>
        <v/>
      </c>
      <c r="I170" s="39" t="str">
        <f aca="false">IF(F170="","",F170+H170)</f>
        <v/>
      </c>
      <c r="J170" s="36"/>
      <c r="K170" s="37"/>
      <c r="L170" s="38"/>
      <c r="M170" s="22" t="str">
        <f aca="true">IF(OR(A170="",J170="Paid",J170="Written off"),"",TODAY()-A170)</f>
        <v/>
      </c>
      <c r="N170" s="22" t="str">
        <f aca="false">IF(M170="","",IF(M170&gt;OVERDUE_DAYS,"OVERDUE",""))</f>
        <v/>
      </c>
      <c r="O170" s="40" t="str">
        <f aca="false">IF(A170="","",IF(A170&lt;FY_START,0,(YEAR(A170)-YEAR(FY_START))*12+MONTH(A170)-MONTH(FY_START)+1))</f>
        <v/>
      </c>
      <c r="P170" s="40" t="str">
        <f aca="false">IF(A170="","",IF(AND(A170&gt;=VP_START,A170&lt;=VP_END),1,0))</f>
        <v/>
      </c>
    </row>
    <row r="171" customFormat="false" ht="15" hidden="false" customHeight="false" outlineLevel="0" collapsed="false">
      <c r="A171" s="37"/>
      <c r="B171" s="36"/>
      <c r="C171" s="36"/>
      <c r="D171" s="36"/>
      <c r="E171" s="36"/>
      <c r="F171" s="38"/>
      <c r="G171" s="36"/>
      <c r="H171" s="39" t="str">
        <f aca="false">IF(F171="","",IF(G171="Standard 5%",F171*VAT_RATE,0))</f>
        <v/>
      </c>
      <c r="I171" s="39" t="str">
        <f aca="false">IF(F171="","",F171+H171)</f>
        <v/>
      </c>
      <c r="J171" s="36"/>
      <c r="K171" s="37"/>
      <c r="L171" s="38"/>
      <c r="M171" s="22" t="str">
        <f aca="true">IF(OR(A171="",J171="Paid",J171="Written off"),"",TODAY()-A171)</f>
        <v/>
      </c>
      <c r="N171" s="22" t="str">
        <f aca="false">IF(M171="","",IF(M171&gt;OVERDUE_DAYS,"OVERDUE",""))</f>
        <v/>
      </c>
      <c r="O171" s="40" t="str">
        <f aca="false">IF(A171="","",IF(A171&lt;FY_START,0,(YEAR(A171)-YEAR(FY_START))*12+MONTH(A171)-MONTH(FY_START)+1))</f>
        <v/>
      </c>
      <c r="P171" s="40" t="str">
        <f aca="false">IF(A171="","",IF(AND(A171&gt;=VP_START,A171&lt;=VP_END),1,0))</f>
        <v/>
      </c>
    </row>
    <row r="172" customFormat="false" ht="15" hidden="false" customHeight="false" outlineLevel="0" collapsed="false">
      <c r="A172" s="37"/>
      <c r="B172" s="36"/>
      <c r="C172" s="36"/>
      <c r="D172" s="36"/>
      <c r="E172" s="36"/>
      <c r="F172" s="38"/>
      <c r="G172" s="36"/>
      <c r="H172" s="39" t="str">
        <f aca="false">IF(F172="","",IF(G172="Standard 5%",F172*VAT_RATE,0))</f>
        <v/>
      </c>
      <c r="I172" s="39" t="str">
        <f aca="false">IF(F172="","",F172+H172)</f>
        <v/>
      </c>
      <c r="J172" s="36"/>
      <c r="K172" s="37"/>
      <c r="L172" s="38"/>
      <c r="M172" s="22" t="str">
        <f aca="true">IF(OR(A172="",J172="Paid",J172="Written off"),"",TODAY()-A172)</f>
        <v/>
      </c>
      <c r="N172" s="22" t="str">
        <f aca="false">IF(M172="","",IF(M172&gt;OVERDUE_DAYS,"OVERDUE",""))</f>
        <v/>
      </c>
      <c r="O172" s="40" t="str">
        <f aca="false">IF(A172="","",IF(A172&lt;FY_START,0,(YEAR(A172)-YEAR(FY_START))*12+MONTH(A172)-MONTH(FY_START)+1))</f>
        <v/>
      </c>
      <c r="P172" s="40" t="str">
        <f aca="false">IF(A172="","",IF(AND(A172&gt;=VP_START,A172&lt;=VP_END),1,0))</f>
        <v/>
      </c>
    </row>
    <row r="173" customFormat="false" ht="15" hidden="false" customHeight="false" outlineLevel="0" collapsed="false">
      <c r="A173" s="37"/>
      <c r="B173" s="36"/>
      <c r="C173" s="36"/>
      <c r="D173" s="36"/>
      <c r="E173" s="36"/>
      <c r="F173" s="38"/>
      <c r="G173" s="36"/>
      <c r="H173" s="39" t="str">
        <f aca="false">IF(F173="","",IF(G173="Standard 5%",F173*VAT_RATE,0))</f>
        <v/>
      </c>
      <c r="I173" s="39" t="str">
        <f aca="false">IF(F173="","",F173+H173)</f>
        <v/>
      </c>
      <c r="J173" s="36"/>
      <c r="K173" s="37"/>
      <c r="L173" s="38"/>
      <c r="M173" s="22" t="str">
        <f aca="true">IF(OR(A173="",J173="Paid",J173="Written off"),"",TODAY()-A173)</f>
        <v/>
      </c>
      <c r="N173" s="22" t="str">
        <f aca="false">IF(M173="","",IF(M173&gt;OVERDUE_DAYS,"OVERDUE",""))</f>
        <v/>
      </c>
      <c r="O173" s="40" t="str">
        <f aca="false">IF(A173="","",IF(A173&lt;FY_START,0,(YEAR(A173)-YEAR(FY_START))*12+MONTH(A173)-MONTH(FY_START)+1))</f>
        <v/>
      </c>
      <c r="P173" s="40" t="str">
        <f aca="false">IF(A173="","",IF(AND(A173&gt;=VP_START,A173&lt;=VP_END),1,0))</f>
        <v/>
      </c>
    </row>
    <row r="174" customFormat="false" ht="15" hidden="false" customHeight="false" outlineLevel="0" collapsed="false">
      <c r="A174" s="37"/>
      <c r="B174" s="36"/>
      <c r="C174" s="36"/>
      <c r="D174" s="36"/>
      <c r="E174" s="36"/>
      <c r="F174" s="38"/>
      <c r="G174" s="36"/>
      <c r="H174" s="39" t="str">
        <f aca="false">IF(F174="","",IF(G174="Standard 5%",F174*VAT_RATE,0))</f>
        <v/>
      </c>
      <c r="I174" s="39" t="str">
        <f aca="false">IF(F174="","",F174+H174)</f>
        <v/>
      </c>
      <c r="J174" s="36"/>
      <c r="K174" s="37"/>
      <c r="L174" s="38"/>
      <c r="M174" s="22" t="str">
        <f aca="true">IF(OR(A174="",J174="Paid",J174="Written off"),"",TODAY()-A174)</f>
        <v/>
      </c>
      <c r="N174" s="22" t="str">
        <f aca="false">IF(M174="","",IF(M174&gt;OVERDUE_DAYS,"OVERDUE",""))</f>
        <v/>
      </c>
      <c r="O174" s="40" t="str">
        <f aca="false">IF(A174="","",IF(A174&lt;FY_START,0,(YEAR(A174)-YEAR(FY_START))*12+MONTH(A174)-MONTH(FY_START)+1))</f>
        <v/>
      </c>
      <c r="P174" s="40" t="str">
        <f aca="false">IF(A174="","",IF(AND(A174&gt;=VP_START,A174&lt;=VP_END),1,0))</f>
        <v/>
      </c>
    </row>
    <row r="175" customFormat="false" ht="15" hidden="false" customHeight="false" outlineLevel="0" collapsed="false">
      <c r="A175" s="37"/>
      <c r="B175" s="36"/>
      <c r="C175" s="36"/>
      <c r="D175" s="36"/>
      <c r="E175" s="36"/>
      <c r="F175" s="38"/>
      <c r="G175" s="36"/>
      <c r="H175" s="39" t="str">
        <f aca="false">IF(F175="","",IF(G175="Standard 5%",F175*VAT_RATE,0))</f>
        <v/>
      </c>
      <c r="I175" s="39" t="str">
        <f aca="false">IF(F175="","",F175+H175)</f>
        <v/>
      </c>
      <c r="J175" s="36"/>
      <c r="K175" s="37"/>
      <c r="L175" s="38"/>
      <c r="M175" s="22" t="str">
        <f aca="true">IF(OR(A175="",J175="Paid",J175="Written off"),"",TODAY()-A175)</f>
        <v/>
      </c>
      <c r="N175" s="22" t="str">
        <f aca="false">IF(M175="","",IF(M175&gt;OVERDUE_DAYS,"OVERDUE",""))</f>
        <v/>
      </c>
      <c r="O175" s="40" t="str">
        <f aca="false">IF(A175="","",IF(A175&lt;FY_START,0,(YEAR(A175)-YEAR(FY_START))*12+MONTH(A175)-MONTH(FY_START)+1))</f>
        <v/>
      </c>
      <c r="P175" s="40" t="str">
        <f aca="false">IF(A175="","",IF(AND(A175&gt;=VP_START,A175&lt;=VP_END),1,0))</f>
        <v/>
      </c>
    </row>
    <row r="176" customFormat="false" ht="15" hidden="false" customHeight="false" outlineLevel="0" collapsed="false">
      <c r="A176" s="37"/>
      <c r="B176" s="36"/>
      <c r="C176" s="36"/>
      <c r="D176" s="36"/>
      <c r="E176" s="36"/>
      <c r="F176" s="38"/>
      <c r="G176" s="36"/>
      <c r="H176" s="39" t="str">
        <f aca="false">IF(F176="","",IF(G176="Standard 5%",F176*VAT_RATE,0))</f>
        <v/>
      </c>
      <c r="I176" s="39" t="str">
        <f aca="false">IF(F176="","",F176+H176)</f>
        <v/>
      </c>
      <c r="J176" s="36"/>
      <c r="K176" s="37"/>
      <c r="L176" s="38"/>
      <c r="M176" s="22" t="str">
        <f aca="true">IF(OR(A176="",J176="Paid",J176="Written off"),"",TODAY()-A176)</f>
        <v/>
      </c>
      <c r="N176" s="22" t="str">
        <f aca="false">IF(M176="","",IF(M176&gt;OVERDUE_DAYS,"OVERDUE",""))</f>
        <v/>
      </c>
      <c r="O176" s="40" t="str">
        <f aca="false">IF(A176="","",IF(A176&lt;FY_START,0,(YEAR(A176)-YEAR(FY_START))*12+MONTH(A176)-MONTH(FY_START)+1))</f>
        <v/>
      </c>
      <c r="P176" s="40" t="str">
        <f aca="false">IF(A176="","",IF(AND(A176&gt;=VP_START,A176&lt;=VP_END),1,0))</f>
        <v/>
      </c>
    </row>
    <row r="177" customFormat="false" ht="15" hidden="false" customHeight="false" outlineLevel="0" collapsed="false">
      <c r="A177" s="37"/>
      <c r="B177" s="36"/>
      <c r="C177" s="36"/>
      <c r="D177" s="36"/>
      <c r="E177" s="36"/>
      <c r="F177" s="38"/>
      <c r="G177" s="36"/>
      <c r="H177" s="39" t="str">
        <f aca="false">IF(F177="","",IF(G177="Standard 5%",F177*VAT_RATE,0))</f>
        <v/>
      </c>
      <c r="I177" s="39" t="str">
        <f aca="false">IF(F177="","",F177+H177)</f>
        <v/>
      </c>
      <c r="J177" s="36"/>
      <c r="K177" s="37"/>
      <c r="L177" s="38"/>
      <c r="M177" s="22" t="str">
        <f aca="true">IF(OR(A177="",J177="Paid",J177="Written off"),"",TODAY()-A177)</f>
        <v/>
      </c>
      <c r="N177" s="22" t="str">
        <f aca="false">IF(M177="","",IF(M177&gt;OVERDUE_DAYS,"OVERDUE",""))</f>
        <v/>
      </c>
      <c r="O177" s="40" t="str">
        <f aca="false">IF(A177="","",IF(A177&lt;FY_START,0,(YEAR(A177)-YEAR(FY_START))*12+MONTH(A177)-MONTH(FY_START)+1))</f>
        <v/>
      </c>
      <c r="P177" s="40" t="str">
        <f aca="false">IF(A177="","",IF(AND(A177&gt;=VP_START,A177&lt;=VP_END),1,0))</f>
        <v/>
      </c>
    </row>
    <row r="178" customFormat="false" ht="15" hidden="false" customHeight="false" outlineLevel="0" collapsed="false">
      <c r="A178" s="37"/>
      <c r="B178" s="36"/>
      <c r="C178" s="36"/>
      <c r="D178" s="36"/>
      <c r="E178" s="36"/>
      <c r="F178" s="38"/>
      <c r="G178" s="36"/>
      <c r="H178" s="39" t="str">
        <f aca="false">IF(F178="","",IF(G178="Standard 5%",F178*VAT_RATE,0))</f>
        <v/>
      </c>
      <c r="I178" s="39" t="str">
        <f aca="false">IF(F178="","",F178+H178)</f>
        <v/>
      </c>
      <c r="J178" s="36"/>
      <c r="K178" s="37"/>
      <c r="L178" s="38"/>
      <c r="M178" s="22" t="str">
        <f aca="true">IF(OR(A178="",J178="Paid",J178="Written off"),"",TODAY()-A178)</f>
        <v/>
      </c>
      <c r="N178" s="22" t="str">
        <f aca="false">IF(M178="","",IF(M178&gt;OVERDUE_DAYS,"OVERDUE",""))</f>
        <v/>
      </c>
      <c r="O178" s="40" t="str">
        <f aca="false">IF(A178="","",IF(A178&lt;FY_START,0,(YEAR(A178)-YEAR(FY_START))*12+MONTH(A178)-MONTH(FY_START)+1))</f>
        <v/>
      </c>
      <c r="P178" s="40" t="str">
        <f aca="false">IF(A178="","",IF(AND(A178&gt;=VP_START,A178&lt;=VP_END),1,0))</f>
        <v/>
      </c>
    </row>
    <row r="179" customFormat="false" ht="15" hidden="false" customHeight="false" outlineLevel="0" collapsed="false">
      <c r="A179" s="37"/>
      <c r="B179" s="36"/>
      <c r="C179" s="36"/>
      <c r="D179" s="36"/>
      <c r="E179" s="36"/>
      <c r="F179" s="38"/>
      <c r="G179" s="36"/>
      <c r="H179" s="39" t="str">
        <f aca="false">IF(F179="","",IF(G179="Standard 5%",F179*VAT_RATE,0))</f>
        <v/>
      </c>
      <c r="I179" s="39" t="str">
        <f aca="false">IF(F179="","",F179+H179)</f>
        <v/>
      </c>
      <c r="J179" s="36"/>
      <c r="K179" s="37"/>
      <c r="L179" s="38"/>
      <c r="M179" s="22" t="str">
        <f aca="true">IF(OR(A179="",J179="Paid",J179="Written off"),"",TODAY()-A179)</f>
        <v/>
      </c>
      <c r="N179" s="22" t="str">
        <f aca="false">IF(M179="","",IF(M179&gt;OVERDUE_DAYS,"OVERDUE",""))</f>
        <v/>
      </c>
      <c r="O179" s="40" t="str">
        <f aca="false">IF(A179="","",IF(A179&lt;FY_START,0,(YEAR(A179)-YEAR(FY_START))*12+MONTH(A179)-MONTH(FY_START)+1))</f>
        <v/>
      </c>
      <c r="P179" s="40" t="str">
        <f aca="false">IF(A179="","",IF(AND(A179&gt;=VP_START,A179&lt;=VP_END),1,0))</f>
        <v/>
      </c>
    </row>
    <row r="180" customFormat="false" ht="15" hidden="false" customHeight="false" outlineLevel="0" collapsed="false">
      <c r="A180" s="37"/>
      <c r="B180" s="36"/>
      <c r="C180" s="36"/>
      <c r="D180" s="36"/>
      <c r="E180" s="36"/>
      <c r="F180" s="38"/>
      <c r="G180" s="36"/>
      <c r="H180" s="39" t="str">
        <f aca="false">IF(F180="","",IF(G180="Standard 5%",F180*VAT_RATE,0))</f>
        <v/>
      </c>
      <c r="I180" s="39" t="str">
        <f aca="false">IF(F180="","",F180+H180)</f>
        <v/>
      </c>
      <c r="J180" s="36"/>
      <c r="K180" s="37"/>
      <c r="L180" s="38"/>
      <c r="M180" s="22" t="str">
        <f aca="true">IF(OR(A180="",J180="Paid",J180="Written off"),"",TODAY()-A180)</f>
        <v/>
      </c>
      <c r="N180" s="22" t="str">
        <f aca="false">IF(M180="","",IF(M180&gt;OVERDUE_DAYS,"OVERDUE",""))</f>
        <v/>
      </c>
      <c r="O180" s="40" t="str">
        <f aca="false">IF(A180="","",IF(A180&lt;FY_START,0,(YEAR(A180)-YEAR(FY_START))*12+MONTH(A180)-MONTH(FY_START)+1))</f>
        <v/>
      </c>
      <c r="P180" s="40" t="str">
        <f aca="false">IF(A180="","",IF(AND(A180&gt;=VP_START,A180&lt;=VP_END),1,0))</f>
        <v/>
      </c>
    </row>
    <row r="181" customFormat="false" ht="15" hidden="false" customHeight="false" outlineLevel="0" collapsed="false">
      <c r="A181" s="37"/>
      <c r="B181" s="36"/>
      <c r="C181" s="36"/>
      <c r="D181" s="36"/>
      <c r="E181" s="36"/>
      <c r="F181" s="38"/>
      <c r="G181" s="36"/>
      <c r="H181" s="39" t="str">
        <f aca="false">IF(F181="","",IF(G181="Standard 5%",F181*VAT_RATE,0))</f>
        <v/>
      </c>
      <c r="I181" s="39" t="str">
        <f aca="false">IF(F181="","",F181+H181)</f>
        <v/>
      </c>
      <c r="J181" s="36"/>
      <c r="K181" s="37"/>
      <c r="L181" s="38"/>
      <c r="M181" s="22" t="str">
        <f aca="true">IF(OR(A181="",J181="Paid",J181="Written off"),"",TODAY()-A181)</f>
        <v/>
      </c>
      <c r="N181" s="22" t="str">
        <f aca="false">IF(M181="","",IF(M181&gt;OVERDUE_DAYS,"OVERDUE",""))</f>
        <v/>
      </c>
      <c r="O181" s="40" t="str">
        <f aca="false">IF(A181="","",IF(A181&lt;FY_START,0,(YEAR(A181)-YEAR(FY_START))*12+MONTH(A181)-MONTH(FY_START)+1))</f>
        <v/>
      </c>
      <c r="P181" s="40" t="str">
        <f aca="false">IF(A181="","",IF(AND(A181&gt;=VP_START,A181&lt;=VP_END),1,0))</f>
        <v/>
      </c>
    </row>
    <row r="182" customFormat="false" ht="15" hidden="false" customHeight="false" outlineLevel="0" collapsed="false">
      <c r="A182" s="37"/>
      <c r="B182" s="36"/>
      <c r="C182" s="36"/>
      <c r="D182" s="36"/>
      <c r="E182" s="36"/>
      <c r="F182" s="38"/>
      <c r="G182" s="36"/>
      <c r="H182" s="39" t="str">
        <f aca="false">IF(F182="","",IF(G182="Standard 5%",F182*VAT_RATE,0))</f>
        <v/>
      </c>
      <c r="I182" s="39" t="str">
        <f aca="false">IF(F182="","",F182+H182)</f>
        <v/>
      </c>
      <c r="J182" s="36"/>
      <c r="K182" s="37"/>
      <c r="L182" s="38"/>
      <c r="M182" s="22" t="str">
        <f aca="true">IF(OR(A182="",J182="Paid",J182="Written off"),"",TODAY()-A182)</f>
        <v/>
      </c>
      <c r="N182" s="22" t="str">
        <f aca="false">IF(M182="","",IF(M182&gt;OVERDUE_DAYS,"OVERDUE",""))</f>
        <v/>
      </c>
      <c r="O182" s="40" t="str">
        <f aca="false">IF(A182="","",IF(A182&lt;FY_START,0,(YEAR(A182)-YEAR(FY_START))*12+MONTH(A182)-MONTH(FY_START)+1))</f>
        <v/>
      </c>
      <c r="P182" s="40" t="str">
        <f aca="false">IF(A182="","",IF(AND(A182&gt;=VP_START,A182&lt;=VP_END),1,0))</f>
        <v/>
      </c>
    </row>
    <row r="183" customFormat="false" ht="15" hidden="false" customHeight="false" outlineLevel="0" collapsed="false">
      <c r="A183" s="37"/>
      <c r="B183" s="36"/>
      <c r="C183" s="36"/>
      <c r="D183" s="36"/>
      <c r="E183" s="36"/>
      <c r="F183" s="38"/>
      <c r="G183" s="36"/>
      <c r="H183" s="39" t="str">
        <f aca="false">IF(F183="","",IF(G183="Standard 5%",F183*VAT_RATE,0))</f>
        <v/>
      </c>
      <c r="I183" s="39" t="str">
        <f aca="false">IF(F183="","",F183+H183)</f>
        <v/>
      </c>
      <c r="J183" s="36"/>
      <c r="K183" s="37"/>
      <c r="L183" s="38"/>
      <c r="M183" s="22" t="str">
        <f aca="true">IF(OR(A183="",J183="Paid",J183="Written off"),"",TODAY()-A183)</f>
        <v/>
      </c>
      <c r="N183" s="22" t="str">
        <f aca="false">IF(M183="","",IF(M183&gt;OVERDUE_DAYS,"OVERDUE",""))</f>
        <v/>
      </c>
      <c r="O183" s="40" t="str">
        <f aca="false">IF(A183="","",IF(A183&lt;FY_START,0,(YEAR(A183)-YEAR(FY_START))*12+MONTH(A183)-MONTH(FY_START)+1))</f>
        <v/>
      </c>
      <c r="P183" s="40" t="str">
        <f aca="false">IF(A183="","",IF(AND(A183&gt;=VP_START,A183&lt;=VP_END),1,0))</f>
        <v/>
      </c>
    </row>
    <row r="184" customFormat="false" ht="15" hidden="false" customHeight="false" outlineLevel="0" collapsed="false">
      <c r="A184" s="37"/>
      <c r="B184" s="36"/>
      <c r="C184" s="36"/>
      <c r="D184" s="36"/>
      <c r="E184" s="36"/>
      <c r="F184" s="38"/>
      <c r="G184" s="36"/>
      <c r="H184" s="39" t="str">
        <f aca="false">IF(F184="","",IF(G184="Standard 5%",F184*VAT_RATE,0))</f>
        <v/>
      </c>
      <c r="I184" s="39" t="str">
        <f aca="false">IF(F184="","",F184+H184)</f>
        <v/>
      </c>
      <c r="J184" s="36"/>
      <c r="K184" s="37"/>
      <c r="L184" s="38"/>
      <c r="M184" s="22" t="str">
        <f aca="true">IF(OR(A184="",J184="Paid",J184="Written off"),"",TODAY()-A184)</f>
        <v/>
      </c>
      <c r="N184" s="22" t="str">
        <f aca="false">IF(M184="","",IF(M184&gt;OVERDUE_DAYS,"OVERDUE",""))</f>
        <v/>
      </c>
      <c r="O184" s="40" t="str">
        <f aca="false">IF(A184="","",IF(A184&lt;FY_START,0,(YEAR(A184)-YEAR(FY_START))*12+MONTH(A184)-MONTH(FY_START)+1))</f>
        <v/>
      </c>
      <c r="P184" s="40" t="str">
        <f aca="false">IF(A184="","",IF(AND(A184&gt;=VP_START,A184&lt;=VP_END),1,0))</f>
        <v/>
      </c>
    </row>
    <row r="185" customFormat="false" ht="15" hidden="false" customHeight="false" outlineLevel="0" collapsed="false">
      <c r="A185" s="37"/>
      <c r="B185" s="36"/>
      <c r="C185" s="36"/>
      <c r="D185" s="36"/>
      <c r="E185" s="36"/>
      <c r="F185" s="38"/>
      <c r="G185" s="36"/>
      <c r="H185" s="39" t="str">
        <f aca="false">IF(F185="","",IF(G185="Standard 5%",F185*VAT_RATE,0))</f>
        <v/>
      </c>
      <c r="I185" s="39" t="str">
        <f aca="false">IF(F185="","",F185+H185)</f>
        <v/>
      </c>
      <c r="J185" s="36"/>
      <c r="K185" s="37"/>
      <c r="L185" s="38"/>
      <c r="M185" s="22" t="str">
        <f aca="true">IF(OR(A185="",J185="Paid",J185="Written off"),"",TODAY()-A185)</f>
        <v/>
      </c>
      <c r="N185" s="22" t="str">
        <f aca="false">IF(M185="","",IF(M185&gt;OVERDUE_DAYS,"OVERDUE",""))</f>
        <v/>
      </c>
      <c r="O185" s="40" t="str">
        <f aca="false">IF(A185="","",IF(A185&lt;FY_START,0,(YEAR(A185)-YEAR(FY_START))*12+MONTH(A185)-MONTH(FY_START)+1))</f>
        <v/>
      </c>
      <c r="P185" s="40" t="str">
        <f aca="false">IF(A185="","",IF(AND(A185&gt;=VP_START,A185&lt;=VP_END),1,0))</f>
        <v/>
      </c>
    </row>
    <row r="186" customFormat="false" ht="15" hidden="false" customHeight="false" outlineLevel="0" collapsed="false">
      <c r="A186" s="37"/>
      <c r="B186" s="36"/>
      <c r="C186" s="36"/>
      <c r="D186" s="36"/>
      <c r="E186" s="36"/>
      <c r="F186" s="38"/>
      <c r="G186" s="36"/>
      <c r="H186" s="39" t="str">
        <f aca="false">IF(F186="","",IF(G186="Standard 5%",F186*VAT_RATE,0))</f>
        <v/>
      </c>
      <c r="I186" s="39" t="str">
        <f aca="false">IF(F186="","",F186+H186)</f>
        <v/>
      </c>
      <c r="J186" s="36"/>
      <c r="K186" s="37"/>
      <c r="L186" s="38"/>
      <c r="M186" s="22" t="str">
        <f aca="true">IF(OR(A186="",J186="Paid",J186="Written off"),"",TODAY()-A186)</f>
        <v/>
      </c>
      <c r="N186" s="22" t="str">
        <f aca="false">IF(M186="","",IF(M186&gt;OVERDUE_DAYS,"OVERDUE",""))</f>
        <v/>
      </c>
      <c r="O186" s="40" t="str">
        <f aca="false">IF(A186="","",IF(A186&lt;FY_START,0,(YEAR(A186)-YEAR(FY_START))*12+MONTH(A186)-MONTH(FY_START)+1))</f>
        <v/>
      </c>
      <c r="P186" s="40" t="str">
        <f aca="false">IF(A186="","",IF(AND(A186&gt;=VP_START,A186&lt;=VP_END),1,0))</f>
        <v/>
      </c>
    </row>
    <row r="187" customFormat="false" ht="15" hidden="false" customHeight="false" outlineLevel="0" collapsed="false">
      <c r="A187" s="37"/>
      <c r="B187" s="36"/>
      <c r="C187" s="36"/>
      <c r="D187" s="36"/>
      <c r="E187" s="36"/>
      <c r="F187" s="38"/>
      <c r="G187" s="36"/>
      <c r="H187" s="39" t="str">
        <f aca="false">IF(F187="","",IF(G187="Standard 5%",F187*VAT_RATE,0))</f>
        <v/>
      </c>
      <c r="I187" s="39" t="str">
        <f aca="false">IF(F187="","",F187+H187)</f>
        <v/>
      </c>
      <c r="J187" s="36"/>
      <c r="K187" s="37"/>
      <c r="L187" s="38"/>
      <c r="M187" s="22" t="str">
        <f aca="true">IF(OR(A187="",J187="Paid",J187="Written off"),"",TODAY()-A187)</f>
        <v/>
      </c>
      <c r="N187" s="22" t="str">
        <f aca="false">IF(M187="","",IF(M187&gt;OVERDUE_DAYS,"OVERDUE",""))</f>
        <v/>
      </c>
      <c r="O187" s="40" t="str">
        <f aca="false">IF(A187="","",IF(A187&lt;FY_START,0,(YEAR(A187)-YEAR(FY_START))*12+MONTH(A187)-MONTH(FY_START)+1))</f>
        <v/>
      </c>
      <c r="P187" s="40" t="str">
        <f aca="false">IF(A187="","",IF(AND(A187&gt;=VP_START,A187&lt;=VP_END),1,0))</f>
        <v/>
      </c>
    </row>
    <row r="188" customFormat="false" ht="15" hidden="false" customHeight="false" outlineLevel="0" collapsed="false">
      <c r="A188" s="37"/>
      <c r="B188" s="36"/>
      <c r="C188" s="36"/>
      <c r="D188" s="36"/>
      <c r="E188" s="36"/>
      <c r="F188" s="38"/>
      <c r="G188" s="36"/>
      <c r="H188" s="39" t="str">
        <f aca="false">IF(F188="","",IF(G188="Standard 5%",F188*VAT_RATE,0))</f>
        <v/>
      </c>
      <c r="I188" s="39" t="str">
        <f aca="false">IF(F188="","",F188+H188)</f>
        <v/>
      </c>
      <c r="J188" s="36"/>
      <c r="K188" s="37"/>
      <c r="L188" s="38"/>
      <c r="M188" s="22" t="str">
        <f aca="true">IF(OR(A188="",J188="Paid",J188="Written off"),"",TODAY()-A188)</f>
        <v/>
      </c>
      <c r="N188" s="22" t="str">
        <f aca="false">IF(M188="","",IF(M188&gt;OVERDUE_DAYS,"OVERDUE",""))</f>
        <v/>
      </c>
      <c r="O188" s="40" t="str">
        <f aca="false">IF(A188="","",IF(A188&lt;FY_START,0,(YEAR(A188)-YEAR(FY_START))*12+MONTH(A188)-MONTH(FY_START)+1))</f>
        <v/>
      </c>
      <c r="P188" s="40" t="str">
        <f aca="false">IF(A188="","",IF(AND(A188&gt;=VP_START,A188&lt;=VP_END),1,0))</f>
        <v/>
      </c>
    </row>
    <row r="189" customFormat="false" ht="15" hidden="false" customHeight="false" outlineLevel="0" collapsed="false">
      <c r="A189" s="37"/>
      <c r="B189" s="36"/>
      <c r="C189" s="36"/>
      <c r="D189" s="36"/>
      <c r="E189" s="36"/>
      <c r="F189" s="38"/>
      <c r="G189" s="36"/>
      <c r="H189" s="39" t="str">
        <f aca="false">IF(F189="","",IF(G189="Standard 5%",F189*VAT_RATE,0))</f>
        <v/>
      </c>
      <c r="I189" s="39" t="str">
        <f aca="false">IF(F189="","",F189+H189)</f>
        <v/>
      </c>
      <c r="J189" s="36"/>
      <c r="K189" s="37"/>
      <c r="L189" s="38"/>
      <c r="M189" s="22" t="str">
        <f aca="true">IF(OR(A189="",J189="Paid",J189="Written off"),"",TODAY()-A189)</f>
        <v/>
      </c>
      <c r="N189" s="22" t="str">
        <f aca="false">IF(M189="","",IF(M189&gt;OVERDUE_DAYS,"OVERDUE",""))</f>
        <v/>
      </c>
      <c r="O189" s="40" t="str">
        <f aca="false">IF(A189="","",IF(A189&lt;FY_START,0,(YEAR(A189)-YEAR(FY_START))*12+MONTH(A189)-MONTH(FY_START)+1))</f>
        <v/>
      </c>
      <c r="P189" s="40" t="str">
        <f aca="false">IF(A189="","",IF(AND(A189&gt;=VP_START,A189&lt;=VP_END),1,0))</f>
        <v/>
      </c>
    </row>
    <row r="190" customFormat="false" ht="15" hidden="false" customHeight="false" outlineLevel="0" collapsed="false">
      <c r="A190" s="37"/>
      <c r="B190" s="36"/>
      <c r="C190" s="36"/>
      <c r="D190" s="36"/>
      <c r="E190" s="36"/>
      <c r="F190" s="38"/>
      <c r="G190" s="36"/>
      <c r="H190" s="39" t="str">
        <f aca="false">IF(F190="","",IF(G190="Standard 5%",F190*VAT_RATE,0))</f>
        <v/>
      </c>
      <c r="I190" s="39" t="str">
        <f aca="false">IF(F190="","",F190+H190)</f>
        <v/>
      </c>
      <c r="J190" s="36"/>
      <c r="K190" s="37"/>
      <c r="L190" s="38"/>
      <c r="M190" s="22" t="str">
        <f aca="true">IF(OR(A190="",J190="Paid",J190="Written off"),"",TODAY()-A190)</f>
        <v/>
      </c>
      <c r="N190" s="22" t="str">
        <f aca="false">IF(M190="","",IF(M190&gt;OVERDUE_DAYS,"OVERDUE",""))</f>
        <v/>
      </c>
      <c r="O190" s="40" t="str">
        <f aca="false">IF(A190="","",IF(A190&lt;FY_START,0,(YEAR(A190)-YEAR(FY_START))*12+MONTH(A190)-MONTH(FY_START)+1))</f>
        <v/>
      </c>
      <c r="P190" s="40" t="str">
        <f aca="false">IF(A190="","",IF(AND(A190&gt;=VP_START,A190&lt;=VP_END),1,0))</f>
        <v/>
      </c>
    </row>
    <row r="191" customFormat="false" ht="15" hidden="false" customHeight="false" outlineLevel="0" collapsed="false">
      <c r="A191" s="37"/>
      <c r="B191" s="36"/>
      <c r="C191" s="36"/>
      <c r="D191" s="36"/>
      <c r="E191" s="36"/>
      <c r="F191" s="38"/>
      <c r="G191" s="36"/>
      <c r="H191" s="39" t="str">
        <f aca="false">IF(F191="","",IF(G191="Standard 5%",F191*VAT_RATE,0))</f>
        <v/>
      </c>
      <c r="I191" s="39" t="str">
        <f aca="false">IF(F191="","",F191+H191)</f>
        <v/>
      </c>
      <c r="J191" s="36"/>
      <c r="K191" s="37"/>
      <c r="L191" s="38"/>
      <c r="M191" s="22" t="str">
        <f aca="true">IF(OR(A191="",J191="Paid",J191="Written off"),"",TODAY()-A191)</f>
        <v/>
      </c>
      <c r="N191" s="22" t="str">
        <f aca="false">IF(M191="","",IF(M191&gt;OVERDUE_DAYS,"OVERDUE",""))</f>
        <v/>
      </c>
      <c r="O191" s="40" t="str">
        <f aca="false">IF(A191="","",IF(A191&lt;FY_START,0,(YEAR(A191)-YEAR(FY_START))*12+MONTH(A191)-MONTH(FY_START)+1))</f>
        <v/>
      </c>
      <c r="P191" s="40" t="str">
        <f aca="false">IF(A191="","",IF(AND(A191&gt;=VP_START,A191&lt;=VP_END),1,0))</f>
        <v/>
      </c>
    </row>
    <row r="192" customFormat="false" ht="15" hidden="false" customHeight="false" outlineLevel="0" collapsed="false">
      <c r="A192" s="37"/>
      <c r="B192" s="36"/>
      <c r="C192" s="36"/>
      <c r="D192" s="36"/>
      <c r="E192" s="36"/>
      <c r="F192" s="38"/>
      <c r="G192" s="36"/>
      <c r="H192" s="39" t="str">
        <f aca="false">IF(F192="","",IF(G192="Standard 5%",F192*VAT_RATE,0))</f>
        <v/>
      </c>
      <c r="I192" s="39" t="str">
        <f aca="false">IF(F192="","",F192+H192)</f>
        <v/>
      </c>
      <c r="J192" s="36"/>
      <c r="K192" s="37"/>
      <c r="L192" s="38"/>
      <c r="M192" s="22" t="str">
        <f aca="true">IF(OR(A192="",J192="Paid",J192="Written off"),"",TODAY()-A192)</f>
        <v/>
      </c>
      <c r="N192" s="22" t="str">
        <f aca="false">IF(M192="","",IF(M192&gt;OVERDUE_DAYS,"OVERDUE",""))</f>
        <v/>
      </c>
      <c r="O192" s="40" t="str">
        <f aca="false">IF(A192="","",IF(A192&lt;FY_START,0,(YEAR(A192)-YEAR(FY_START))*12+MONTH(A192)-MONTH(FY_START)+1))</f>
        <v/>
      </c>
      <c r="P192" s="40" t="str">
        <f aca="false">IF(A192="","",IF(AND(A192&gt;=VP_START,A192&lt;=VP_END),1,0))</f>
        <v/>
      </c>
    </row>
    <row r="193" customFormat="false" ht="15" hidden="false" customHeight="false" outlineLevel="0" collapsed="false">
      <c r="A193" s="37"/>
      <c r="B193" s="36"/>
      <c r="C193" s="36"/>
      <c r="D193" s="36"/>
      <c r="E193" s="36"/>
      <c r="F193" s="38"/>
      <c r="G193" s="36"/>
      <c r="H193" s="39" t="str">
        <f aca="false">IF(F193="","",IF(G193="Standard 5%",F193*VAT_RATE,0))</f>
        <v/>
      </c>
      <c r="I193" s="39" t="str">
        <f aca="false">IF(F193="","",F193+H193)</f>
        <v/>
      </c>
      <c r="J193" s="36"/>
      <c r="K193" s="37"/>
      <c r="L193" s="38"/>
      <c r="M193" s="22" t="str">
        <f aca="true">IF(OR(A193="",J193="Paid",J193="Written off"),"",TODAY()-A193)</f>
        <v/>
      </c>
      <c r="N193" s="22" t="str">
        <f aca="false">IF(M193="","",IF(M193&gt;OVERDUE_DAYS,"OVERDUE",""))</f>
        <v/>
      </c>
      <c r="O193" s="40" t="str">
        <f aca="false">IF(A193="","",IF(A193&lt;FY_START,0,(YEAR(A193)-YEAR(FY_START))*12+MONTH(A193)-MONTH(FY_START)+1))</f>
        <v/>
      </c>
      <c r="P193" s="40" t="str">
        <f aca="false">IF(A193="","",IF(AND(A193&gt;=VP_START,A193&lt;=VP_END),1,0))</f>
        <v/>
      </c>
    </row>
    <row r="194" customFormat="false" ht="15" hidden="false" customHeight="false" outlineLevel="0" collapsed="false">
      <c r="A194" s="37"/>
      <c r="B194" s="36"/>
      <c r="C194" s="36"/>
      <c r="D194" s="36"/>
      <c r="E194" s="36"/>
      <c r="F194" s="38"/>
      <c r="G194" s="36"/>
      <c r="H194" s="39" t="str">
        <f aca="false">IF(F194="","",IF(G194="Standard 5%",F194*VAT_RATE,0))</f>
        <v/>
      </c>
      <c r="I194" s="39" t="str">
        <f aca="false">IF(F194="","",F194+H194)</f>
        <v/>
      </c>
      <c r="J194" s="36"/>
      <c r="K194" s="37"/>
      <c r="L194" s="38"/>
      <c r="M194" s="22" t="str">
        <f aca="true">IF(OR(A194="",J194="Paid",J194="Written off"),"",TODAY()-A194)</f>
        <v/>
      </c>
      <c r="N194" s="22" t="str">
        <f aca="false">IF(M194="","",IF(M194&gt;OVERDUE_DAYS,"OVERDUE",""))</f>
        <v/>
      </c>
      <c r="O194" s="40" t="str">
        <f aca="false">IF(A194="","",IF(A194&lt;FY_START,0,(YEAR(A194)-YEAR(FY_START))*12+MONTH(A194)-MONTH(FY_START)+1))</f>
        <v/>
      </c>
      <c r="P194" s="40" t="str">
        <f aca="false">IF(A194="","",IF(AND(A194&gt;=VP_START,A194&lt;=VP_END),1,0))</f>
        <v/>
      </c>
    </row>
    <row r="195" customFormat="false" ht="15" hidden="false" customHeight="false" outlineLevel="0" collapsed="false">
      <c r="A195" s="37"/>
      <c r="B195" s="36"/>
      <c r="C195" s="36"/>
      <c r="D195" s="36"/>
      <c r="E195" s="36"/>
      <c r="F195" s="38"/>
      <c r="G195" s="36"/>
      <c r="H195" s="39" t="str">
        <f aca="false">IF(F195="","",IF(G195="Standard 5%",F195*VAT_RATE,0))</f>
        <v/>
      </c>
      <c r="I195" s="39" t="str">
        <f aca="false">IF(F195="","",F195+H195)</f>
        <v/>
      </c>
      <c r="J195" s="36"/>
      <c r="K195" s="37"/>
      <c r="L195" s="38"/>
      <c r="M195" s="22" t="str">
        <f aca="true">IF(OR(A195="",J195="Paid",J195="Written off"),"",TODAY()-A195)</f>
        <v/>
      </c>
      <c r="N195" s="22" t="str">
        <f aca="false">IF(M195="","",IF(M195&gt;OVERDUE_DAYS,"OVERDUE",""))</f>
        <v/>
      </c>
      <c r="O195" s="40" t="str">
        <f aca="false">IF(A195="","",IF(A195&lt;FY_START,0,(YEAR(A195)-YEAR(FY_START))*12+MONTH(A195)-MONTH(FY_START)+1))</f>
        <v/>
      </c>
      <c r="P195" s="40" t="str">
        <f aca="false">IF(A195="","",IF(AND(A195&gt;=VP_START,A195&lt;=VP_END),1,0))</f>
        <v/>
      </c>
    </row>
    <row r="196" customFormat="false" ht="15" hidden="false" customHeight="false" outlineLevel="0" collapsed="false">
      <c r="A196" s="37"/>
      <c r="B196" s="36"/>
      <c r="C196" s="36"/>
      <c r="D196" s="36"/>
      <c r="E196" s="36"/>
      <c r="F196" s="38"/>
      <c r="G196" s="36"/>
      <c r="H196" s="39" t="str">
        <f aca="false">IF(F196="","",IF(G196="Standard 5%",F196*VAT_RATE,0))</f>
        <v/>
      </c>
      <c r="I196" s="39" t="str">
        <f aca="false">IF(F196="","",F196+H196)</f>
        <v/>
      </c>
      <c r="J196" s="36"/>
      <c r="K196" s="37"/>
      <c r="L196" s="38"/>
      <c r="M196" s="22" t="str">
        <f aca="true">IF(OR(A196="",J196="Paid",J196="Written off"),"",TODAY()-A196)</f>
        <v/>
      </c>
      <c r="N196" s="22" t="str">
        <f aca="false">IF(M196="","",IF(M196&gt;OVERDUE_DAYS,"OVERDUE",""))</f>
        <v/>
      </c>
      <c r="O196" s="40" t="str">
        <f aca="false">IF(A196="","",IF(A196&lt;FY_START,0,(YEAR(A196)-YEAR(FY_START))*12+MONTH(A196)-MONTH(FY_START)+1))</f>
        <v/>
      </c>
      <c r="P196" s="40" t="str">
        <f aca="false">IF(A196="","",IF(AND(A196&gt;=VP_START,A196&lt;=VP_END),1,0))</f>
        <v/>
      </c>
    </row>
    <row r="197" customFormat="false" ht="15" hidden="false" customHeight="false" outlineLevel="0" collapsed="false">
      <c r="A197" s="37"/>
      <c r="B197" s="36"/>
      <c r="C197" s="36"/>
      <c r="D197" s="36"/>
      <c r="E197" s="36"/>
      <c r="F197" s="38"/>
      <c r="G197" s="36"/>
      <c r="H197" s="39" t="str">
        <f aca="false">IF(F197="","",IF(G197="Standard 5%",F197*VAT_RATE,0))</f>
        <v/>
      </c>
      <c r="I197" s="39" t="str">
        <f aca="false">IF(F197="","",F197+H197)</f>
        <v/>
      </c>
      <c r="J197" s="36"/>
      <c r="K197" s="37"/>
      <c r="L197" s="38"/>
      <c r="M197" s="22" t="str">
        <f aca="true">IF(OR(A197="",J197="Paid",J197="Written off"),"",TODAY()-A197)</f>
        <v/>
      </c>
      <c r="N197" s="22" t="str">
        <f aca="false">IF(M197="","",IF(M197&gt;OVERDUE_DAYS,"OVERDUE",""))</f>
        <v/>
      </c>
      <c r="O197" s="40" t="str">
        <f aca="false">IF(A197="","",IF(A197&lt;FY_START,0,(YEAR(A197)-YEAR(FY_START))*12+MONTH(A197)-MONTH(FY_START)+1))</f>
        <v/>
      </c>
      <c r="P197" s="40" t="str">
        <f aca="false">IF(A197="","",IF(AND(A197&gt;=VP_START,A197&lt;=VP_END),1,0))</f>
        <v/>
      </c>
    </row>
    <row r="198" customFormat="false" ht="15" hidden="false" customHeight="false" outlineLevel="0" collapsed="false">
      <c r="A198" s="37"/>
      <c r="B198" s="36"/>
      <c r="C198" s="36"/>
      <c r="D198" s="36"/>
      <c r="E198" s="36"/>
      <c r="F198" s="38"/>
      <c r="G198" s="36"/>
      <c r="H198" s="39" t="str">
        <f aca="false">IF(F198="","",IF(G198="Standard 5%",F198*VAT_RATE,0))</f>
        <v/>
      </c>
      <c r="I198" s="39" t="str">
        <f aca="false">IF(F198="","",F198+H198)</f>
        <v/>
      </c>
      <c r="J198" s="36"/>
      <c r="K198" s="37"/>
      <c r="L198" s="38"/>
      <c r="M198" s="22" t="str">
        <f aca="true">IF(OR(A198="",J198="Paid",J198="Written off"),"",TODAY()-A198)</f>
        <v/>
      </c>
      <c r="N198" s="22" t="str">
        <f aca="false">IF(M198="","",IF(M198&gt;OVERDUE_DAYS,"OVERDUE",""))</f>
        <v/>
      </c>
      <c r="O198" s="40" t="str">
        <f aca="false">IF(A198="","",IF(A198&lt;FY_START,0,(YEAR(A198)-YEAR(FY_START))*12+MONTH(A198)-MONTH(FY_START)+1))</f>
        <v/>
      </c>
      <c r="P198" s="40" t="str">
        <f aca="false">IF(A198="","",IF(AND(A198&gt;=VP_START,A198&lt;=VP_END),1,0))</f>
        <v/>
      </c>
    </row>
    <row r="199" customFormat="false" ht="15" hidden="false" customHeight="false" outlineLevel="0" collapsed="false">
      <c r="A199" s="37"/>
      <c r="B199" s="36"/>
      <c r="C199" s="36"/>
      <c r="D199" s="36"/>
      <c r="E199" s="36"/>
      <c r="F199" s="38"/>
      <c r="G199" s="36"/>
      <c r="H199" s="39" t="str">
        <f aca="false">IF(F199="","",IF(G199="Standard 5%",F199*VAT_RATE,0))</f>
        <v/>
      </c>
      <c r="I199" s="39" t="str">
        <f aca="false">IF(F199="","",F199+H199)</f>
        <v/>
      </c>
      <c r="J199" s="36"/>
      <c r="K199" s="37"/>
      <c r="L199" s="38"/>
      <c r="M199" s="22" t="str">
        <f aca="true">IF(OR(A199="",J199="Paid",J199="Written off"),"",TODAY()-A199)</f>
        <v/>
      </c>
      <c r="N199" s="22" t="str">
        <f aca="false">IF(M199="","",IF(M199&gt;OVERDUE_DAYS,"OVERDUE",""))</f>
        <v/>
      </c>
      <c r="O199" s="40" t="str">
        <f aca="false">IF(A199="","",IF(A199&lt;FY_START,0,(YEAR(A199)-YEAR(FY_START))*12+MONTH(A199)-MONTH(FY_START)+1))</f>
        <v/>
      </c>
      <c r="P199" s="40" t="str">
        <f aca="false">IF(A199="","",IF(AND(A199&gt;=VP_START,A199&lt;=VP_END),1,0))</f>
        <v/>
      </c>
    </row>
    <row r="200" customFormat="false" ht="15" hidden="false" customHeight="false" outlineLevel="0" collapsed="false">
      <c r="A200" s="37"/>
      <c r="B200" s="36"/>
      <c r="C200" s="36"/>
      <c r="D200" s="36"/>
      <c r="E200" s="36"/>
      <c r="F200" s="38"/>
      <c r="G200" s="36"/>
      <c r="H200" s="39" t="str">
        <f aca="false">IF(F200="","",IF(G200="Standard 5%",F200*VAT_RATE,0))</f>
        <v/>
      </c>
      <c r="I200" s="39" t="str">
        <f aca="false">IF(F200="","",F200+H200)</f>
        <v/>
      </c>
      <c r="J200" s="36"/>
      <c r="K200" s="37"/>
      <c r="L200" s="38"/>
      <c r="M200" s="22" t="str">
        <f aca="true">IF(OR(A200="",J200="Paid",J200="Written off"),"",TODAY()-A200)</f>
        <v/>
      </c>
      <c r="N200" s="22" t="str">
        <f aca="false">IF(M200="","",IF(M200&gt;OVERDUE_DAYS,"OVERDUE",""))</f>
        <v/>
      </c>
      <c r="O200" s="40" t="str">
        <f aca="false">IF(A200="","",IF(A200&lt;FY_START,0,(YEAR(A200)-YEAR(FY_START))*12+MONTH(A200)-MONTH(FY_START)+1))</f>
        <v/>
      </c>
      <c r="P200" s="40" t="str">
        <f aca="false">IF(A200="","",IF(AND(A200&gt;=VP_START,A200&lt;=VP_END),1,0))</f>
        <v/>
      </c>
    </row>
    <row r="201" customFormat="false" ht="15" hidden="false" customHeight="false" outlineLevel="0" collapsed="false">
      <c r="A201" s="37"/>
      <c r="B201" s="36"/>
      <c r="C201" s="36"/>
      <c r="D201" s="36"/>
      <c r="E201" s="36"/>
      <c r="F201" s="38"/>
      <c r="G201" s="36"/>
      <c r="H201" s="39" t="str">
        <f aca="false">IF(F201="","",IF(G201="Standard 5%",F201*VAT_RATE,0))</f>
        <v/>
      </c>
      <c r="I201" s="39" t="str">
        <f aca="false">IF(F201="","",F201+H201)</f>
        <v/>
      </c>
      <c r="J201" s="36"/>
      <c r="K201" s="37"/>
      <c r="L201" s="38"/>
      <c r="M201" s="22" t="str">
        <f aca="true">IF(OR(A201="",J201="Paid",J201="Written off"),"",TODAY()-A201)</f>
        <v/>
      </c>
      <c r="N201" s="22" t="str">
        <f aca="false">IF(M201="","",IF(M201&gt;OVERDUE_DAYS,"OVERDUE",""))</f>
        <v/>
      </c>
      <c r="O201" s="40" t="str">
        <f aca="false">IF(A201="","",IF(A201&lt;FY_START,0,(YEAR(A201)-YEAR(FY_START))*12+MONTH(A201)-MONTH(FY_START)+1))</f>
        <v/>
      </c>
      <c r="P201" s="40" t="str">
        <f aca="false">IF(A201="","",IF(AND(A201&gt;=VP_START,A201&lt;=VP_END),1,0))</f>
        <v/>
      </c>
    </row>
    <row r="202" customFormat="false" ht="15" hidden="false" customHeight="false" outlineLevel="0" collapsed="false">
      <c r="A202" s="37"/>
      <c r="B202" s="36"/>
      <c r="C202" s="36"/>
      <c r="D202" s="36"/>
      <c r="E202" s="36"/>
      <c r="F202" s="38"/>
      <c r="G202" s="36"/>
      <c r="H202" s="39" t="str">
        <f aca="false">IF(F202="","",IF(G202="Standard 5%",F202*VAT_RATE,0))</f>
        <v/>
      </c>
      <c r="I202" s="39" t="str">
        <f aca="false">IF(F202="","",F202+H202)</f>
        <v/>
      </c>
      <c r="J202" s="36"/>
      <c r="K202" s="37"/>
      <c r="L202" s="38"/>
      <c r="M202" s="22" t="str">
        <f aca="true">IF(OR(A202="",J202="Paid",J202="Written off"),"",TODAY()-A202)</f>
        <v/>
      </c>
      <c r="N202" s="22" t="str">
        <f aca="false">IF(M202="","",IF(M202&gt;OVERDUE_DAYS,"OVERDUE",""))</f>
        <v/>
      </c>
      <c r="O202" s="40" t="str">
        <f aca="false">IF(A202="","",IF(A202&lt;FY_START,0,(YEAR(A202)-YEAR(FY_START))*12+MONTH(A202)-MONTH(FY_START)+1))</f>
        <v/>
      </c>
      <c r="P202" s="40" t="str">
        <f aca="false">IF(A202="","",IF(AND(A202&gt;=VP_START,A202&lt;=VP_END),1,0))</f>
        <v/>
      </c>
    </row>
    <row r="203" customFormat="false" ht="15" hidden="false" customHeight="false" outlineLevel="0" collapsed="false">
      <c r="A203" s="37"/>
      <c r="B203" s="36"/>
      <c r="C203" s="36"/>
      <c r="D203" s="36"/>
      <c r="E203" s="36"/>
      <c r="F203" s="38"/>
      <c r="G203" s="36"/>
      <c r="H203" s="39" t="str">
        <f aca="false">IF(F203="","",IF(G203="Standard 5%",F203*VAT_RATE,0))</f>
        <v/>
      </c>
      <c r="I203" s="39" t="str">
        <f aca="false">IF(F203="","",F203+H203)</f>
        <v/>
      </c>
      <c r="J203" s="36"/>
      <c r="K203" s="37"/>
      <c r="L203" s="38"/>
      <c r="M203" s="22" t="str">
        <f aca="true">IF(OR(A203="",J203="Paid",J203="Written off"),"",TODAY()-A203)</f>
        <v/>
      </c>
      <c r="N203" s="22" t="str">
        <f aca="false">IF(M203="","",IF(M203&gt;OVERDUE_DAYS,"OVERDUE",""))</f>
        <v/>
      </c>
      <c r="O203" s="40" t="str">
        <f aca="false">IF(A203="","",IF(A203&lt;FY_START,0,(YEAR(A203)-YEAR(FY_START))*12+MONTH(A203)-MONTH(FY_START)+1))</f>
        <v/>
      </c>
      <c r="P203" s="40" t="str">
        <f aca="false">IF(A203="","",IF(AND(A203&gt;=VP_START,A203&lt;=VP_END),1,0))</f>
        <v/>
      </c>
    </row>
    <row r="204" customFormat="false" ht="15" hidden="false" customHeight="false" outlineLevel="0" collapsed="false">
      <c r="A204" s="37"/>
      <c r="B204" s="36"/>
      <c r="C204" s="36"/>
      <c r="D204" s="36"/>
      <c r="E204" s="36"/>
      <c r="F204" s="38"/>
      <c r="G204" s="36"/>
      <c r="H204" s="39" t="str">
        <f aca="false">IF(F204="","",IF(G204="Standard 5%",F204*VAT_RATE,0))</f>
        <v/>
      </c>
      <c r="I204" s="39" t="str">
        <f aca="false">IF(F204="","",F204+H204)</f>
        <v/>
      </c>
      <c r="J204" s="36"/>
      <c r="K204" s="37"/>
      <c r="L204" s="38"/>
      <c r="M204" s="22" t="str">
        <f aca="true">IF(OR(A204="",J204="Paid",J204="Written off"),"",TODAY()-A204)</f>
        <v/>
      </c>
      <c r="N204" s="22" t="str">
        <f aca="false">IF(M204="","",IF(M204&gt;OVERDUE_DAYS,"OVERDUE",""))</f>
        <v/>
      </c>
      <c r="O204" s="40" t="str">
        <f aca="false">IF(A204="","",IF(A204&lt;FY_START,0,(YEAR(A204)-YEAR(FY_START))*12+MONTH(A204)-MONTH(FY_START)+1))</f>
        <v/>
      </c>
      <c r="P204" s="40" t="str">
        <f aca="false">IF(A204="","",IF(AND(A204&gt;=VP_START,A204&lt;=VP_END),1,0))</f>
        <v/>
      </c>
    </row>
    <row r="205" customFormat="false" ht="15" hidden="false" customHeight="false" outlineLevel="0" collapsed="false">
      <c r="A205" s="37"/>
      <c r="B205" s="36"/>
      <c r="C205" s="36"/>
      <c r="D205" s="36"/>
      <c r="E205" s="36"/>
      <c r="F205" s="38"/>
      <c r="G205" s="36"/>
      <c r="H205" s="39" t="str">
        <f aca="false">IF(F205="","",IF(G205="Standard 5%",F205*VAT_RATE,0))</f>
        <v/>
      </c>
      <c r="I205" s="39" t="str">
        <f aca="false">IF(F205="","",F205+H205)</f>
        <v/>
      </c>
      <c r="J205" s="36"/>
      <c r="K205" s="37"/>
      <c r="L205" s="38"/>
      <c r="M205" s="22" t="str">
        <f aca="true">IF(OR(A205="",J205="Paid",J205="Written off"),"",TODAY()-A205)</f>
        <v/>
      </c>
      <c r="N205" s="22" t="str">
        <f aca="false">IF(M205="","",IF(M205&gt;OVERDUE_DAYS,"OVERDUE",""))</f>
        <v/>
      </c>
      <c r="O205" s="40" t="str">
        <f aca="false">IF(A205="","",IF(A205&lt;FY_START,0,(YEAR(A205)-YEAR(FY_START))*12+MONTH(A205)-MONTH(FY_START)+1))</f>
        <v/>
      </c>
      <c r="P205" s="40" t="str">
        <f aca="false">IF(A205="","",IF(AND(A205&gt;=VP_START,A205&lt;=VP_END),1,0))</f>
        <v/>
      </c>
    </row>
    <row r="206" customFormat="false" ht="15" hidden="false" customHeight="false" outlineLevel="0" collapsed="false">
      <c r="A206" s="37"/>
      <c r="B206" s="36"/>
      <c r="C206" s="36"/>
      <c r="D206" s="36"/>
      <c r="E206" s="36"/>
      <c r="F206" s="38"/>
      <c r="G206" s="36"/>
      <c r="H206" s="39" t="str">
        <f aca="false">IF(F206="","",IF(G206="Standard 5%",F206*VAT_RATE,0))</f>
        <v/>
      </c>
      <c r="I206" s="39" t="str">
        <f aca="false">IF(F206="","",F206+H206)</f>
        <v/>
      </c>
      <c r="J206" s="36"/>
      <c r="K206" s="37"/>
      <c r="L206" s="38"/>
      <c r="M206" s="22" t="str">
        <f aca="true">IF(OR(A206="",J206="Paid",J206="Written off"),"",TODAY()-A206)</f>
        <v/>
      </c>
      <c r="N206" s="22" t="str">
        <f aca="false">IF(M206="","",IF(M206&gt;OVERDUE_DAYS,"OVERDUE",""))</f>
        <v/>
      </c>
      <c r="O206" s="40" t="str">
        <f aca="false">IF(A206="","",IF(A206&lt;FY_START,0,(YEAR(A206)-YEAR(FY_START))*12+MONTH(A206)-MONTH(FY_START)+1))</f>
        <v/>
      </c>
      <c r="P206" s="40" t="str">
        <f aca="false">IF(A206="","",IF(AND(A206&gt;=VP_START,A206&lt;=VP_END),1,0))</f>
        <v/>
      </c>
    </row>
    <row r="207" customFormat="false" ht="15" hidden="false" customHeight="false" outlineLevel="0" collapsed="false">
      <c r="A207" s="37"/>
      <c r="B207" s="36"/>
      <c r="C207" s="36"/>
      <c r="D207" s="36"/>
      <c r="E207" s="36"/>
      <c r="F207" s="38"/>
      <c r="G207" s="36"/>
      <c r="H207" s="39" t="str">
        <f aca="false">IF(F207="","",IF(G207="Standard 5%",F207*VAT_RATE,0))</f>
        <v/>
      </c>
      <c r="I207" s="39" t="str">
        <f aca="false">IF(F207="","",F207+H207)</f>
        <v/>
      </c>
      <c r="J207" s="36"/>
      <c r="K207" s="37"/>
      <c r="L207" s="38"/>
      <c r="M207" s="22" t="str">
        <f aca="true">IF(OR(A207="",J207="Paid",J207="Written off"),"",TODAY()-A207)</f>
        <v/>
      </c>
      <c r="N207" s="22" t="str">
        <f aca="false">IF(M207="","",IF(M207&gt;OVERDUE_DAYS,"OVERDUE",""))</f>
        <v/>
      </c>
      <c r="O207" s="40" t="str">
        <f aca="false">IF(A207="","",IF(A207&lt;FY_START,0,(YEAR(A207)-YEAR(FY_START))*12+MONTH(A207)-MONTH(FY_START)+1))</f>
        <v/>
      </c>
      <c r="P207" s="40" t="str">
        <f aca="false">IF(A207="","",IF(AND(A207&gt;=VP_START,A207&lt;=VP_END),1,0))</f>
        <v/>
      </c>
    </row>
    <row r="208" customFormat="false" ht="15" hidden="false" customHeight="false" outlineLevel="0" collapsed="false">
      <c r="A208" s="37"/>
      <c r="B208" s="36"/>
      <c r="C208" s="36"/>
      <c r="D208" s="36"/>
      <c r="E208" s="36"/>
      <c r="F208" s="38"/>
      <c r="G208" s="36"/>
      <c r="H208" s="39" t="str">
        <f aca="false">IF(F208="","",IF(G208="Standard 5%",F208*VAT_RATE,0))</f>
        <v/>
      </c>
      <c r="I208" s="39" t="str">
        <f aca="false">IF(F208="","",F208+H208)</f>
        <v/>
      </c>
      <c r="J208" s="36"/>
      <c r="K208" s="37"/>
      <c r="L208" s="38"/>
      <c r="M208" s="22" t="str">
        <f aca="true">IF(OR(A208="",J208="Paid",J208="Written off"),"",TODAY()-A208)</f>
        <v/>
      </c>
      <c r="N208" s="22" t="str">
        <f aca="false">IF(M208="","",IF(M208&gt;OVERDUE_DAYS,"OVERDUE",""))</f>
        <v/>
      </c>
      <c r="O208" s="40" t="str">
        <f aca="false">IF(A208="","",IF(A208&lt;FY_START,0,(YEAR(A208)-YEAR(FY_START))*12+MONTH(A208)-MONTH(FY_START)+1))</f>
        <v/>
      </c>
      <c r="P208" s="40" t="str">
        <f aca="false">IF(A208="","",IF(AND(A208&gt;=VP_START,A208&lt;=VP_END),1,0))</f>
        <v/>
      </c>
    </row>
    <row r="209" customFormat="false" ht="15" hidden="false" customHeight="false" outlineLevel="0" collapsed="false">
      <c r="A209" s="37"/>
      <c r="B209" s="36"/>
      <c r="C209" s="36"/>
      <c r="D209" s="36"/>
      <c r="E209" s="36"/>
      <c r="F209" s="38"/>
      <c r="G209" s="36"/>
      <c r="H209" s="39" t="str">
        <f aca="false">IF(F209="","",IF(G209="Standard 5%",F209*VAT_RATE,0))</f>
        <v/>
      </c>
      <c r="I209" s="39" t="str">
        <f aca="false">IF(F209="","",F209+H209)</f>
        <v/>
      </c>
      <c r="J209" s="36"/>
      <c r="K209" s="37"/>
      <c r="L209" s="38"/>
      <c r="M209" s="22" t="str">
        <f aca="true">IF(OR(A209="",J209="Paid",J209="Written off"),"",TODAY()-A209)</f>
        <v/>
      </c>
      <c r="N209" s="22" t="str">
        <f aca="false">IF(M209="","",IF(M209&gt;OVERDUE_DAYS,"OVERDUE",""))</f>
        <v/>
      </c>
      <c r="O209" s="40" t="str">
        <f aca="false">IF(A209="","",IF(A209&lt;FY_START,0,(YEAR(A209)-YEAR(FY_START))*12+MONTH(A209)-MONTH(FY_START)+1))</f>
        <v/>
      </c>
      <c r="P209" s="40" t="str">
        <f aca="false">IF(A209="","",IF(AND(A209&gt;=VP_START,A209&lt;=VP_END),1,0))</f>
        <v/>
      </c>
    </row>
    <row r="210" customFormat="false" ht="15" hidden="false" customHeight="false" outlineLevel="0" collapsed="false">
      <c r="A210" s="37"/>
      <c r="B210" s="36"/>
      <c r="C210" s="36"/>
      <c r="D210" s="36"/>
      <c r="E210" s="36"/>
      <c r="F210" s="38"/>
      <c r="G210" s="36"/>
      <c r="H210" s="39" t="str">
        <f aca="false">IF(F210="","",IF(G210="Standard 5%",F210*VAT_RATE,0))</f>
        <v/>
      </c>
      <c r="I210" s="39" t="str">
        <f aca="false">IF(F210="","",F210+H210)</f>
        <v/>
      </c>
      <c r="J210" s="36"/>
      <c r="K210" s="37"/>
      <c r="L210" s="38"/>
      <c r="M210" s="22" t="str">
        <f aca="true">IF(OR(A210="",J210="Paid",J210="Written off"),"",TODAY()-A210)</f>
        <v/>
      </c>
      <c r="N210" s="22" t="str">
        <f aca="false">IF(M210="","",IF(M210&gt;OVERDUE_DAYS,"OVERDUE",""))</f>
        <v/>
      </c>
      <c r="O210" s="40" t="str">
        <f aca="false">IF(A210="","",IF(A210&lt;FY_START,0,(YEAR(A210)-YEAR(FY_START))*12+MONTH(A210)-MONTH(FY_START)+1))</f>
        <v/>
      </c>
      <c r="P210" s="40" t="str">
        <f aca="false">IF(A210="","",IF(AND(A210&gt;=VP_START,A210&lt;=VP_END),1,0))</f>
        <v/>
      </c>
    </row>
    <row r="211" customFormat="false" ht="15" hidden="false" customHeight="false" outlineLevel="0" collapsed="false">
      <c r="A211" s="37"/>
      <c r="B211" s="36"/>
      <c r="C211" s="36"/>
      <c r="D211" s="36"/>
      <c r="E211" s="36"/>
      <c r="F211" s="38"/>
      <c r="G211" s="36"/>
      <c r="H211" s="39" t="str">
        <f aca="false">IF(F211="","",IF(G211="Standard 5%",F211*VAT_RATE,0))</f>
        <v/>
      </c>
      <c r="I211" s="39" t="str">
        <f aca="false">IF(F211="","",F211+H211)</f>
        <v/>
      </c>
      <c r="J211" s="36"/>
      <c r="K211" s="37"/>
      <c r="L211" s="38"/>
      <c r="M211" s="22" t="str">
        <f aca="true">IF(OR(A211="",J211="Paid",J211="Written off"),"",TODAY()-A211)</f>
        <v/>
      </c>
      <c r="N211" s="22" t="str">
        <f aca="false">IF(M211="","",IF(M211&gt;OVERDUE_DAYS,"OVERDUE",""))</f>
        <v/>
      </c>
      <c r="O211" s="40" t="str">
        <f aca="false">IF(A211="","",IF(A211&lt;FY_START,0,(YEAR(A211)-YEAR(FY_START))*12+MONTH(A211)-MONTH(FY_START)+1))</f>
        <v/>
      </c>
      <c r="P211" s="40" t="str">
        <f aca="false">IF(A211="","",IF(AND(A211&gt;=VP_START,A211&lt;=VP_END),1,0))</f>
        <v/>
      </c>
    </row>
    <row r="212" customFormat="false" ht="15" hidden="false" customHeight="false" outlineLevel="0" collapsed="false">
      <c r="A212" s="37"/>
      <c r="B212" s="36"/>
      <c r="C212" s="36"/>
      <c r="D212" s="36"/>
      <c r="E212" s="36"/>
      <c r="F212" s="38"/>
      <c r="G212" s="36"/>
      <c r="H212" s="39" t="str">
        <f aca="false">IF(F212="","",IF(G212="Standard 5%",F212*VAT_RATE,0))</f>
        <v/>
      </c>
      <c r="I212" s="39" t="str">
        <f aca="false">IF(F212="","",F212+H212)</f>
        <v/>
      </c>
      <c r="J212" s="36"/>
      <c r="K212" s="37"/>
      <c r="L212" s="38"/>
      <c r="M212" s="22" t="str">
        <f aca="true">IF(OR(A212="",J212="Paid",J212="Written off"),"",TODAY()-A212)</f>
        <v/>
      </c>
      <c r="N212" s="22" t="str">
        <f aca="false">IF(M212="","",IF(M212&gt;OVERDUE_DAYS,"OVERDUE",""))</f>
        <v/>
      </c>
      <c r="O212" s="40" t="str">
        <f aca="false">IF(A212="","",IF(A212&lt;FY_START,0,(YEAR(A212)-YEAR(FY_START))*12+MONTH(A212)-MONTH(FY_START)+1))</f>
        <v/>
      </c>
      <c r="P212" s="40" t="str">
        <f aca="false">IF(A212="","",IF(AND(A212&gt;=VP_START,A212&lt;=VP_END),1,0))</f>
        <v/>
      </c>
    </row>
    <row r="213" customFormat="false" ht="15" hidden="false" customHeight="false" outlineLevel="0" collapsed="false">
      <c r="A213" s="37"/>
      <c r="B213" s="36"/>
      <c r="C213" s="36"/>
      <c r="D213" s="36"/>
      <c r="E213" s="36"/>
      <c r="F213" s="38"/>
      <c r="G213" s="36"/>
      <c r="H213" s="39" t="str">
        <f aca="false">IF(F213="","",IF(G213="Standard 5%",F213*VAT_RATE,0))</f>
        <v/>
      </c>
      <c r="I213" s="39" t="str">
        <f aca="false">IF(F213="","",F213+H213)</f>
        <v/>
      </c>
      <c r="J213" s="36"/>
      <c r="K213" s="37"/>
      <c r="L213" s="38"/>
      <c r="M213" s="22" t="str">
        <f aca="true">IF(OR(A213="",J213="Paid",J213="Written off"),"",TODAY()-A213)</f>
        <v/>
      </c>
      <c r="N213" s="22" t="str">
        <f aca="false">IF(M213="","",IF(M213&gt;OVERDUE_DAYS,"OVERDUE",""))</f>
        <v/>
      </c>
      <c r="O213" s="40" t="str">
        <f aca="false">IF(A213="","",IF(A213&lt;FY_START,0,(YEAR(A213)-YEAR(FY_START))*12+MONTH(A213)-MONTH(FY_START)+1))</f>
        <v/>
      </c>
      <c r="P213" s="40" t="str">
        <f aca="false">IF(A213="","",IF(AND(A213&gt;=VP_START,A213&lt;=VP_END),1,0))</f>
        <v/>
      </c>
    </row>
    <row r="214" customFormat="false" ht="15" hidden="false" customHeight="false" outlineLevel="0" collapsed="false">
      <c r="A214" s="37"/>
      <c r="B214" s="36"/>
      <c r="C214" s="36"/>
      <c r="D214" s="36"/>
      <c r="E214" s="36"/>
      <c r="F214" s="38"/>
      <c r="G214" s="36"/>
      <c r="H214" s="39" t="str">
        <f aca="false">IF(F214="","",IF(G214="Standard 5%",F214*VAT_RATE,0))</f>
        <v/>
      </c>
      <c r="I214" s="39" t="str">
        <f aca="false">IF(F214="","",F214+H214)</f>
        <v/>
      </c>
      <c r="J214" s="36"/>
      <c r="K214" s="37"/>
      <c r="L214" s="38"/>
      <c r="M214" s="22" t="str">
        <f aca="true">IF(OR(A214="",J214="Paid",J214="Written off"),"",TODAY()-A214)</f>
        <v/>
      </c>
      <c r="N214" s="22" t="str">
        <f aca="false">IF(M214="","",IF(M214&gt;OVERDUE_DAYS,"OVERDUE",""))</f>
        <v/>
      </c>
      <c r="O214" s="40" t="str">
        <f aca="false">IF(A214="","",IF(A214&lt;FY_START,0,(YEAR(A214)-YEAR(FY_START))*12+MONTH(A214)-MONTH(FY_START)+1))</f>
        <v/>
      </c>
      <c r="P214" s="40" t="str">
        <f aca="false">IF(A214="","",IF(AND(A214&gt;=VP_START,A214&lt;=VP_END),1,0))</f>
        <v/>
      </c>
    </row>
    <row r="215" customFormat="false" ht="15" hidden="false" customHeight="false" outlineLevel="0" collapsed="false">
      <c r="A215" s="37"/>
      <c r="B215" s="36"/>
      <c r="C215" s="36"/>
      <c r="D215" s="36"/>
      <c r="E215" s="36"/>
      <c r="F215" s="38"/>
      <c r="G215" s="36"/>
      <c r="H215" s="39" t="str">
        <f aca="false">IF(F215="","",IF(G215="Standard 5%",F215*VAT_RATE,0))</f>
        <v/>
      </c>
      <c r="I215" s="39" t="str">
        <f aca="false">IF(F215="","",F215+H215)</f>
        <v/>
      </c>
      <c r="J215" s="36"/>
      <c r="K215" s="37"/>
      <c r="L215" s="38"/>
      <c r="M215" s="22" t="str">
        <f aca="true">IF(OR(A215="",J215="Paid",J215="Written off"),"",TODAY()-A215)</f>
        <v/>
      </c>
      <c r="N215" s="22" t="str">
        <f aca="false">IF(M215="","",IF(M215&gt;OVERDUE_DAYS,"OVERDUE",""))</f>
        <v/>
      </c>
      <c r="O215" s="40" t="str">
        <f aca="false">IF(A215="","",IF(A215&lt;FY_START,0,(YEAR(A215)-YEAR(FY_START))*12+MONTH(A215)-MONTH(FY_START)+1))</f>
        <v/>
      </c>
      <c r="P215" s="40" t="str">
        <f aca="false">IF(A215="","",IF(AND(A215&gt;=VP_START,A215&lt;=VP_END),1,0))</f>
        <v/>
      </c>
    </row>
    <row r="216" customFormat="false" ht="15" hidden="false" customHeight="false" outlineLevel="0" collapsed="false">
      <c r="A216" s="37"/>
      <c r="B216" s="36"/>
      <c r="C216" s="36"/>
      <c r="D216" s="36"/>
      <c r="E216" s="36"/>
      <c r="F216" s="38"/>
      <c r="G216" s="36"/>
      <c r="H216" s="39" t="str">
        <f aca="false">IF(F216="","",IF(G216="Standard 5%",F216*VAT_RATE,0))</f>
        <v/>
      </c>
      <c r="I216" s="39" t="str">
        <f aca="false">IF(F216="","",F216+H216)</f>
        <v/>
      </c>
      <c r="J216" s="36"/>
      <c r="K216" s="37"/>
      <c r="L216" s="38"/>
      <c r="M216" s="22" t="str">
        <f aca="true">IF(OR(A216="",J216="Paid",J216="Written off"),"",TODAY()-A216)</f>
        <v/>
      </c>
      <c r="N216" s="22" t="str">
        <f aca="false">IF(M216="","",IF(M216&gt;OVERDUE_DAYS,"OVERDUE",""))</f>
        <v/>
      </c>
      <c r="O216" s="40" t="str">
        <f aca="false">IF(A216="","",IF(A216&lt;FY_START,0,(YEAR(A216)-YEAR(FY_START))*12+MONTH(A216)-MONTH(FY_START)+1))</f>
        <v/>
      </c>
      <c r="P216" s="40" t="str">
        <f aca="false">IF(A216="","",IF(AND(A216&gt;=VP_START,A216&lt;=VP_END),1,0))</f>
        <v/>
      </c>
    </row>
    <row r="217" customFormat="false" ht="15" hidden="false" customHeight="false" outlineLevel="0" collapsed="false">
      <c r="A217" s="37"/>
      <c r="B217" s="36"/>
      <c r="C217" s="36"/>
      <c r="D217" s="36"/>
      <c r="E217" s="36"/>
      <c r="F217" s="38"/>
      <c r="G217" s="36"/>
      <c r="H217" s="39" t="str">
        <f aca="false">IF(F217="","",IF(G217="Standard 5%",F217*VAT_RATE,0))</f>
        <v/>
      </c>
      <c r="I217" s="39" t="str">
        <f aca="false">IF(F217="","",F217+H217)</f>
        <v/>
      </c>
      <c r="J217" s="36"/>
      <c r="K217" s="37"/>
      <c r="L217" s="38"/>
      <c r="M217" s="22" t="str">
        <f aca="true">IF(OR(A217="",J217="Paid",J217="Written off"),"",TODAY()-A217)</f>
        <v/>
      </c>
      <c r="N217" s="22" t="str">
        <f aca="false">IF(M217="","",IF(M217&gt;OVERDUE_DAYS,"OVERDUE",""))</f>
        <v/>
      </c>
      <c r="O217" s="40" t="str">
        <f aca="false">IF(A217="","",IF(A217&lt;FY_START,0,(YEAR(A217)-YEAR(FY_START))*12+MONTH(A217)-MONTH(FY_START)+1))</f>
        <v/>
      </c>
      <c r="P217" s="40" t="str">
        <f aca="false">IF(A217="","",IF(AND(A217&gt;=VP_START,A217&lt;=VP_END),1,0))</f>
        <v/>
      </c>
    </row>
    <row r="218" customFormat="false" ht="15" hidden="false" customHeight="false" outlineLevel="0" collapsed="false">
      <c r="A218" s="37"/>
      <c r="B218" s="36"/>
      <c r="C218" s="36"/>
      <c r="D218" s="36"/>
      <c r="E218" s="36"/>
      <c r="F218" s="38"/>
      <c r="G218" s="36"/>
      <c r="H218" s="39" t="str">
        <f aca="false">IF(F218="","",IF(G218="Standard 5%",F218*VAT_RATE,0))</f>
        <v/>
      </c>
      <c r="I218" s="39" t="str">
        <f aca="false">IF(F218="","",F218+H218)</f>
        <v/>
      </c>
      <c r="J218" s="36"/>
      <c r="K218" s="37"/>
      <c r="L218" s="38"/>
      <c r="M218" s="22" t="str">
        <f aca="true">IF(OR(A218="",J218="Paid",J218="Written off"),"",TODAY()-A218)</f>
        <v/>
      </c>
      <c r="N218" s="22" t="str">
        <f aca="false">IF(M218="","",IF(M218&gt;OVERDUE_DAYS,"OVERDUE",""))</f>
        <v/>
      </c>
      <c r="O218" s="40" t="str">
        <f aca="false">IF(A218="","",IF(A218&lt;FY_START,0,(YEAR(A218)-YEAR(FY_START))*12+MONTH(A218)-MONTH(FY_START)+1))</f>
        <v/>
      </c>
      <c r="P218" s="40" t="str">
        <f aca="false">IF(A218="","",IF(AND(A218&gt;=VP_START,A218&lt;=VP_END),1,0))</f>
        <v/>
      </c>
    </row>
    <row r="219" customFormat="false" ht="15" hidden="false" customHeight="false" outlineLevel="0" collapsed="false">
      <c r="A219" s="37"/>
      <c r="B219" s="36"/>
      <c r="C219" s="36"/>
      <c r="D219" s="36"/>
      <c r="E219" s="36"/>
      <c r="F219" s="38"/>
      <c r="G219" s="36"/>
      <c r="H219" s="39" t="str">
        <f aca="false">IF(F219="","",IF(G219="Standard 5%",F219*VAT_RATE,0))</f>
        <v/>
      </c>
      <c r="I219" s="39" t="str">
        <f aca="false">IF(F219="","",F219+H219)</f>
        <v/>
      </c>
      <c r="J219" s="36"/>
      <c r="K219" s="37"/>
      <c r="L219" s="38"/>
      <c r="M219" s="22" t="str">
        <f aca="true">IF(OR(A219="",J219="Paid",J219="Written off"),"",TODAY()-A219)</f>
        <v/>
      </c>
      <c r="N219" s="22" t="str">
        <f aca="false">IF(M219="","",IF(M219&gt;OVERDUE_DAYS,"OVERDUE",""))</f>
        <v/>
      </c>
      <c r="O219" s="40" t="str">
        <f aca="false">IF(A219="","",IF(A219&lt;FY_START,0,(YEAR(A219)-YEAR(FY_START))*12+MONTH(A219)-MONTH(FY_START)+1))</f>
        <v/>
      </c>
      <c r="P219" s="40" t="str">
        <f aca="false">IF(A219="","",IF(AND(A219&gt;=VP_START,A219&lt;=VP_END),1,0))</f>
        <v/>
      </c>
    </row>
    <row r="220" customFormat="false" ht="15" hidden="false" customHeight="false" outlineLevel="0" collapsed="false">
      <c r="A220" s="37"/>
      <c r="B220" s="36"/>
      <c r="C220" s="36"/>
      <c r="D220" s="36"/>
      <c r="E220" s="36"/>
      <c r="F220" s="38"/>
      <c r="G220" s="36"/>
      <c r="H220" s="39" t="str">
        <f aca="false">IF(F220="","",IF(G220="Standard 5%",F220*VAT_RATE,0))</f>
        <v/>
      </c>
      <c r="I220" s="39" t="str">
        <f aca="false">IF(F220="","",F220+H220)</f>
        <v/>
      </c>
      <c r="J220" s="36"/>
      <c r="K220" s="37"/>
      <c r="L220" s="38"/>
      <c r="M220" s="22" t="str">
        <f aca="true">IF(OR(A220="",J220="Paid",J220="Written off"),"",TODAY()-A220)</f>
        <v/>
      </c>
      <c r="N220" s="22" t="str">
        <f aca="false">IF(M220="","",IF(M220&gt;OVERDUE_DAYS,"OVERDUE",""))</f>
        <v/>
      </c>
      <c r="O220" s="40" t="str">
        <f aca="false">IF(A220="","",IF(A220&lt;FY_START,0,(YEAR(A220)-YEAR(FY_START))*12+MONTH(A220)-MONTH(FY_START)+1))</f>
        <v/>
      </c>
      <c r="P220" s="40" t="str">
        <f aca="false">IF(A220="","",IF(AND(A220&gt;=VP_START,A220&lt;=VP_END),1,0))</f>
        <v/>
      </c>
    </row>
    <row r="221" customFormat="false" ht="15" hidden="false" customHeight="false" outlineLevel="0" collapsed="false">
      <c r="A221" s="37"/>
      <c r="B221" s="36"/>
      <c r="C221" s="36"/>
      <c r="D221" s="36"/>
      <c r="E221" s="36"/>
      <c r="F221" s="38"/>
      <c r="G221" s="36"/>
      <c r="H221" s="39" t="str">
        <f aca="false">IF(F221="","",IF(G221="Standard 5%",F221*VAT_RATE,0))</f>
        <v/>
      </c>
      <c r="I221" s="39" t="str">
        <f aca="false">IF(F221="","",F221+H221)</f>
        <v/>
      </c>
      <c r="J221" s="36"/>
      <c r="K221" s="37"/>
      <c r="L221" s="38"/>
      <c r="M221" s="22" t="str">
        <f aca="true">IF(OR(A221="",J221="Paid",J221="Written off"),"",TODAY()-A221)</f>
        <v/>
      </c>
      <c r="N221" s="22" t="str">
        <f aca="false">IF(M221="","",IF(M221&gt;OVERDUE_DAYS,"OVERDUE",""))</f>
        <v/>
      </c>
      <c r="O221" s="40" t="str">
        <f aca="false">IF(A221="","",IF(A221&lt;FY_START,0,(YEAR(A221)-YEAR(FY_START))*12+MONTH(A221)-MONTH(FY_START)+1))</f>
        <v/>
      </c>
      <c r="P221" s="40" t="str">
        <f aca="false">IF(A221="","",IF(AND(A221&gt;=VP_START,A221&lt;=VP_END),1,0))</f>
        <v/>
      </c>
    </row>
    <row r="222" customFormat="false" ht="15" hidden="false" customHeight="false" outlineLevel="0" collapsed="false">
      <c r="A222" s="37"/>
      <c r="B222" s="36"/>
      <c r="C222" s="36"/>
      <c r="D222" s="36"/>
      <c r="E222" s="36"/>
      <c r="F222" s="38"/>
      <c r="G222" s="36"/>
      <c r="H222" s="39" t="str">
        <f aca="false">IF(F222="","",IF(G222="Standard 5%",F222*VAT_RATE,0))</f>
        <v/>
      </c>
      <c r="I222" s="39" t="str">
        <f aca="false">IF(F222="","",F222+H222)</f>
        <v/>
      </c>
      <c r="J222" s="36"/>
      <c r="K222" s="37"/>
      <c r="L222" s="38"/>
      <c r="M222" s="22" t="str">
        <f aca="true">IF(OR(A222="",J222="Paid",J222="Written off"),"",TODAY()-A222)</f>
        <v/>
      </c>
      <c r="N222" s="22" t="str">
        <f aca="false">IF(M222="","",IF(M222&gt;OVERDUE_DAYS,"OVERDUE",""))</f>
        <v/>
      </c>
      <c r="O222" s="40" t="str">
        <f aca="false">IF(A222="","",IF(A222&lt;FY_START,0,(YEAR(A222)-YEAR(FY_START))*12+MONTH(A222)-MONTH(FY_START)+1))</f>
        <v/>
      </c>
      <c r="P222" s="40" t="str">
        <f aca="false">IF(A222="","",IF(AND(A222&gt;=VP_START,A222&lt;=VP_END),1,0))</f>
        <v/>
      </c>
    </row>
    <row r="223" customFormat="false" ht="15" hidden="false" customHeight="false" outlineLevel="0" collapsed="false">
      <c r="A223" s="37"/>
      <c r="B223" s="36"/>
      <c r="C223" s="36"/>
      <c r="D223" s="36"/>
      <c r="E223" s="36"/>
      <c r="F223" s="38"/>
      <c r="G223" s="36"/>
      <c r="H223" s="39" t="str">
        <f aca="false">IF(F223="","",IF(G223="Standard 5%",F223*VAT_RATE,0))</f>
        <v/>
      </c>
      <c r="I223" s="39" t="str">
        <f aca="false">IF(F223="","",F223+H223)</f>
        <v/>
      </c>
      <c r="J223" s="36"/>
      <c r="K223" s="37"/>
      <c r="L223" s="38"/>
      <c r="M223" s="22" t="str">
        <f aca="true">IF(OR(A223="",J223="Paid",J223="Written off"),"",TODAY()-A223)</f>
        <v/>
      </c>
      <c r="N223" s="22" t="str">
        <f aca="false">IF(M223="","",IF(M223&gt;OVERDUE_DAYS,"OVERDUE",""))</f>
        <v/>
      </c>
      <c r="O223" s="40" t="str">
        <f aca="false">IF(A223="","",IF(A223&lt;FY_START,0,(YEAR(A223)-YEAR(FY_START))*12+MONTH(A223)-MONTH(FY_START)+1))</f>
        <v/>
      </c>
      <c r="P223" s="40" t="str">
        <f aca="false">IF(A223="","",IF(AND(A223&gt;=VP_START,A223&lt;=VP_END),1,0))</f>
        <v/>
      </c>
    </row>
    <row r="224" customFormat="false" ht="15" hidden="false" customHeight="false" outlineLevel="0" collapsed="false">
      <c r="A224" s="37"/>
      <c r="B224" s="36"/>
      <c r="C224" s="36"/>
      <c r="D224" s="36"/>
      <c r="E224" s="36"/>
      <c r="F224" s="38"/>
      <c r="G224" s="36"/>
      <c r="H224" s="39" t="str">
        <f aca="false">IF(F224="","",IF(G224="Standard 5%",F224*VAT_RATE,0))</f>
        <v/>
      </c>
      <c r="I224" s="39" t="str">
        <f aca="false">IF(F224="","",F224+H224)</f>
        <v/>
      </c>
      <c r="J224" s="36"/>
      <c r="K224" s="37"/>
      <c r="L224" s="38"/>
      <c r="M224" s="22" t="str">
        <f aca="true">IF(OR(A224="",J224="Paid",J224="Written off"),"",TODAY()-A224)</f>
        <v/>
      </c>
      <c r="N224" s="22" t="str">
        <f aca="false">IF(M224="","",IF(M224&gt;OVERDUE_DAYS,"OVERDUE",""))</f>
        <v/>
      </c>
      <c r="O224" s="40" t="str">
        <f aca="false">IF(A224="","",IF(A224&lt;FY_START,0,(YEAR(A224)-YEAR(FY_START))*12+MONTH(A224)-MONTH(FY_START)+1))</f>
        <v/>
      </c>
      <c r="P224" s="40" t="str">
        <f aca="false">IF(A224="","",IF(AND(A224&gt;=VP_START,A224&lt;=VP_END),1,0))</f>
        <v/>
      </c>
    </row>
    <row r="225" customFormat="false" ht="15" hidden="false" customHeight="false" outlineLevel="0" collapsed="false">
      <c r="A225" s="37"/>
      <c r="B225" s="36"/>
      <c r="C225" s="36"/>
      <c r="D225" s="36"/>
      <c r="E225" s="36"/>
      <c r="F225" s="38"/>
      <c r="G225" s="36"/>
      <c r="H225" s="39" t="str">
        <f aca="false">IF(F225="","",IF(G225="Standard 5%",F225*VAT_RATE,0))</f>
        <v/>
      </c>
      <c r="I225" s="39" t="str">
        <f aca="false">IF(F225="","",F225+H225)</f>
        <v/>
      </c>
      <c r="J225" s="36"/>
      <c r="K225" s="37"/>
      <c r="L225" s="38"/>
      <c r="M225" s="22" t="str">
        <f aca="true">IF(OR(A225="",J225="Paid",J225="Written off"),"",TODAY()-A225)</f>
        <v/>
      </c>
      <c r="N225" s="22" t="str">
        <f aca="false">IF(M225="","",IF(M225&gt;OVERDUE_DAYS,"OVERDUE",""))</f>
        <v/>
      </c>
      <c r="O225" s="40" t="str">
        <f aca="false">IF(A225="","",IF(A225&lt;FY_START,0,(YEAR(A225)-YEAR(FY_START))*12+MONTH(A225)-MONTH(FY_START)+1))</f>
        <v/>
      </c>
      <c r="P225" s="40" t="str">
        <f aca="false">IF(A225="","",IF(AND(A225&gt;=VP_START,A225&lt;=VP_END),1,0))</f>
        <v/>
      </c>
    </row>
    <row r="226" customFormat="false" ht="15" hidden="false" customHeight="false" outlineLevel="0" collapsed="false">
      <c r="A226" s="37"/>
      <c r="B226" s="36"/>
      <c r="C226" s="36"/>
      <c r="D226" s="36"/>
      <c r="E226" s="36"/>
      <c r="F226" s="38"/>
      <c r="G226" s="36"/>
      <c r="H226" s="39" t="str">
        <f aca="false">IF(F226="","",IF(G226="Standard 5%",F226*VAT_RATE,0))</f>
        <v/>
      </c>
      <c r="I226" s="39" t="str">
        <f aca="false">IF(F226="","",F226+H226)</f>
        <v/>
      </c>
      <c r="J226" s="36"/>
      <c r="K226" s="37"/>
      <c r="L226" s="38"/>
      <c r="M226" s="22" t="str">
        <f aca="true">IF(OR(A226="",J226="Paid",J226="Written off"),"",TODAY()-A226)</f>
        <v/>
      </c>
      <c r="N226" s="22" t="str">
        <f aca="false">IF(M226="","",IF(M226&gt;OVERDUE_DAYS,"OVERDUE",""))</f>
        <v/>
      </c>
      <c r="O226" s="40" t="str">
        <f aca="false">IF(A226="","",IF(A226&lt;FY_START,0,(YEAR(A226)-YEAR(FY_START))*12+MONTH(A226)-MONTH(FY_START)+1))</f>
        <v/>
      </c>
      <c r="P226" s="40" t="str">
        <f aca="false">IF(A226="","",IF(AND(A226&gt;=VP_START,A226&lt;=VP_END),1,0))</f>
        <v/>
      </c>
    </row>
    <row r="227" customFormat="false" ht="15" hidden="false" customHeight="false" outlineLevel="0" collapsed="false">
      <c r="A227" s="37"/>
      <c r="B227" s="36"/>
      <c r="C227" s="36"/>
      <c r="D227" s="36"/>
      <c r="E227" s="36"/>
      <c r="F227" s="38"/>
      <c r="G227" s="36"/>
      <c r="H227" s="39" t="str">
        <f aca="false">IF(F227="","",IF(G227="Standard 5%",F227*VAT_RATE,0))</f>
        <v/>
      </c>
      <c r="I227" s="39" t="str">
        <f aca="false">IF(F227="","",F227+H227)</f>
        <v/>
      </c>
      <c r="J227" s="36"/>
      <c r="K227" s="37"/>
      <c r="L227" s="38"/>
      <c r="M227" s="22" t="str">
        <f aca="true">IF(OR(A227="",J227="Paid",J227="Written off"),"",TODAY()-A227)</f>
        <v/>
      </c>
      <c r="N227" s="22" t="str">
        <f aca="false">IF(M227="","",IF(M227&gt;OVERDUE_DAYS,"OVERDUE",""))</f>
        <v/>
      </c>
      <c r="O227" s="40" t="str">
        <f aca="false">IF(A227="","",IF(A227&lt;FY_START,0,(YEAR(A227)-YEAR(FY_START))*12+MONTH(A227)-MONTH(FY_START)+1))</f>
        <v/>
      </c>
      <c r="P227" s="40" t="str">
        <f aca="false">IF(A227="","",IF(AND(A227&gt;=VP_START,A227&lt;=VP_END),1,0))</f>
        <v/>
      </c>
    </row>
    <row r="228" customFormat="false" ht="15" hidden="false" customHeight="false" outlineLevel="0" collapsed="false">
      <c r="A228" s="37"/>
      <c r="B228" s="36"/>
      <c r="C228" s="36"/>
      <c r="D228" s="36"/>
      <c r="E228" s="36"/>
      <c r="F228" s="38"/>
      <c r="G228" s="36"/>
      <c r="H228" s="39" t="str">
        <f aca="false">IF(F228="","",IF(G228="Standard 5%",F228*VAT_RATE,0))</f>
        <v/>
      </c>
      <c r="I228" s="39" t="str">
        <f aca="false">IF(F228="","",F228+H228)</f>
        <v/>
      </c>
      <c r="J228" s="36"/>
      <c r="K228" s="37"/>
      <c r="L228" s="38"/>
      <c r="M228" s="22" t="str">
        <f aca="true">IF(OR(A228="",J228="Paid",J228="Written off"),"",TODAY()-A228)</f>
        <v/>
      </c>
      <c r="N228" s="22" t="str">
        <f aca="false">IF(M228="","",IF(M228&gt;OVERDUE_DAYS,"OVERDUE",""))</f>
        <v/>
      </c>
      <c r="O228" s="40" t="str">
        <f aca="false">IF(A228="","",IF(A228&lt;FY_START,0,(YEAR(A228)-YEAR(FY_START))*12+MONTH(A228)-MONTH(FY_START)+1))</f>
        <v/>
      </c>
      <c r="P228" s="40" t="str">
        <f aca="false">IF(A228="","",IF(AND(A228&gt;=VP_START,A228&lt;=VP_END),1,0))</f>
        <v/>
      </c>
    </row>
    <row r="229" customFormat="false" ht="15" hidden="false" customHeight="false" outlineLevel="0" collapsed="false">
      <c r="A229" s="37"/>
      <c r="B229" s="36"/>
      <c r="C229" s="36"/>
      <c r="D229" s="36"/>
      <c r="E229" s="36"/>
      <c r="F229" s="38"/>
      <c r="G229" s="36"/>
      <c r="H229" s="39" t="str">
        <f aca="false">IF(F229="","",IF(G229="Standard 5%",F229*VAT_RATE,0))</f>
        <v/>
      </c>
      <c r="I229" s="39" t="str">
        <f aca="false">IF(F229="","",F229+H229)</f>
        <v/>
      </c>
      <c r="J229" s="36"/>
      <c r="K229" s="37"/>
      <c r="L229" s="38"/>
      <c r="M229" s="22" t="str">
        <f aca="true">IF(OR(A229="",J229="Paid",J229="Written off"),"",TODAY()-A229)</f>
        <v/>
      </c>
      <c r="N229" s="22" t="str">
        <f aca="false">IF(M229="","",IF(M229&gt;OVERDUE_DAYS,"OVERDUE",""))</f>
        <v/>
      </c>
      <c r="O229" s="40" t="str">
        <f aca="false">IF(A229="","",IF(A229&lt;FY_START,0,(YEAR(A229)-YEAR(FY_START))*12+MONTH(A229)-MONTH(FY_START)+1))</f>
        <v/>
      </c>
      <c r="P229" s="40" t="str">
        <f aca="false">IF(A229="","",IF(AND(A229&gt;=VP_START,A229&lt;=VP_END),1,0))</f>
        <v/>
      </c>
    </row>
    <row r="230" customFormat="false" ht="15" hidden="false" customHeight="false" outlineLevel="0" collapsed="false">
      <c r="A230" s="37"/>
      <c r="B230" s="36"/>
      <c r="C230" s="36"/>
      <c r="D230" s="36"/>
      <c r="E230" s="36"/>
      <c r="F230" s="38"/>
      <c r="G230" s="36"/>
      <c r="H230" s="39" t="str">
        <f aca="false">IF(F230="","",IF(G230="Standard 5%",F230*VAT_RATE,0))</f>
        <v/>
      </c>
      <c r="I230" s="39" t="str">
        <f aca="false">IF(F230="","",F230+H230)</f>
        <v/>
      </c>
      <c r="J230" s="36"/>
      <c r="K230" s="37"/>
      <c r="L230" s="38"/>
      <c r="M230" s="22" t="str">
        <f aca="true">IF(OR(A230="",J230="Paid",J230="Written off"),"",TODAY()-A230)</f>
        <v/>
      </c>
      <c r="N230" s="22" t="str">
        <f aca="false">IF(M230="","",IF(M230&gt;OVERDUE_DAYS,"OVERDUE",""))</f>
        <v/>
      </c>
      <c r="O230" s="40" t="str">
        <f aca="false">IF(A230="","",IF(A230&lt;FY_START,0,(YEAR(A230)-YEAR(FY_START))*12+MONTH(A230)-MONTH(FY_START)+1))</f>
        <v/>
      </c>
      <c r="P230" s="40" t="str">
        <f aca="false">IF(A230="","",IF(AND(A230&gt;=VP_START,A230&lt;=VP_END),1,0))</f>
        <v/>
      </c>
    </row>
    <row r="231" customFormat="false" ht="15" hidden="false" customHeight="false" outlineLevel="0" collapsed="false">
      <c r="A231" s="37"/>
      <c r="B231" s="36"/>
      <c r="C231" s="36"/>
      <c r="D231" s="36"/>
      <c r="E231" s="36"/>
      <c r="F231" s="38"/>
      <c r="G231" s="36"/>
      <c r="H231" s="39" t="str">
        <f aca="false">IF(F231="","",IF(G231="Standard 5%",F231*VAT_RATE,0))</f>
        <v/>
      </c>
      <c r="I231" s="39" t="str">
        <f aca="false">IF(F231="","",F231+H231)</f>
        <v/>
      </c>
      <c r="J231" s="36"/>
      <c r="K231" s="37"/>
      <c r="L231" s="38"/>
      <c r="M231" s="22" t="str">
        <f aca="true">IF(OR(A231="",J231="Paid",J231="Written off"),"",TODAY()-A231)</f>
        <v/>
      </c>
      <c r="N231" s="22" t="str">
        <f aca="false">IF(M231="","",IF(M231&gt;OVERDUE_DAYS,"OVERDUE",""))</f>
        <v/>
      </c>
      <c r="O231" s="40" t="str">
        <f aca="false">IF(A231="","",IF(A231&lt;FY_START,0,(YEAR(A231)-YEAR(FY_START))*12+MONTH(A231)-MONTH(FY_START)+1))</f>
        <v/>
      </c>
      <c r="P231" s="40" t="str">
        <f aca="false">IF(A231="","",IF(AND(A231&gt;=VP_START,A231&lt;=VP_END),1,0))</f>
        <v/>
      </c>
    </row>
    <row r="232" customFormat="false" ht="15" hidden="false" customHeight="false" outlineLevel="0" collapsed="false">
      <c r="A232" s="37"/>
      <c r="B232" s="36"/>
      <c r="C232" s="36"/>
      <c r="D232" s="36"/>
      <c r="E232" s="36"/>
      <c r="F232" s="38"/>
      <c r="G232" s="36"/>
      <c r="H232" s="39" t="str">
        <f aca="false">IF(F232="","",IF(G232="Standard 5%",F232*VAT_RATE,0))</f>
        <v/>
      </c>
      <c r="I232" s="39" t="str">
        <f aca="false">IF(F232="","",F232+H232)</f>
        <v/>
      </c>
      <c r="J232" s="36"/>
      <c r="K232" s="37"/>
      <c r="L232" s="38"/>
      <c r="M232" s="22" t="str">
        <f aca="true">IF(OR(A232="",J232="Paid",J232="Written off"),"",TODAY()-A232)</f>
        <v/>
      </c>
      <c r="N232" s="22" t="str">
        <f aca="false">IF(M232="","",IF(M232&gt;OVERDUE_DAYS,"OVERDUE",""))</f>
        <v/>
      </c>
      <c r="O232" s="40" t="str">
        <f aca="false">IF(A232="","",IF(A232&lt;FY_START,0,(YEAR(A232)-YEAR(FY_START))*12+MONTH(A232)-MONTH(FY_START)+1))</f>
        <v/>
      </c>
      <c r="P232" s="40" t="str">
        <f aca="false">IF(A232="","",IF(AND(A232&gt;=VP_START,A232&lt;=VP_END),1,0))</f>
        <v/>
      </c>
    </row>
    <row r="233" customFormat="false" ht="15" hidden="false" customHeight="false" outlineLevel="0" collapsed="false">
      <c r="A233" s="37"/>
      <c r="B233" s="36"/>
      <c r="C233" s="36"/>
      <c r="D233" s="36"/>
      <c r="E233" s="36"/>
      <c r="F233" s="38"/>
      <c r="G233" s="36"/>
      <c r="H233" s="39" t="str">
        <f aca="false">IF(F233="","",IF(G233="Standard 5%",F233*VAT_RATE,0))</f>
        <v/>
      </c>
      <c r="I233" s="39" t="str">
        <f aca="false">IF(F233="","",F233+H233)</f>
        <v/>
      </c>
      <c r="J233" s="36"/>
      <c r="K233" s="37"/>
      <c r="L233" s="38"/>
      <c r="M233" s="22" t="str">
        <f aca="true">IF(OR(A233="",J233="Paid",J233="Written off"),"",TODAY()-A233)</f>
        <v/>
      </c>
      <c r="N233" s="22" t="str">
        <f aca="false">IF(M233="","",IF(M233&gt;OVERDUE_DAYS,"OVERDUE",""))</f>
        <v/>
      </c>
      <c r="O233" s="40" t="str">
        <f aca="false">IF(A233="","",IF(A233&lt;FY_START,0,(YEAR(A233)-YEAR(FY_START))*12+MONTH(A233)-MONTH(FY_START)+1))</f>
        <v/>
      </c>
      <c r="P233" s="40" t="str">
        <f aca="false">IF(A233="","",IF(AND(A233&gt;=VP_START,A233&lt;=VP_END),1,0))</f>
        <v/>
      </c>
    </row>
    <row r="234" customFormat="false" ht="15" hidden="false" customHeight="false" outlineLevel="0" collapsed="false">
      <c r="A234" s="37"/>
      <c r="B234" s="36"/>
      <c r="C234" s="36"/>
      <c r="D234" s="36"/>
      <c r="E234" s="36"/>
      <c r="F234" s="38"/>
      <c r="G234" s="36"/>
      <c r="H234" s="39" t="str">
        <f aca="false">IF(F234="","",IF(G234="Standard 5%",F234*VAT_RATE,0))</f>
        <v/>
      </c>
      <c r="I234" s="39" t="str">
        <f aca="false">IF(F234="","",F234+H234)</f>
        <v/>
      </c>
      <c r="J234" s="36"/>
      <c r="K234" s="37"/>
      <c r="L234" s="38"/>
      <c r="M234" s="22" t="str">
        <f aca="true">IF(OR(A234="",J234="Paid",J234="Written off"),"",TODAY()-A234)</f>
        <v/>
      </c>
      <c r="N234" s="22" t="str">
        <f aca="false">IF(M234="","",IF(M234&gt;OVERDUE_DAYS,"OVERDUE",""))</f>
        <v/>
      </c>
      <c r="O234" s="40" t="str">
        <f aca="false">IF(A234="","",IF(A234&lt;FY_START,0,(YEAR(A234)-YEAR(FY_START))*12+MONTH(A234)-MONTH(FY_START)+1))</f>
        <v/>
      </c>
      <c r="P234" s="40" t="str">
        <f aca="false">IF(A234="","",IF(AND(A234&gt;=VP_START,A234&lt;=VP_END),1,0))</f>
        <v/>
      </c>
    </row>
    <row r="235" customFormat="false" ht="15" hidden="false" customHeight="false" outlineLevel="0" collapsed="false">
      <c r="A235" s="37"/>
      <c r="B235" s="36"/>
      <c r="C235" s="36"/>
      <c r="D235" s="36"/>
      <c r="E235" s="36"/>
      <c r="F235" s="38"/>
      <c r="G235" s="36"/>
      <c r="H235" s="39" t="str">
        <f aca="false">IF(F235="","",IF(G235="Standard 5%",F235*VAT_RATE,0))</f>
        <v/>
      </c>
      <c r="I235" s="39" t="str">
        <f aca="false">IF(F235="","",F235+H235)</f>
        <v/>
      </c>
      <c r="J235" s="36"/>
      <c r="K235" s="37"/>
      <c r="L235" s="38"/>
      <c r="M235" s="22" t="str">
        <f aca="true">IF(OR(A235="",J235="Paid",J235="Written off"),"",TODAY()-A235)</f>
        <v/>
      </c>
      <c r="N235" s="22" t="str">
        <f aca="false">IF(M235="","",IF(M235&gt;OVERDUE_DAYS,"OVERDUE",""))</f>
        <v/>
      </c>
      <c r="O235" s="40" t="str">
        <f aca="false">IF(A235="","",IF(A235&lt;FY_START,0,(YEAR(A235)-YEAR(FY_START))*12+MONTH(A235)-MONTH(FY_START)+1))</f>
        <v/>
      </c>
      <c r="P235" s="40" t="str">
        <f aca="false">IF(A235="","",IF(AND(A235&gt;=VP_START,A235&lt;=VP_END),1,0))</f>
        <v/>
      </c>
    </row>
    <row r="236" customFormat="false" ht="15" hidden="false" customHeight="false" outlineLevel="0" collapsed="false">
      <c r="A236" s="37"/>
      <c r="B236" s="36"/>
      <c r="C236" s="36"/>
      <c r="D236" s="36"/>
      <c r="E236" s="36"/>
      <c r="F236" s="38"/>
      <c r="G236" s="36"/>
      <c r="H236" s="39" t="str">
        <f aca="false">IF(F236="","",IF(G236="Standard 5%",F236*VAT_RATE,0))</f>
        <v/>
      </c>
      <c r="I236" s="39" t="str">
        <f aca="false">IF(F236="","",F236+H236)</f>
        <v/>
      </c>
      <c r="J236" s="36"/>
      <c r="K236" s="37"/>
      <c r="L236" s="38"/>
      <c r="M236" s="22" t="str">
        <f aca="true">IF(OR(A236="",J236="Paid",J236="Written off"),"",TODAY()-A236)</f>
        <v/>
      </c>
      <c r="N236" s="22" t="str">
        <f aca="false">IF(M236="","",IF(M236&gt;OVERDUE_DAYS,"OVERDUE",""))</f>
        <v/>
      </c>
      <c r="O236" s="40" t="str">
        <f aca="false">IF(A236="","",IF(A236&lt;FY_START,0,(YEAR(A236)-YEAR(FY_START))*12+MONTH(A236)-MONTH(FY_START)+1))</f>
        <v/>
      </c>
      <c r="P236" s="40" t="str">
        <f aca="false">IF(A236="","",IF(AND(A236&gt;=VP_START,A236&lt;=VP_END),1,0))</f>
        <v/>
      </c>
    </row>
    <row r="237" customFormat="false" ht="15" hidden="false" customHeight="false" outlineLevel="0" collapsed="false">
      <c r="A237" s="37"/>
      <c r="B237" s="36"/>
      <c r="C237" s="36"/>
      <c r="D237" s="36"/>
      <c r="E237" s="36"/>
      <c r="F237" s="38"/>
      <c r="G237" s="36"/>
      <c r="H237" s="39" t="str">
        <f aca="false">IF(F237="","",IF(G237="Standard 5%",F237*VAT_RATE,0))</f>
        <v/>
      </c>
      <c r="I237" s="39" t="str">
        <f aca="false">IF(F237="","",F237+H237)</f>
        <v/>
      </c>
      <c r="J237" s="36"/>
      <c r="K237" s="37"/>
      <c r="L237" s="38"/>
      <c r="M237" s="22" t="str">
        <f aca="true">IF(OR(A237="",J237="Paid",J237="Written off"),"",TODAY()-A237)</f>
        <v/>
      </c>
      <c r="N237" s="22" t="str">
        <f aca="false">IF(M237="","",IF(M237&gt;OVERDUE_DAYS,"OVERDUE",""))</f>
        <v/>
      </c>
      <c r="O237" s="40" t="str">
        <f aca="false">IF(A237="","",IF(A237&lt;FY_START,0,(YEAR(A237)-YEAR(FY_START))*12+MONTH(A237)-MONTH(FY_START)+1))</f>
        <v/>
      </c>
      <c r="P237" s="40" t="str">
        <f aca="false">IF(A237="","",IF(AND(A237&gt;=VP_START,A237&lt;=VP_END),1,0))</f>
        <v/>
      </c>
    </row>
    <row r="238" customFormat="false" ht="15" hidden="false" customHeight="false" outlineLevel="0" collapsed="false">
      <c r="A238" s="37"/>
      <c r="B238" s="36"/>
      <c r="C238" s="36"/>
      <c r="D238" s="36"/>
      <c r="E238" s="36"/>
      <c r="F238" s="38"/>
      <c r="G238" s="36"/>
      <c r="H238" s="39" t="str">
        <f aca="false">IF(F238="","",IF(G238="Standard 5%",F238*VAT_RATE,0))</f>
        <v/>
      </c>
      <c r="I238" s="39" t="str">
        <f aca="false">IF(F238="","",F238+H238)</f>
        <v/>
      </c>
      <c r="J238" s="36"/>
      <c r="K238" s="37"/>
      <c r="L238" s="38"/>
      <c r="M238" s="22" t="str">
        <f aca="true">IF(OR(A238="",J238="Paid",J238="Written off"),"",TODAY()-A238)</f>
        <v/>
      </c>
      <c r="N238" s="22" t="str">
        <f aca="false">IF(M238="","",IF(M238&gt;OVERDUE_DAYS,"OVERDUE",""))</f>
        <v/>
      </c>
      <c r="O238" s="40" t="str">
        <f aca="false">IF(A238="","",IF(A238&lt;FY_START,0,(YEAR(A238)-YEAR(FY_START))*12+MONTH(A238)-MONTH(FY_START)+1))</f>
        <v/>
      </c>
      <c r="P238" s="40" t="str">
        <f aca="false">IF(A238="","",IF(AND(A238&gt;=VP_START,A238&lt;=VP_END),1,0))</f>
        <v/>
      </c>
    </row>
    <row r="239" customFormat="false" ht="15" hidden="false" customHeight="false" outlineLevel="0" collapsed="false">
      <c r="A239" s="37"/>
      <c r="B239" s="36"/>
      <c r="C239" s="36"/>
      <c r="D239" s="36"/>
      <c r="E239" s="36"/>
      <c r="F239" s="38"/>
      <c r="G239" s="36"/>
      <c r="H239" s="39" t="str">
        <f aca="false">IF(F239="","",IF(G239="Standard 5%",F239*VAT_RATE,0))</f>
        <v/>
      </c>
      <c r="I239" s="39" t="str">
        <f aca="false">IF(F239="","",F239+H239)</f>
        <v/>
      </c>
      <c r="J239" s="36"/>
      <c r="K239" s="37"/>
      <c r="L239" s="38"/>
      <c r="M239" s="22" t="str">
        <f aca="true">IF(OR(A239="",J239="Paid",J239="Written off"),"",TODAY()-A239)</f>
        <v/>
      </c>
      <c r="N239" s="22" t="str">
        <f aca="false">IF(M239="","",IF(M239&gt;OVERDUE_DAYS,"OVERDUE",""))</f>
        <v/>
      </c>
      <c r="O239" s="40" t="str">
        <f aca="false">IF(A239="","",IF(A239&lt;FY_START,0,(YEAR(A239)-YEAR(FY_START))*12+MONTH(A239)-MONTH(FY_START)+1))</f>
        <v/>
      </c>
      <c r="P239" s="40" t="str">
        <f aca="false">IF(A239="","",IF(AND(A239&gt;=VP_START,A239&lt;=VP_END),1,0))</f>
        <v/>
      </c>
    </row>
    <row r="240" customFormat="false" ht="15" hidden="false" customHeight="false" outlineLevel="0" collapsed="false">
      <c r="A240" s="37"/>
      <c r="B240" s="36"/>
      <c r="C240" s="36"/>
      <c r="D240" s="36"/>
      <c r="E240" s="36"/>
      <c r="F240" s="38"/>
      <c r="G240" s="36"/>
      <c r="H240" s="39" t="str">
        <f aca="false">IF(F240="","",IF(G240="Standard 5%",F240*VAT_RATE,0))</f>
        <v/>
      </c>
      <c r="I240" s="39" t="str">
        <f aca="false">IF(F240="","",F240+H240)</f>
        <v/>
      </c>
      <c r="J240" s="36"/>
      <c r="K240" s="37"/>
      <c r="L240" s="38"/>
      <c r="M240" s="22" t="str">
        <f aca="true">IF(OR(A240="",J240="Paid",J240="Written off"),"",TODAY()-A240)</f>
        <v/>
      </c>
      <c r="N240" s="22" t="str">
        <f aca="false">IF(M240="","",IF(M240&gt;OVERDUE_DAYS,"OVERDUE",""))</f>
        <v/>
      </c>
      <c r="O240" s="40" t="str">
        <f aca="false">IF(A240="","",IF(A240&lt;FY_START,0,(YEAR(A240)-YEAR(FY_START))*12+MONTH(A240)-MONTH(FY_START)+1))</f>
        <v/>
      </c>
      <c r="P240" s="40" t="str">
        <f aca="false">IF(A240="","",IF(AND(A240&gt;=VP_START,A240&lt;=VP_END),1,0))</f>
        <v/>
      </c>
    </row>
    <row r="241" customFormat="false" ht="15" hidden="false" customHeight="false" outlineLevel="0" collapsed="false">
      <c r="A241" s="37"/>
      <c r="B241" s="36"/>
      <c r="C241" s="36"/>
      <c r="D241" s="36"/>
      <c r="E241" s="36"/>
      <c r="F241" s="38"/>
      <c r="G241" s="36"/>
      <c r="H241" s="39" t="str">
        <f aca="false">IF(F241="","",IF(G241="Standard 5%",F241*VAT_RATE,0))</f>
        <v/>
      </c>
      <c r="I241" s="39" t="str">
        <f aca="false">IF(F241="","",F241+H241)</f>
        <v/>
      </c>
      <c r="J241" s="36"/>
      <c r="K241" s="37"/>
      <c r="L241" s="38"/>
      <c r="M241" s="22" t="str">
        <f aca="true">IF(OR(A241="",J241="Paid",J241="Written off"),"",TODAY()-A241)</f>
        <v/>
      </c>
      <c r="N241" s="22" t="str">
        <f aca="false">IF(M241="","",IF(M241&gt;OVERDUE_DAYS,"OVERDUE",""))</f>
        <v/>
      </c>
      <c r="O241" s="40" t="str">
        <f aca="false">IF(A241="","",IF(A241&lt;FY_START,0,(YEAR(A241)-YEAR(FY_START))*12+MONTH(A241)-MONTH(FY_START)+1))</f>
        <v/>
      </c>
      <c r="P241" s="40" t="str">
        <f aca="false">IF(A241="","",IF(AND(A241&gt;=VP_START,A241&lt;=VP_END),1,0))</f>
        <v/>
      </c>
    </row>
    <row r="242" customFormat="false" ht="15" hidden="false" customHeight="false" outlineLevel="0" collapsed="false">
      <c r="A242" s="37"/>
      <c r="B242" s="36"/>
      <c r="C242" s="36"/>
      <c r="D242" s="36"/>
      <c r="E242" s="36"/>
      <c r="F242" s="38"/>
      <c r="G242" s="36"/>
      <c r="H242" s="39" t="str">
        <f aca="false">IF(F242="","",IF(G242="Standard 5%",F242*VAT_RATE,0))</f>
        <v/>
      </c>
      <c r="I242" s="39" t="str">
        <f aca="false">IF(F242="","",F242+H242)</f>
        <v/>
      </c>
      <c r="J242" s="36"/>
      <c r="K242" s="37"/>
      <c r="L242" s="38"/>
      <c r="M242" s="22" t="str">
        <f aca="true">IF(OR(A242="",J242="Paid",J242="Written off"),"",TODAY()-A242)</f>
        <v/>
      </c>
      <c r="N242" s="22" t="str">
        <f aca="false">IF(M242="","",IF(M242&gt;OVERDUE_DAYS,"OVERDUE",""))</f>
        <v/>
      </c>
      <c r="O242" s="40" t="str">
        <f aca="false">IF(A242="","",IF(A242&lt;FY_START,0,(YEAR(A242)-YEAR(FY_START))*12+MONTH(A242)-MONTH(FY_START)+1))</f>
        <v/>
      </c>
      <c r="P242" s="40" t="str">
        <f aca="false">IF(A242="","",IF(AND(A242&gt;=VP_START,A242&lt;=VP_END),1,0))</f>
        <v/>
      </c>
    </row>
    <row r="243" customFormat="false" ht="15" hidden="false" customHeight="false" outlineLevel="0" collapsed="false">
      <c r="A243" s="37"/>
      <c r="B243" s="36"/>
      <c r="C243" s="36"/>
      <c r="D243" s="36"/>
      <c r="E243" s="36"/>
      <c r="F243" s="38"/>
      <c r="G243" s="36"/>
      <c r="H243" s="39" t="str">
        <f aca="false">IF(F243="","",IF(G243="Standard 5%",F243*VAT_RATE,0))</f>
        <v/>
      </c>
      <c r="I243" s="39" t="str">
        <f aca="false">IF(F243="","",F243+H243)</f>
        <v/>
      </c>
      <c r="J243" s="36"/>
      <c r="K243" s="37"/>
      <c r="L243" s="38"/>
      <c r="M243" s="22" t="str">
        <f aca="true">IF(OR(A243="",J243="Paid",J243="Written off"),"",TODAY()-A243)</f>
        <v/>
      </c>
      <c r="N243" s="22" t="str">
        <f aca="false">IF(M243="","",IF(M243&gt;OVERDUE_DAYS,"OVERDUE",""))</f>
        <v/>
      </c>
      <c r="O243" s="40" t="str">
        <f aca="false">IF(A243="","",IF(A243&lt;FY_START,0,(YEAR(A243)-YEAR(FY_START))*12+MONTH(A243)-MONTH(FY_START)+1))</f>
        <v/>
      </c>
      <c r="P243" s="40" t="str">
        <f aca="false">IF(A243="","",IF(AND(A243&gt;=VP_START,A243&lt;=VP_END),1,0))</f>
        <v/>
      </c>
    </row>
    <row r="244" customFormat="false" ht="15" hidden="false" customHeight="false" outlineLevel="0" collapsed="false">
      <c r="A244" s="37"/>
      <c r="B244" s="36"/>
      <c r="C244" s="36"/>
      <c r="D244" s="36"/>
      <c r="E244" s="36"/>
      <c r="F244" s="38"/>
      <c r="G244" s="36"/>
      <c r="H244" s="39" t="str">
        <f aca="false">IF(F244="","",IF(G244="Standard 5%",F244*VAT_RATE,0))</f>
        <v/>
      </c>
      <c r="I244" s="39" t="str">
        <f aca="false">IF(F244="","",F244+H244)</f>
        <v/>
      </c>
      <c r="J244" s="36"/>
      <c r="K244" s="37"/>
      <c r="L244" s="38"/>
      <c r="M244" s="22" t="str">
        <f aca="true">IF(OR(A244="",J244="Paid",J244="Written off"),"",TODAY()-A244)</f>
        <v/>
      </c>
      <c r="N244" s="22" t="str">
        <f aca="false">IF(M244="","",IF(M244&gt;OVERDUE_DAYS,"OVERDUE",""))</f>
        <v/>
      </c>
      <c r="O244" s="40" t="str">
        <f aca="false">IF(A244="","",IF(A244&lt;FY_START,0,(YEAR(A244)-YEAR(FY_START))*12+MONTH(A244)-MONTH(FY_START)+1))</f>
        <v/>
      </c>
      <c r="P244" s="40" t="str">
        <f aca="false">IF(A244="","",IF(AND(A244&gt;=VP_START,A244&lt;=VP_END),1,0))</f>
        <v/>
      </c>
    </row>
    <row r="245" customFormat="false" ht="15" hidden="false" customHeight="false" outlineLevel="0" collapsed="false">
      <c r="A245" s="37"/>
      <c r="B245" s="36"/>
      <c r="C245" s="36"/>
      <c r="D245" s="36"/>
      <c r="E245" s="36"/>
      <c r="F245" s="38"/>
      <c r="G245" s="36"/>
      <c r="H245" s="39" t="str">
        <f aca="false">IF(F245="","",IF(G245="Standard 5%",F245*VAT_RATE,0))</f>
        <v/>
      </c>
      <c r="I245" s="39" t="str">
        <f aca="false">IF(F245="","",F245+H245)</f>
        <v/>
      </c>
      <c r="J245" s="36"/>
      <c r="K245" s="37"/>
      <c r="L245" s="38"/>
      <c r="M245" s="22" t="str">
        <f aca="true">IF(OR(A245="",J245="Paid",J245="Written off"),"",TODAY()-A245)</f>
        <v/>
      </c>
      <c r="N245" s="22" t="str">
        <f aca="false">IF(M245="","",IF(M245&gt;OVERDUE_DAYS,"OVERDUE",""))</f>
        <v/>
      </c>
      <c r="O245" s="40" t="str">
        <f aca="false">IF(A245="","",IF(A245&lt;FY_START,0,(YEAR(A245)-YEAR(FY_START))*12+MONTH(A245)-MONTH(FY_START)+1))</f>
        <v/>
      </c>
      <c r="P245" s="40" t="str">
        <f aca="false">IF(A245="","",IF(AND(A245&gt;=VP_START,A245&lt;=VP_END),1,0))</f>
        <v/>
      </c>
    </row>
    <row r="246" customFormat="false" ht="15" hidden="false" customHeight="false" outlineLevel="0" collapsed="false">
      <c r="A246" s="37"/>
      <c r="B246" s="36"/>
      <c r="C246" s="36"/>
      <c r="D246" s="36"/>
      <c r="E246" s="36"/>
      <c r="F246" s="38"/>
      <c r="G246" s="36"/>
      <c r="H246" s="39" t="str">
        <f aca="false">IF(F246="","",IF(G246="Standard 5%",F246*VAT_RATE,0))</f>
        <v/>
      </c>
      <c r="I246" s="39" t="str">
        <f aca="false">IF(F246="","",F246+H246)</f>
        <v/>
      </c>
      <c r="J246" s="36"/>
      <c r="K246" s="37"/>
      <c r="L246" s="38"/>
      <c r="M246" s="22" t="str">
        <f aca="true">IF(OR(A246="",J246="Paid",J246="Written off"),"",TODAY()-A246)</f>
        <v/>
      </c>
      <c r="N246" s="22" t="str">
        <f aca="false">IF(M246="","",IF(M246&gt;OVERDUE_DAYS,"OVERDUE",""))</f>
        <v/>
      </c>
      <c r="O246" s="40" t="str">
        <f aca="false">IF(A246="","",IF(A246&lt;FY_START,0,(YEAR(A246)-YEAR(FY_START))*12+MONTH(A246)-MONTH(FY_START)+1))</f>
        <v/>
      </c>
      <c r="P246" s="40" t="str">
        <f aca="false">IF(A246="","",IF(AND(A246&gt;=VP_START,A246&lt;=VP_END),1,0))</f>
        <v/>
      </c>
    </row>
    <row r="247" customFormat="false" ht="15" hidden="false" customHeight="false" outlineLevel="0" collapsed="false">
      <c r="A247" s="37"/>
      <c r="B247" s="36"/>
      <c r="C247" s="36"/>
      <c r="D247" s="36"/>
      <c r="E247" s="36"/>
      <c r="F247" s="38"/>
      <c r="G247" s="36"/>
      <c r="H247" s="39" t="str">
        <f aca="false">IF(F247="","",IF(G247="Standard 5%",F247*VAT_RATE,0))</f>
        <v/>
      </c>
      <c r="I247" s="39" t="str">
        <f aca="false">IF(F247="","",F247+H247)</f>
        <v/>
      </c>
      <c r="J247" s="36"/>
      <c r="K247" s="37"/>
      <c r="L247" s="38"/>
      <c r="M247" s="22" t="str">
        <f aca="true">IF(OR(A247="",J247="Paid",J247="Written off"),"",TODAY()-A247)</f>
        <v/>
      </c>
      <c r="N247" s="22" t="str">
        <f aca="false">IF(M247="","",IF(M247&gt;OVERDUE_DAYS,"OVERDUE",""))</f>
        <v/>
      </c>
      <c r="O247" s="40" t="str">
        <f aca="false">IF(A247="","",IF(A247&lt;FY_START,0,(YEAR(A247)-YEAR(FY_START))*12+MONTH(A247)-MONTH(FY_START)+1))</f>
        <v/>
      </c>
      <c r="P247" s="40" t="str">
        <f aca="false">IF(A247="","",IF(AND(A247&gt;=VP_START,A247&lt;=VP_END),1,0))</f>
        <v/>
      </c>
    </row>
    <row r="248" customFormat="false" ht="15" hidden="false" customHeight="false" outlineLevel="0" collapsed="false">
      <c r="A248" s="37"/>
      <c r="B248" s="36"/>
      <c r="C248" s="36"/>
      <c r="D248" s="36"/>
      <c r="E248" s="36"/>
      <c r="F248" s="38"/>
      <c r="G248" s="36"/>
      <c r="H248" s="39" t="str">
        <f aca="false">IF(F248="","",IF(G248="Standard 5%",F248*VAT_RATE,0))</f>
        <v/>
      </c>
      <c r="I248" s="39" t="str">
        <f aca="false">IF(F248="","",F248+H248)</f>
        <v/>
      </c>
      <c r="J248" s="36"/>
      <c r="K248" s="37"/>
      <c r="L248" s="38"/>
      <c r="M248" s="22" t="str">
        <f aca="true">IF(OR(A248="",J248="Paid",J248="Written off"),"",TODAY()-A248)</f>
        <v/>
      </c>
      <c r="N248" s="22" t="str">
        <f aca="false">IF(M248="","",IF(M248&gt;OVERDUE_DAYS,"OVERDUE",""))</f>
        <v/>
      </c>
      <c r="O248" s="40" t="str">
        <f aca="false">IF(A248="","",IF(A248&lt;FY_START,0,(YEAR(A248)-YEAR(FY_START))*12+MONTH(A248)-MONTH(FY_START)+1))</f>
        <v/>
      </c>
      <c r="P248" s="40" t="str">
        <f aca="false">IF(A248="","",IF(AND(A248&gt;=VP_START,A248&lt;=VP_END),1,0))</f>
        <v/>
      </c>
    </row>
    <row r="249" customFormat="false" ht="15" hidden="false" customHeight="false" outlineLevel="0" collapsed="false">
      <c r="A249" s="37"/>
      <c r="B249" s="36"/>
      <c r="C249" s="36"/>
      <c r="D249" s="36"/>
      <c r="E249" s="36"/>
      <c r="F249" s="38"/>
      <c r="G249" s="36"/>
      <c r="H249" s="39" t="str">
        <f aca="false">IF(F249="","",IF(G249="Standard 5%",F249*VAT_RATE,0))</f>
        <v/>
      </c>
      <c r="I249" s="39" t="str">
        <f aca="false">IF(F249="","",F249+H249)</f>
        <v/>
      </c>
      <c r="J249" s="36"/>
      <c r="K249" s="37"/>
      <c r="L249" s="38"/>
      <c r="M249" s="22" t="str">
        <f aca="true">IF(OR(A249="",J249="Paid",J249="Written off"),"",TODAY()-A249)</f>
        <v/>
      </c>
      <c r="N249" s="22" t="str">
        <f aca="false">IF(M249="","",IF(M249&gt;OVERDUE_DAYS,"OVERDUE",""))</f>
        <v/>
      </c>
      <c r="O249" s="40" t="str">
        <f aca="false">IF(A249="","",IF(A249&lt;FY_START,0,(YEAR(A249)-YEAR(FY_START))*12+MONTH(A249)-MONTH(FY_START)+1))</f>
        <v/>
      </c>
      <c r="P249" s="40" t="str">
        <f aca="false">IF(A249="","",IF(AND(A249&gt;=VP_START,A249&lt;=VP_END),1,0))</f>
        <v/>
      </c>
    </row>
    <row r="250" customFormat="false" ht="15" hidden="false" customHeight="false" outlineLevel="0" collapsed="false">
      <c r="A250" s="37"/>
      <c r="B250" s="36"/>
      <c r="C250" s="36"/>
      <c r="D250" s="36"/>
      <c r="E250" s="36"/>
      <c r="F250" s="38"/>
      <c r="G250" s="36"/>
      <c r="H250" s="39" t="str">
        <f aca="false">IF(F250="","",IF(G250="Standard 5%",F250*VAT_RATE,0))</f>
        <v/>
      </c>
      <c r="I250" s="39" t="str">
        <f aca="false">IF(F250="","",F250+H250)</f>
        <v/>
      </c>
      <c r="J250" s="36"/>
      <c r="K250" s="37"/>
      <c r="L250" s="38"/>
      <c r="M250" s="22" t="str">
        <f aca="true">IF(OR(A250="",J250="Paid",J250="Written off"),"",TODAY()-A250)</f>
        <v/>
      </c>
      <c r="N250" s="22" t="str">
        <f aca="false">IF(M250="","",IF(M250&gt;OVERDUE_DAYS,"OVERDUE",""))</f>
        <v/>
      </c>
      <c r="O250" s="40" t="str">
        <f aca="false">IF(A250="","",IF(A250&lt;FY_START,0,(YEAR(A250)-YEAR(FY_START))*12+MONTH(A250)-MONTH(FY_START)+1))</f>
        <v/>
      </c>
      <c r="P250" s="40" t="str">
        <f aca="false">IF(A250="","",IF(AND(A250&gt;=VP_START,A250&lt;=VP_END),1,0))</f>
        <v/>
      </c>
    </row>
    <row r="251" customFormat="false" ht="15" hidden="false" customHeight="false" outlineLevel="0" collapsed="false">
      <c r="A251" s="37"/>
      <c r="B251" s="36"/>
      <c r="C251" s="36"/>
      <c r="D251" s="36"/>
      <c r="E251" s="36"/>
      <c r="F251" s="38"/>
      <c r="G251" s="36"/>
      <c r="H251" s="39" t="str">
        <f aca="false">IF(F251="","",IF(G251="Standard 5%",F251*VAT_RATE,0))</f>
        <v/>
      </c>
      <c r="I251" s="39" t="str">
        <f aca="false">IF(F251="","",F251+H251)</f>
        <v/>
      </c>
      <c r="J251" s="36"/>
      <c r="K251" s="37"/>
      <c r="L251" s="38"/>
      <c r="M251" s="22" t="str">
        <f aca="true">IF(OR(A251="",J251="Paid",J251="Written off"),"",TODAY()-A251)</f>
        <v/>
      </c>
      <c r="N251" s="22" t="str">
        <f aca="false">IF(M251="","",IF(M251&gt;OVERDUE_DAYS,"OVERDUE",""))</f>
        <v/>
      </c>
      <c r="O251" s="40" t="str">
        <f aca="false">IF(A251="","",IF(A251&lt;FY_START,0,(YEAR(A251)-YEAR(FY_START))*12+MONTH(A251)-MONTH(FY_START)+1))</f>
        <v/>
      </c>
      <c r="P251" s="40" t="str">
        <f aca="false">IF(A251="","",IF(AND(A251&gt;=VP_START,A251&lt;=VP_END),1,0))</f>
        <v/>
      </c>
    </row>
    <row r="252" customFormat="false" ht="15" hidden="false" customHeight="false" outlineLevel="0" collapsed="false">
      <c r="A252" s="37"/>
      <c r="B252" s="36"/>
      <c r="C252" s="36"/>
      <c r="D252" s="36"/>
      <c r="E252" s="36"/>
      <c r="F252" s="38"/>
      <c r="G252" s="36"/>
      <c r="H252" s="39" t="str">
        <f aca="false">IF(F252="","",IF(G252="Standard 5%",F252*VAT_RATE,0))</f>
        <v/>
      </c>
      <c r="I252" s="39" t="str">
        <f aca="false">IF(F252="","",F252+H252)</f>
        <v/>
      </c>
      <c r="J252" s="36"/>
      <c r="K252" s="37"/>
      <c r="L252" s="38"/>
      <c r="M252" s="22" t="str">
        <f aca="true">IF(OR(A252="",J252="Paid",J252="Written off"),"",TODAY()-A252)</f>
        <v/>
      </c>
      <c r="N252" s="22" t="str">
        <f aca="false">IF(M252="","",IF(M252&gt;OVERDUE_DAYS,"OVERDUE",""))</f>
        <v/>
      </c>
      <c r="O252" s="40" t="str">
        <f aca="false">IF(A252="","",IF(A252&lt;FY_START,0,(YEAR(A252)-YEAR(FY_START))*12+MONTH(A252)-MONTH(FY_START)+1))</f>
        <v/>
      </c>
      <c r="P252" s="40" t="str">
        <f aca="false">IF(A252="","",IF(AND(A252&gt;=VP_START,A252&lt;=VP_END),1,0))</f>
        <v/>
      </c>
    </row>
    <row r="253" customFormat="false" ht="15" hidden="false" customHeight="false" outlineLevel="0" collapsed="false">
      <c r="A253" s="37"/>
      <c r="B253" s="36"/>
      <c r="C253" s="36"/>
      <c r="D253" s="36"/>
      <c r="E253" s="36"/>
      <c r="F253" s="38"/>
      <c r="G253" s="36"/>
      <c r="H253" s="39" t="str">
        <f aca="false">IF(F253="","",IF(G253="Standard 5%",F253*VAT_RATE,0))</f>
        <v/>
      </c>
      <c r="I253" s="39" t="str">
        <f aca="false">IF(F253="","",F253+H253)</f>
        <v/>
      </c>
      <c r="J253" s="36"/>
      <c r="K253" s="37"/>
      <c r="L253" s="38"/>
      <c r="M253" s="22" t="str">
        <f aca="true">IF(OR(A253="",J253="Paid",J253="Written off"),"",TODAY()-A253)</f>
        <v/>
      </c>
      <c r="N253" s="22" t="str">
        <f aca="false">IF(M253="","",IF(M253&gt;OVERDUE_DAYS,"OVERDUE",""))</f>
        <v/>
      </c>
      <c r="O253" s="40" t="str">
        <f aca="false">IF(A253="","",IF(A253&lt;FY_START,0,(YEAR(A253)-YEAR(FY_START))*12+MONTH(A253)-MONTH(FY_START)+1))</f>
        <v/>
      </c>
      <c r="P253" s="40" t="str">
        <f aca="false">IF(A253="","",IF(AND(A253&gt;=VP_START,A253&lt;=VP_END),1,0))</f>
        <v/>
      </c>
    </row>
    <row r="254" customFormat="false" ht="15" hidden="false" customHeight="false" outlineLevel="0" collapsed="false">
      <c r="A254" s="37"/>
      <c r="B254" s="36"/>
      <c r="C254" s="36"/>
      <c r="D254" s="36"/>
      <c r="E254" s="36"/>
      <c r="F254" s="38"/>
      <c r="G254" s="36"/>
      <c r="H254" s="39" t="str">
        <f aca="false">IF(F254="","",IF(G254="Standard 5%",F254*VAT_RATE,0))</f>
        <v/>
      </c>
      <c r="I254" s="39" t="str">
        <f aca="false">IF(F254="","",F254+H254)</f>
        <v/>
      </c>
      <c r="J254" s="36"/>
      <c r="K254" s="37"/>
      <c r="L254" s="38"/>
      <c r="M254" s="22" t="str">
        <f aca="true">IF(OR(A254="",J254="Paid",J254="Written off"),"",TODAY()-A254)</f>
        <v/>
      </c>
      <c r="N254" s="22" t="str">
        <f aca="false">IF(M254="","",IF(M254&gt;OVERDUE_DAYS,"OVERDUE",""))</f>
        <v/>
      </c>
      <c r="O254" s="40" t="str">
        <f aca="false">IF(A254="","",IF(A254&lt;FY_START,0,(YEAR(A254)-YEAR(FY_START))*12+MONTH(A254)-MONTH(FY_START)+1))</f>
        <v/>
      </c>
      <c r="P254" s="40" t="str">
        <f aca="false">IF(A254="","",IF(AND(A254&gt;=VP_START,A254&lt;=VP_END),1,0))</f>
        <v/>
      </c>
    </row>
    <row r="255" customFormat="false" ht="15" hidden="false" customHeight="false" outlineLevel="0" collapsed="false">
      <c r="A255" s="37"/>
      <c r="B255" s="36"/>
      <c r="C255" s="36"/>
      <c r="D255" s="36"/>
      <c r="E255" s="36"/>
      <c r="F255" s="38"/>
      <c r="G255" s="36"/>
      <c r="H255" s="39" t="str">
        <f aca="false">IF(F255="","",IF(G255="Standard 5%",F255*VAT_RATE,0))</f>
        <v/>
      </c>
      <c r="I255" s="39" t="str">
        <f aca="false">IF(F255="","",F255+H255)</f>
        <v/>
      </c>
      <c r="J255" s="36"/>
      <c r="K255" s="37"/>
      <c r="L255" s="38"/>
      <c r="M255" s="22" t="str">
        <f aca="true">IF(OR(A255="",J255="Paid",J255="Written off"),"",TODAY()-A255)</f>
        <v/>
      </c>
      <c r="N255" s="22" t="str">
        <f aca="false">IF(M255="","",IF(M255&gt;OVERDUE_DAYS,"OVERDUE",""))</f>
        <v/>
      </c>
      <c r="O255" s="40" t="str">
        <f aca="false">IF(A255="","",IF(A255&lt;FY_START,0,(YEAR(A255)-YEAR(FY_START))*12+MONTH(A255)-MONTH(FY_START)+1))</f>
        <v/>
      </c>
      <c r="P255" s="40" t="str">
        <f aca="false">IF(A255="","",IF(AND(A255&gt;=VP_START,A255&lt;=VP_END),1,0))</f>
        <v/>
      </c>
    </row>
    <row r="256" customFormat="false" ht="15" hidden="false" customHeight="false" outlineLevel="0" collapsed="false">
      <c r="A256" s="37"/>
      <c r="B256" s="36"/>
      <c r="C256" s="36"/>
      <c r="D256" s="36"/>
      <c r="E256" s="36"/>
      <c r="F256" s="38"/>
      <c r="G256" s="36"/>
      <c r="H256" s="39" t="str">
        <f aca="false">IF(F256="","",IF(G256="Standard 5%",F256*VAT_RATE,0))</f>
        <v/>
      </c>
      <c r="I256" s="39" t="str">
        <f aca="false">IF(F256="","",F256+H256)</f>
        <v/>
      </c>
      <c r="J256" s="36"/>
      <c r="K256" s="37"/>
      <c r="L256" s="38"/>
      <c r="M256" s="22" t="str">
        <f aca="true">IF(OR(A256="",J256="Paid",J256="Written off"),"",TODAY()-A256)</f>
        <v/>
      </c>
      <c r="N256" s="22" t="str">
        <f aca="false">IF(M256="","",IF(M256&gt;OVERDUE_DAYS,"OVERDUE",""))</f>
        <v/>
      </c>
      <c r="O256" s="40" t="str">
        <f aca="false">IF(A256="","",IF(A256&lt;FY_START,0,(YEAR(A256)-YEAR(FY_START))*12+MONTH(A256)-MONTH(FY_START)+1))</f>
        <v/>
      </c>
      <c r="P256" s="40" t="str">
        <f aca="false">IF(A256="","",IF(AND(A256&gt;=VP_START,A256&lt;=VP_END),1,0))</f>
        <v/>
      </c>
    </row>
    <row r="257" customFormat="false" ht="15" hidden="false" customHeight="false" outlineLevel="0" collapsed="false">
      <c r="A257" s="37"/>
      <c r="B257" s="36"/>
      <c r="C257" s="36"/>
      <c r="D257" s="36"/>
      <c r="E257" s="36"/>
      <c r="F257" s="38"/>
      <c r="G257" s="36"/>
      <c r="H257" s="39" t="str">
        <f aca="false">IF(F257="","",IF(G257="Standard 5%",F257*VAT_RATE,0))</f>
        <v/>
      </c>
      <c r="I257" s="39" t="str">
        <f aca="false">IF(F257="","",F257+H257)</f>
        <v/>
      </c>
      <c r="J257" s="36"/>
      <c r="K257" s="37"/>
      <c r="L257" s="38"/>
      <c r="M257" s="22" t="str">
        <f aca="true">IF(OR(A257="",J257="Paid",J257="Written off"),"",TODAY()-A257)</f>
        <v/>
      </c>
      <c r="N257" s="22" t="str">
        <f aca="false">IF(M257="","",IF(M257&gt;OVERDUE_DAYS,"OVERDUE",""))</f>
        <v/>
      </c>
      <c r="O257" s="40" t="str">
        <f aca="false">IF(A257="","",IF(A257&lt;FY_START,0,(YEAR(A257)-YEAR(FY_START))*12+MONTH(A257)-MONTH(FY_START)+1))</f>
        <v/>
      </c>
      <c r="P257" s="40" t="str">
        <f aca="false">IF(A257="","",IF(AND(A257&gt;=VP_START,A257&lt;=VP_END),1,0))</f>
        <v/>
      </c>
    </row>
    <row r="258" customFormat="false" ht="15" hidden="false" customHeight="false" outlineLevel="0" collapsed="false">
      <c r="A258" s="37"/>
      <c r="B258" s="36"/>
      <c r="C258" s="36"/>
      <c r="D258" s="36"/>
      <c r="E258" s="36"/>
      <c r="F258" s="38"/>
      <c r="G258" s="36"/>
      <c r="H258" s="39" t="str">
        <f aca="false">IF(F258="","",IF(G258="Standard 5%",F258*VAT_RATE,0))</f>
        <v/>
      </c>
      <c r="I258" s="39" t="str">
        <f aca="false">IF(F258="","",F258+H258)</f>
        <v/>
      </c>
      <c r="J258" s="36"/>
      <c r="K258" s="37"/>
      <c r="L258" s="38"/>
      <c r="M258" s="22" t="str">
        <f aca="true">IF(OR(A258="",J258="Paid",J258="Written off"),"",TODAY()-A258)</f>
        <v/>
      </c>
      <c r="N258" s="22" t="str">
        <f aca="false">IF(M258="","",IF(M258&gt;OVERDUE_DAYS,"OVERDUE",""))</f>
        <v/>
      </c>
      <c r="O258" s="40" t="str">
        <f aca="false">IF(A258="","",IF(A258&lt;FY_START,0,(YEAR(A258)-YEAR(FY_START))*12+MONTH(A258)-MONTH(FY_START)+1))</f>
        <v/>
      </c>
      <c r="P258" s="40" t="str">
        <f aca="false">IF(A258="","",IF(AND(A258&gt;=VP_START,A258&lt;=VP_END),1,0))</f>
        <v/>
      </c>
    </row>
    <row r="259" customFormat="false" ht="15" hidden="false" customHeight="false" outlineLevel="0" collapsed="false">
      <c r="A259" s="37"/>
      <c r="B259" s="36"/>
      <c r="C259" s="36"/>
      <c r="D259" s="36"/>
      <c r="E259" s="36"/>
      <c r="F259" s="38"/>
      <c r="G259" s="36"/>
      <c r="H259" s="39" t="str">
        <f aca="false">IF(F259="","",IF(G259="Standard 5%",F259*VAT_RATE,0))</f>
        <v/>
      </c>
      <c r="I259" s="39" t="str">
        <f aca="false">IF(F259="","",F259+H259)</f>
        <v/>
      </c>
      <c r="J259" s="36"/>
      <c r="K259" s="37"/>
      <c r="L259" s="38"/>
      <c r="M259" s="22" t="str">
        <f aca="true">IF(OR(A259="",J259="Paid",J259="Written off"),"",TODAY()-A259)</f>
        <v/>
      </c>
      <c r="N259" s="22" t="str">
        <f aca="false">IF(M259="","",IF(M259&gt;OVERDUE_DAYS,"OVERDUE",""))</f>
        <v/>
      </c>
      <c r="O259" s="40" t="str">
        <f aca="false">IF(A259="","",IF(A259&lt;FY_START,0,(YEAR(A259)-YEAR(FY_START))*12+MONTH(A259)-MONTH(FY_START)+1))</f>
        <v/>
      </c>
      <c r="P259" s="40" t="str">
        <f aca="false">IF(A259="","",IF(AND(A259&gt;=VP_START,A259&lt;=VP_END),1,0))</f>
        <v/>
      </c>
    </row>
    <row r="260" customFormat="false" ht="15" hidden="false" customHeight="false" outlineLevel="0" collapsed="false">
      <c r="A260" s="37"/>
      <c r="B260" s="36"/>
      <c r="C260" s="36"/>
      <c r="D260" s="36"/>
      <c r="E260" s="36"/>
      <c r="F260" s="38"/>
      <c r="G260" s="36"/>
      <c r="H260" s="39" t="str">
        <f aca="false">IF(F260="","",IF(G260="Standard 5%",F260*VAT_RATE,0))</f>
        <v/>
      </c>
      <c r="I260" s="39" t="str">
        <f aca="false">IF(F260="","",F260+H260)</f>
        <v/>
      </c>
      <c r="J260" s="36"/>
      <c r="K260" s="37"/>
      <c r="L260" s="38"/>
      <c r="M260" s="22" t="str">
        <f aca="true">IF(OR(A260="",J260="Paid",J260="Written off"),"",TODAY()-A260)</f>
        <v/>
      </c>
      <c r="N260" s="22" t="str">
        <f aca="false">IF(M260="","",IF(M260&gt;OVERDUE_DAYS,"OVERDUE",""))</f>
        <v/>
      </c>
      <c r="O260" s="40" t="str">
        <f aca="false">IF(A260="","",IF(A260&lt;FY_START,0,(YEAR(A260)-YEAR(FY_START))*12+MONTH(A260)-MONTH(FY_START)+1))</f>
        <v/>
      </c>
      <c r="P260" s="40" t="str">
        <f aca="false">IF(A260="","",IF(AND(A260&gt;=VP_START,A260&lt;=VP_END),1,0))</f>
        <v/>
      </c>
    </row>
    <row r="261" customFormat="false" ht="15" hidden="false" customHeight="false" outlineLevel="0" collapsed="false">
      <c r="A261" s="37"/>
      <c r="B261" s="36"/>
      <c r="C261" s="36"/>
      <c r="D261" s="36"/>
      <c r="E261" s="36"/>
      <c r="F261" s="38"/>
      <c r="G261" s="36"/>
      <c r="H261" s="39" t="str">
        <f aca="false">IF(F261="","",IF(G261="Standard 5%",F261*VAT_RATE,0))</f>
        <v/>
      </c>
      <c r="I261" s="39" t="str">
        <f aca="false">IF(F261="","",F261+H261)</f>
        <v/>
      </c>
      <c r="J261" s="36"/>
      <c r="K261" s="37"/>
      <c r="L261" s="38"/>
      <c r="M261" s="22" t="str">
        <f aca="true">IF(OR(A261="",J261="Paid",J261="Written off"),"",TODAY()-A261)</f>
        <v/>
      </c>
      <c r="N261" s="22" t="str">
        <f aca="false">IF(M261="","",IF(M261&gt;OVERDUE_DAYS,"OVERDUE",""))</f>
        <v/>
      </c>
      <c r="O261" s="40" t="str">
        <f aca="false">IF(A261="","",IF(A261&lt;FY_START,0,(YEAR(A261)-YEAR(FY_START))*12+MONTH(A261)-MONTH(FY_START)+1))</f>
        <v/>
      </c>
      <c r="P261" s="40" t="str">
        <f aca="false">IF(A261="","",IF(AND(A261&gt;=VP_START,A261&lt;=VP_END),1,0))</f>
        <v/>
      </c>
    </row>
    <row r="262" customFormat="false" ht="15" hidden="false" customHeight="false" outlineLevel="0" collapsed="false">
      <c r="A262" s="37"/>
      <c r="B262" s="36"/>
      <c r="C262" s="36"/>
      <c r="D262" s="36"/>
      <c r="E262" s="36"/>
      <c r="F262" s="38"/>
      <c r="G262" s="36"/>
      <c r="H262" s="39" t="str">
        <f aca="false">IF(F262="","",IF(G262="Standard 5%",F262*VAT_RATE,0))</f>
        <v/>
      </c>
      <c r="I262" s="39" t="str">
        <f aca="false">IF(F262="","",F262+H262)</f>
        <v/>
      </c>
      <c r="J262" s="36"/>
      <c r="K262" s="37"/>
      <c r="L262" s="38"/>
      <c r="M262" s="22" t="str">
        <f aca="true">IF(OR(A262="",J262="Paid",J262="Written off"),"",TODAY()-A262)</f>
        <v/>
      </c>
      <c r="N262" s="22" t="str">
        <f aca="false">IF(M262="","",IF(M262&gt;OVERDUE_DAYS,"OVERDUE",""))</f>
        <v/>
      </c>
      <c r="O262" s="40" t="str">
        <f aca="false">IF(A262="","",IF(A262&lt;FY_START,0,(YEAR(A262)-YEAR(FY_START))*12+MONTH(A262)-MONTH(FY_START)+1))</f>
        <v/>
      </c>
      <c r="P262" s="40" t="str">
        <f aca="false">IF(A262="","",IF(AND(A262&gt;=VP_START,A262&lt;=VP_END),1,0))</f>
        <v/>
      </c>
    </row>
    <row r="263" customFormat="false" ht="15" hidden="false" customHeight="false" outlineLevel="0" collapsed="false">
      <c r="A263" s="37"/>
      <c r="B263" s="36"/>
      <c r="C263" s="36"/>
      <c r="D263" s="36"/>
      <c r="E263" s="36"/>
      <c r="F263" s="38"/>
      <c r="G263" s="36"/>
      <c r="H263" s="39" t="str">
        <f aca="false">IF(F263="","",IF(G263="Standard 5%",F263*VAT_RATE,0))</f>
        <v/>
      </c>
      <c r="I263" s="39" t="str">
        <f aca="false">IF(F263="","",F263+H263)</f>
        <v/>
      </c>
      <c r="J263" s="36"/>
      <c r="K263" s="37"/>
      <c r="L263" s="38"/>
      <c r="M263" s="22" t="str">
        <f aca="true">IF(OR(A263="",J263="Paid",J263="Written off"),"",TODAY()-A263)</f>
        <v/>
      </c>
      <c r="N263" s="22" t="str">
        <f aca="false">IF(M263="","",IF(M263&gt;OVERDUE_DAYS,"OVERDUE",""))</f>
        <v/>
      </c>
      <c r="O263" s="40" t="str">
        <f aca="false">IF(A263="","",IF(A263&lt;FY_START,0,(YEAR(A263)-YEAR(FY_START))*12+MONTH(A263)-MONTH(FY_START)+1))</f>
        <v/>
      </c>
      <c r="P263" s="40" t="str">
        <f aca="false">IF(A263="","",IF(AND(A263&gt;=VP_START,A263&lt;=VP_END),1,0))</f>
        <v/>
      </c>
    </row>
    <row r="264" customFormat="false" ht="15" hidden="false" customHeight="false" outlineLevel="0" collapsed="false">
      <c r="A264" s="37"/>
      <c r="B264" s="36"/>
      <c r="C264" s="36"/>
      <c r="D264" s="36"/>
      <c r="E264" s="36"/>
      <c r="F264" s="38"/>
      <c r="G264" s="36"/>
      <c r="H264" s="39" t="str">
        <f aca="false">IF(F264="","",IF(G264="Standard 5%",F264*VAT_RATE,0))</f>
        <v/>
      </c>
      <c r="I264" s="39" t="str">
        <f aca="false">IF(F264="","",F264+H264)</f>
        <v/>
      </c>
      <c r="J264" s="36"/>
      <c r="K264" s="37"/>
      <c r="L264" s="38"/>
      <c r="M264" s="22" t="str">
        <f aca="true">IF(OR(A264="",J264="Paid",J264="Written off"),"",TODAY()-A264)</f>
        <v/>
      </c>
      <c r="N264" s="22" t="str">
        <f aca="false">IF(M264="","",IF(M264&gt;OVERDUE_DAYS,"OVERDUE",""))</f>
        <v/>
      </c>
      <c r="O264" s="40" t="str">
        <f aca="false">IF(A264="","",IF(A264&lt;FY_START,0,(YEAR(A264)-YEAR(FY_START))*12+MONTH(A264)-MONTH(FY_START)+1))</f>
        <v/>
      </c>
      <c r="P264" s="40" t="str">
        <f aca="false">IF(A264="","",IF(AND(A264&gt;=VP_START,A264&lt;=VP_END),1,0))</f>
        <v/>
      </c>
    </row>
    <row r="265" customFormat="false" ht="15" hidden="false" customHeight="false" outlineLevel="0" collapsed="false">
      <c r="A265" s="37"/>
      <c r="B265" s="36"/>
      <c r="C265" s="36"/>
      <c r="D265" s="36"/>
      <c r="E265" s="36"/>
      <c r="F265" s="38"/>
      <c r="G265" s="36"/>
      <c r="H265" s="39" t="str">
        <f aca="false">IF(F265="","",IF(G265="Standard 5%",F265*VAT_RATE,0))</f>
        <v/>
      </c>
      <c r="I265" s="39" t="str">
        <f aca="false">IF(F265="","",F265+H265)</f>
        <v/>
      </c>
      <c r="J265" s="36"/>
      <c r="K265" s="37"/>
      <c r="L265" s="38"/>
      <c r="M265" s="22" t="str">
        <f aca="true">IF(OR(A265="",J265="Paid",J265="Written off"),"",TODAY()-A265)</f>
        <v/>
      </c>
      <c r="N265" s="22" t="str">
        <f aca="false">IF(M265="","",IF(M265&gt;OVERDUE_DAYS,"OVERDUE",""))</f>
        <v/>
      </c>
      <c r="O265" s="40" t="str">
        <f aca="false">IF(A265="","",IF(A265&lt;FY_START,0,(YEAR(A265)-YEAR(FY_START))*12+MONTH(A265)-MONTH(FY_START)+1))</f>
        <v/>
      </c>
      <c r="P265" s="40" t="str">
        <f aca="false">IF(A265="","",IF(AND(A265&gt;=VP_START,A265&lt;=VP_END),1,0))</f>
        <v/>
      </c>
    </row>
    <row r="266" customFormat="false" ht="15" hidden="false" customHeight="false" outlineLevel="0" collapsed="false">
      <c r="A266" s="37"/>
      <c r="B266" s="36"/>
      <c r="C266" s="36"/>
      <c r="D266" s="36"/>
      <c r="E266" s="36"/>
      <c r="F266" s="38"/>
      <c r="G266" s="36"/>
      <c r="H266" s="39" t="str">
        <f aca="false">IF(F266="","",IF(G266="Standard 5%",F266*VAT_RATE,0))</f>
        <v/>
      </c>
      <c r="I266" s="39" t="str">
        <f aca="false">IF(F266="","",F266+H266)</f>
        <v/>
      </c>
      <c r="J266" s="36"/>
      <c r="K266" s="37"/>
      <c r="L266" s="38"/>
      <c r="M266" s="22" t="str">
        <f aca="true">IF(OR(A266="",J266="Paid",J266="Written off"),"",TODAY()-A266)</f>
        <v/>
      </c>
      <c r="N266" s="22" t="str">
        <f aca="false">IF(M266="","",IF(M266&gt;OVERDUE_DAYS,"OVERDUE",""))</f>
        <v/>
      </c>
      <c r="O266" s="40" t="str">
        <f aca="false">IF(A266="","",IF(A266&lt;FY_START,0,(YEAR(A266)-YEAR(FY_START))*12+MONTH(A266)-MONTH(FY_START)+1))</f>
        <v/>
      </c>
      <c r="P266" s="40" t="str">
        <f aca="false">IF(A266="","",IF(AND(A266&gt;=VP_START,A266&lt;=VP_END),1,0))</f>
        <v/>
      </c>
    </row>
    <row r="267" customFormat="false" ht="15" hidden="false" customHeight="false" outlineLevel="0" collapsed="false">
      <c r="A267" s="37"/>
      <c r="B267" s="36"/>
      <c r="C267" s="36"/>
      <c r="D267" s="36"/>
      <c r="E267" s="36"/>
      <c r="F267" s="38"/>
      <c r="G267" s="36"/>
      <c r="H267" s="39" t="str">
        <f aca="false">IF(F267="","",IF(G267="Standard 5%",F267*VAT_RATE,0))</f>
        <v/>
      </c>
      <c r="I267" s="39" t="str">
        <f aca="false">IF(F267="","",F267+H267)</f>
        <v/>
      </c>
      <c r="J267" s="36"/>
      <c r="K267" s="37"/>
      <c r="L267" s="38"/>
      <c r="M267" s="22" t="str">
        <f aca="true">IF(OR(A267="",J267="Paid",J267="Written off"),"",TODAY()-A267)</f>
        <v/>
      </c>
      <c r="N267" s="22" t="str">
        <f aca="false">IF(M267="","",IF(M267&gt;OVERDUE_DAYS,"OVERDUE",""))</f>
        <v/>
      </c>
      <c r="O267" s="40" t="str">
        <f aca="false">IF(A267="","",IF(A267&lt;FY_START,0,(YEAR(A267)-YEAR(FY_START))*12+MONTH(A267)-MONTH(FY_START)+1))</f>
        <v/>
      </c>
      <c r="P267" s="40" t="str">
        <f aca="false">IF(A267="","",IF(AND(A267&gt;=VP_START,A267&lt;=VP_END),1,0))</f>
        <v/>
      </c>
    </row>
    <row r="268" customFormat="false" ht="15" hidden="false" customHeight="false" outlineLevel="0" collapsed="false">
      <c r="A268" s="37"/>
      <c r="B268" s="36"/>
      <c r="C268" s="36"/>
      <c r="D268" s="36"/>
      <c r="E268" s="36"/>
      <c r="F268" s="38"/>
      <c r="G268" s="36"/>
      <c r="H268" s="39" t="str">
        <f aca="false">IF(F268="","",IF(G268="Standard 5%",F268*VAT_RATE,0))</f>
        <v/>
      </c>
      <c r="I268" s="39" t="str">
        <f aca="false">IF(F268="","",F268+H268)</f>
        <v/>
      </c>
      <c r="J268" s="36"/>
      <c r="K268" s="37"/>
      <c r="L268" s="38"/>
      <c r="M268" s="22" t="str">
        <f aca="true">IF(OR(A268="",J268="Paid",J268="Written off"),"",TODAY()-A268)</f>
        <v/>
      </c>
      <c r="N268" s="22" t="str">
        <f aca="false">IF(M268="","",IF(M268&gt;OVERDUE_DAYS,"OVERDUE",""))</f>
        <v/>
      </c>
      <c r="O268" s="40" t="str">
        <f aca="false">IF(A268="","",IF(A268&lt;FY_START,0,(YEAR(A268)-YEAR(FY_START))*12+MONTH(A268)-MONTH(FY_START)+1))</f>
        <v/>
      </c>
      <c r="P268" s="40" t="str">
        <f aca="false">IF(A268="","",IF(AND(A268&gt;=VP_START,A268&lt;=VP_END),1,0))</f>
        <v/>
      </c>
    </row>
    <row r="269" customFormat="false" ht="15" hidden="false" customHeight="false" outlineLevel="0" collapsed="false">
      <c r="A269" s="37"/>
      <c r="B269" s="36"/>
      <c r="C269" s="36"/>
      <c r="D269" s="36"/>
      <c r="E269" s="36"/>
      <c r="F269" s="38"/>
      <c r="G269" s="36"/>
      <c r="H269" s="39" t="str">
        <f aca="false">IF(F269="","",IF(G269="Standard 5%",F269*VAT_RATE,0))</f>
        <v/>
      </c>
      <c r="I269" s="39" t="str">
        <f aca="false">IF(F269="","",F269+H269)</f>
        <v/>
      </c>
      <c r="J269" s="36"/>
      <c r="K269" s="37"/>
      <c r="L269" s="38"/>
      <c r="M269" s="22" t="str">
        <f aca="true">IF(OR(A269="",J269="Paid",J269="Written off"),"",TODAY()-A269)</f>
        <v/>
      </c>
      <c r="N269" s="22" t="str">
        <f aca="false">IF(M269="","",IF(M269&gt;OVERDUE_DAYS,"OVERDUE",""))</f>
        <v/>
      </c>
      <c r="O269" s="40" t="str">
        <f aca="false">IF(A269="","",IF(A269&lt;FY_START,0,(YEAR(A269)-YEAR(FY_START))*12+MONTH(A269)-MONTH(FY_START)+1))</f>
        <v/>
      </c>
      <c r="P269" s="40" t="str">
        <f aca="false">IF(A269="","",IF(AND(A269&gt;=VP_START,A269&lt;=VP_END),1,0))</f>
        <v/>
      </c>
    </row>
    <row r="270" customFormat="false" ht="15" hidden="false" customHeight="false" outlineLevel="0" collapsed="false">
      <c r="A270" s="37"/>
      <c r="B270" s="36"/>
      <c r="C270" s="36"/>
      <c r="D270" s="36"/>
      <c r="E270" s="36"/>
      <c r="F270" s="38"/>
      <c r="G270" s="36"/>
      <c r="H270" s="39" t="str">
        <f aca="false">IF(F270="","",IF(G270="Standard 5%",F270*VAT_RATE,0))</f>
        <v/>
      </c>
      <c r="I270" s="39" t="str">
        <f aca="false">IF(F270="","",F270+H270)</f>
        <v/>
      </c>
      <c r="J270" s="36"/>
      <c r="K270" s="37"/>
      <c r="L270" s="38"/>
      <c r="M270" s="22" t="str">
        <f aca="true">IF(OR(A270="",J270="Paid",J270="Written off"),"",TODAY()-A270)</f>
        <v/>
      </c>
      <c r="N270" s="22" t="str">
        <f aca="false">IF(M270="","",IF(M270&gt;OVERDUE_DAYS,"OVERDUE",""))</f>
        <v/>
      </c>
      <c r="O270" s="40" t="str">
        <f aca="false">IF(A270="","",IF(A270&lt;FY_START,0,(YEAR(A270)-YEAR(FY_START))*12+MONTH(A270)-MONTH(FY_START)+1))</f>
        <v/>
      </c>
      <c r="P270" s="40" t="str">
        <f aca="false">IF(A270="","",IF(AND(A270&gt;=VP_START,A270&lt;=VP_END),1,0))</f>
        <v/>
      </c>
    </row>
    <row r="271" customFormat="false" ht="15" hidden="false" customHeight="false" outlineLevel="0" collapsed="false">
      <c r="A271" s="37"/>
      <c r="B271" s="36"/>
      <c r="C271" s="36"/>
      <c r="D271" s="36"/>
      <c r="E271" s="36"/>
      <c r="F271" s="38"/>
      <c r="G271" s="36"/>
      <c r="H271" s="39" t="str">
        <f aca="false">IF(F271="","",IF(G271="Standard 5%",F271*VAT_RATE,0))</f>
        <v/>
      </c>
      <c r="I271" s="39" t="str">
        <f aca="false">IF(F271="","",F271+H271)</f>
        <v/>
      </c>
      <c r="J271" s="36"/>
      <c r="K271" s="37"/>
      <c r="L271" s="38"/>
      <c r="M271" s="22" t="str">
        <f aca="true">IF(OR(A271="",J271="Paid",J271="Written off"),"",TODAY()-A271)</f>
        <v/>
      </c>
      <c r="N271" s="22" t="str">
        <f aca="false">IF(M271="","",IF(M271&gt;OVERDUE_DAYS,"OVERDUE",""))</f>
        <v/>
      </c>
      <c r="O271" s="40" t="str">
        <f aca="false">IF(A271="","",IF(A271&lt;FY_START,0,(YEAR(A271)-YEAR(FY_START))*12+MONTH(A271)-MONTH(FY_START)+1))</f>
        <v/>
      </c>
      <c r="P271" s="40" t="str">
        <f aca="false">IF(A271="","",IF(AND(A271&gt;=VP_START,A271&lt;=VP_END),1,0))</f>
        <v/>
      </c>
    </row>
    <row r="272" customFormat="false" ht="15" hidden="false" customHeight="false" outlineLevel="0" collapsed="false">
      <c r="A272" s="37"/>
      <c r="B272" s="36"/>
      <c r="C272" s="36"/>
      <c r="D272" s="36"/>
      <c r="E272" s="36"/>
      <c r="F272" s="38"/>
      <c r="G272" s="36"/>
      <c r="H272" s="39" t="str">
        <f aca="false">IF(F272="","",IF(G272="Standard 5%",F272*VAT_RATE,0))</f>
        <v/>
      </c>
      <c r="I272" s="39" t="str">
        <f aca="false">IF(F272="","",F272+H272)</f>
        <v/>
      </c>
      <c r="J272" s="36"/>
      <c r="K272" s="37"/>
      <c r="L272" s="38"/>
      <c r="M272" s="22" t="str">
        <f aca="true">IF(OR(A272="",J272="Paid",J272="Written off"),"",TODAY()-A272)</f>
        <v/>
      </c>
      <c r="N272" s="22" t="str">
        <f aca="false">IF(M272="","",IF(M272&gt;OVERDUE_DAYS,"OVERDUE",""))</f>
        <v/>
      </c>
      <c r="O272" s="40" t="str">
        <f aca="false">IF(A272="","",IF(A272&lt;FY_START,0,(YEAR(A272)-YEAR(FY_START))*12+MONTH(A272)-MONTH(FY_START)+1))</f>
        <v/>
      </c>
      <c r="P272" s="40" t="str">
        <f aca="false">IF(A272="","",IF(AND(A272&gt;=VP_START,A272&lt;=VP_END),1,0))</f>
        <v/>
      </c>
    </row>
    <row r="273" customFormat="false" ht="15" hidden="false" customHeight="false" outlineLevel="0" collapsed="false">
      <c r="A273" s="37"/>
      <c r="B273" s="36"/>
      <c r="C273" s="36"/>
      <c r="D273" s="36"/>
      <c r="E273" s="36"/>
      <c r="F273" s="38"/>
      <c r="G273" s="36"/>
      <c r="H273" s="39" t="str">
        <f aca="false">IF(F273="","",IF(G273="Standard 5%",F273*VAT_RATE,0))</f>
        <v/>
      </c>
      <c r="I273" s="39" t="str">
        <f aca="false">IF(F273="","",F273+H273)</f>
        <v/>
      </c>
      <c r="J273" s="36"/>
      <c r="K273" s="37"/>
      <c r="L273" s="38"/>
      <c r="M273" s="22" t="str">
        <f aca="true">IF(OR(A273="",J273="Paid",J273="Written off"),"",TODAY()-A273)</f>
        <v/>
      </c>
      <c r="N273" s="22" t="str">
        <f aca="false">IF(M273="","",IF(M273&gt;OVERDUE_DAYS,"OVERDUE",""))</f>
        <v/>
      </c>
      <c r="O273" s="40" t="str">
        <f aca="false">IF(A273="","",IF(A273&lt;FY_START,0,(YEAR(A273)-YEAR(FY_START))*12+MONTH(A273)-MONTH(FY_START)+1))</f>
        <v/>
      </c>
      <c r="P273" s="40" t="str">
        <f aca="false">IF(A273="","",IF(AND(A273&gt;=VP_START,A273&lt;=VP_END),1,0))</f>
        <v/>
      </c>
    </row>
    <row r="274" customFormat="false" ht="15" hidden="false" customHeight="false" outlineLevel="0" collapsed="false">
      <c r="A274" s="37"/>
      <c r="B274" s="36"/>
      <c r="C274" s="36"/>
      <c r="D274" s="36"/>
      <c r="E274" s="36"/>
      <c r="F274" s="38"/>
      <c r="G274" s="36"/>
      <c r="H274" s="39" t="str">
        <f aca="false">IF(F274="","",IF(G274="Standard 5%",F274*VAT_RATE,0))</f>
        <v/>
      </c>
      <c r="I274" s="39" t="str">
        <f aca="false">IF(F274="","",F274+H274)</f>
        <v/>
      </c>
      <c r="J274" s="36"/>
      <c r="K274" s="37"/>
      <c r="L274" s="38"/>
      <c r="M274" s="22" t="str">
        <f aca="true">IF(OR(A274="",J274="Paid",J274="Written off"),"",TODAY()-A274)</f>
        <v/>
      </c>
      <c r="N274" s="22" t="str">
        <f aca="false">IF(M274="","",IF(M274&gt;OVERDUE_DAYS,"OVERDUE",""))</f>
        <v/>
      </c>
      <c r="O274" s="40" t="str">
        <f aca="false">IF(A274="","",IF(A274&lt;FY_START,0,(YEAR(A274)-YEAR(FY_START))*12+MONTH(A274)-MONTH(FY_START)+1))</f>
        <v/>
      </c>
      <c r="P274" s="40" t="str">
        <f aca="false">IF(A274="","",IF(AND(A274&gt;=VP_START,A274&lt;=VP_END),1,0))</f>
        <v/>
      </c>
    </row>
    <row r="275" customFormat="false" ht="15" hidden="false" customHeight="false" outlineLevel="0" collapsed="false">
      <c r="A275" s="37"/>
      <c r="B275" s="36"/>
      <c r="C275" s="36"/>
      <c r="D275" s="36"/>
      <c r="E275" s="36"/>
      <c r="F275" s="38"/>
      <c r="G275" s="36"/>
      <c r="H275" s="39" t="str">
        <f aca="false">IF(F275="","",IF(G275="Standard 5%",F275*VAT_RATE,0))</f>
        <v/>
      </c>
      <c r="I275" s="39" t="str">
        <f aca="false">IF(F275="","",F275+H275)</f>
        <v/>
      </c>
      <c r="J275" s="36"/>
      <c r="K275" s="37"/>
      <c r="L275" s="38"/>
      <c r="M275" s="22" t="str">
        <f aca="true">IF(OR(A275="",J275="Paid",J275="Written off"),"",TODAY()-A275)</f>
        <v/>
      </c>
      <c r="N275" s="22" t="str">
        <f aca="false">IF(M275="","",IF(M275&gt;OVERDUE_DAYS,"OVERDUE",""))</f>
        <v/>
      </c>
      <c r="O275" s="40" t="str">
        <f aca="false">IF(A275="","",IF(A275&lt;FY_START,0,(YEAR(A275)-YEAR(FY_START))*12+MONTH(A275)-MONTH(FY_START)+1))</f>
        <v/>
      </c>
      <c r="P275" s="40" t="str">
        <f aca="false">IF(A275="","",IF(AND(A275&gt;=VP_START,A275&lt;=VP_END),1,0))</f>
        <v/>
      </c>
    </row>
    <row r="276" customFormat="false" ht="15" hidden="false" customHeight="false" outlineLevel="0" collapsed="false">
      <c r="A276" s="37"/>
      <c r="B276" s="36"/>
      <c r="C276" s="36"/>
      <c r="D276" s="36"/>
      <c r="E276" s="36"/>
      <c r="F276" s="38"/>
      <c r="G276" s="36"/>
      <c r="H276" s="39" t="str">
        <f aca="false">IF(F276="","",IF(G276="Standard 5%",F276*VAT_RATE,0))</f>
        <v/>
      </c>
      <c r="I276" s="39" t="str">
        <f aca="false">IF(F276="","",F276+H276)</f>
        <v/>
      </c>
      <c r="J276" s="36"/>
      <c r="K276" s="37"/>
      <c r="L276" s="38"/>
      <c r="M276" s="22" t="str">
        <f aca="true">IF(OR(A276="",J276="Paid",J276="Written off"),"",TODAY()-A276)</f>
        <v/>
      </c>
      <c r="N276" s="22" t="str">
        <f aca="false">IF(M276="","",IF(M276&gt;OVERDUE_DAYS,"OVERDUE",""))</f>
        <v/>
      </c>
      <c r="O276" s="40" t="str">
        <f aca="false">IF(A276="","",IF(A276&lt;FY_START,0,(YEAR(A276)-YEAR(FY_START))*12+MONTH(A276)-MONTH(FY_START)+1))</f>
        <v/>
      </c>
      <c r="P276" s="40" t="str">
        <f aca="false">IF(A276="","",IF(AND(A276&gt;=VP_START,A276&lt;=VP_END),1,0))</f>
        <v/>
      </c>
    </row>
    <row r="277" customFormat="false" ht="15" hidden="false" customHeight="false" outlineLevel="0" collapsed="false">
      <c r="A277" s="37"/>
      <c r="B277" s="36"/>
      <c r="C277" s="36"/>
      <c r="D277" s="36"/>
      <c r="E277" s="36"/>
      <c r="F277" s="38"/>
      <c r="G277" s="36"/>
      <c r="H277" s="39" t="str">
        <f aca="false">IF(F277="","",IF(G277="Standard 5%",F277*VAT_RATE,0))</f>
        <v/>
      </c>
      <c r="I277" s="39" t="str">
        <f aca="false">IF(F277="","",F277+H277)</f>
        <v/>
      </c>
      <c r="J277" s="36"/>
      <c r="K277" s="37"/>
      <c r="L277" s="38"/>
      <c r="M277" s="22" t="str">
        <f aca="true">IF(OR(A277="",J277="Paid",J277="Written off"),"",TODAY()-A277)</f>
        <v/>
      </c>
      <c r="N277" s="22" t="str">
        <f aca="false">IF(M277="","",IF(M277&gt;OVERDUE_DAYS,"OVERDUE",""))</f>
        <v/>
      </c>
      <c r="O277" s="40" t="str">
        <f aca="false">IF(A277="","",IF(A277&lt;FY_START,0,(YEAR(A277)-YEAR(FY_START))*12+MONTH(A277)-MONTH(FY_START)+1))</f>
        <v/>
      </c>
      <c r="P277" s="40" t="str">
        <f aca="false">IF(A277="","",IF(AND(A277&gt;=VP_START,A277&lt;=VP_END),1,0))</f>
        <v/>
      </c>
    </row>
    <row r="278" customFormat="false" ht="15" hidden="false" customHeight="false" outlineLevel="0" collapsed="false">
      <c r="A278" s="37"/>
      <c r="B278" s="36"/>
      <c r="C278" s="36"/>
      <c r="D278" s="36"/>
      <c r="E278" s="36"/>
      <c r="F278" s="38"/>
      <c r="G278" s="36"/>
      <c r="H278" s="39" t="str">
        <f aca="false">IF(F278="","",IF(G278="Standard 5%",F278*VAT_RATE,0))</f>
        <v/>
      </c>
      <c r="I278" s="39" t="str">
        <f aca="false">IF(F278="","",F278+H278)</f>
        <v/>
      </c>
      <c r="J278" s="36"/>
      <c r="K278" s="37"/>
      <c r="L278" s="38"/>
      <c r="M278" s="22" t="str">
        <f aca="true">IF(OR(A278="",J278="Paid",J278="Written off"),"",TODAY()-A278)</f>
        <v/>
      </c>
      <c r="N278" s="22" t="str">
        <f aca="false">IF(M278="","",IF(M278&gt;OVERDUE_DAYS,"OVERDUE",""))</f>
        <v/>
      </c>
      <c r="O278" s="40" t="str">
        <f aca="false">IF(A278="","",IF(A278&lt;FY_START,0,(YEAR(A278)-YEAR(FY_START))*12+MONTH(A278)-MONTH(FY_START)+1))</f>
        <v/>
      </c>
      <c r="P278" s="40" t="str">
        <f aca="false">IF(A278="","",IF(AND(A278&gt;=VP_START,A278&lt;=VP_END),1,0))</f>
        <v/>
      </c>
    </row>
    <row r="279" customFormat="false" ht="15" hidden="false" customHeight="false" outlineLevel="0" collapsed="false">
      <c r="A279" s="37"/>
      <c r="B279" s="36"/>
      <c r="C279" s="36"/>
      <c r="D279" s="36"/>
      <c r="E279" s="36"/>
      <c r="F279" s="38"/>
      <c r="G279" s="36"/>
      <c r="H279" s="39" t="str">
        <f aca="false">IF(F279="","",IF(G279="Standard 5%",F279*VAT_RATE,0))</f>
        <v/>
      </c>
      <c r="I279" s="39" t="str">
        <f aca="false">IF(F279="","",F279+H279)</f>
        <v/>
      </c>
      <c r="J279" s="36"/>
      <c r="K279" s="37"/>
      <c r="L279" s="38"/>
      <c r="M279" s="22" t="str">
        <f aca="true">IF(OR(A279="",J279="Paid",J279="Written off"),"",TODAY()-A279)</f>
        <v/>
      </c>
      <c r="N279" s="22" t="str">
        <f aca="false">IF(M279="","",IF(M279&gt;OVERDUE_DAYS,"OVERDUE",""))</f>
        <v/>
      </c>
      <c r="O279" s="40" t="str">
        <f aca="false">IF(A279="","",IF(A279&lt;FY_START,0,(YEAR(A279)-YEAR(FY_START))*12+MONTH(A279)-MONTH(FY_START)+1))</f>
        <v/>
      </c>
      <c r="P279" s="40" t="str">
        <f aca="false">IF(A279="","",IF(AND(A279&gt;=VP_START,A279&lt;=VP_END),1,0))</f>
        <v/>
      </c>
    </row>
    <row r="280" customFormat="false" ht="15" hidden="false" customHeight="false" outlineLevel="0" collapsed="false">
      <c r="A280" s="37"/>
      <c r="B280" s="36"/>
      <c r="C280" s="36"/>
      <c r="D280" s="36"/>
      <c r="E280" s="36"/>
      <c r="F280" s="38"/>
      <c r="G280" s="36"/>
      <c r="H280" s="39" t="str">
        <f aca="false">IF(F280="","",IF(G280="Standard 5%",F280*VAT_RATE,0))</f>
        <v/>
      </c>
      <c r="I280" s="39" t="str">
        <f aca="false">IF(F280="","",F280+H280)</f>
        <v/>
      </c>
      <c r="J280" s="36"/>
      <c r="K280" s="37"/>
      <c r="L280" s="38"/>
      <c r="M280" s="22" t="str">
        <f aca="true">IF(OR(A280="",J280="Paid",J280="Written off"),"",TODAY()-A280)</f>
        <v/>
      </c>
      <c r="N280" s="22" t="str">
        <f aca="false">IF(M280="","",IF(M280&gt;OVERDUE_DAYS,"OVERDUE",""))</f>
        <v/>
      </c>
      <c r="O280" s="40" t="str">
        <f aca="false">IF(A280="","",IF(A280&lt;FY_START,0,(YEAR(A280)-YEAR(FY_START))*12+MONTH(A280)-MONTH(FY_START)+1))</f>
        <v/>
      </c>
      <c r="P280" s="40" t="str">
        <f aca="false">IF(A280="","",IF(AND(A280&gt;=VP_START,A280&lt;=VP_END),1,0))</f>
        <v/>
      </c>
    </row>
    <row r="281" customFormat="false" ht="15" hidden="false" customHeight="false" outlineLevel="0" collapsed="false">
      <c r="A281" s="37"/>
      <c r="B281" s="36"/>
      <c r="C281" s="36"/>
      <c r="D281" s="36"/>
      <c r="E281" s="36"/>
      <c r="F281" s="38"/>
      <c r="G281" s="36"/>
      <c r="H281" s="39" t="str">
        <f aca="false">IF(F281="","",IF(G281="Standard 5%",F281*VAT_RATE,0))</f>
        <v/>
      </c>
      <c r="I281" s="39" t="str">
        <f aca="false">IF(F281="","",F281+H281)</f>
        <v/>
      </c>
      <c r="J281" s="36"/>
      <c r="K281" s="37"/>
      <c r="L281" s="38"/>
      <c r="M281" s="22" t="str">
        <f aca="true">IF(OR(A281="",J281="Paid",J281="Written off"),"",TODAY()-A281)</f>
        <v/>
      </c>
      <c r="N281" s="22" t="str">
        <f aca="false">IF(M281="","",IF(M281&gt;OVERDUE_DAYS,"OVERDUE",""))</f>
        <v/>
      </c>
      <c r="O281" s="40" t="str">
        <f aca="false">IF(A281="","",IF(A281&lt;FY_START,0,(YEAR(A281)-YEAR(FY_START))*12+MONTH(A281)-MONTH(FY_START)+1))</f>
        <v/>
      </c>
      <c r="P281" s="40" t="str">
        <f aca="false">IF(A281="","",IF(AND(A281&gt;=VP_START,A281&lt;=VP_END),1,0))</f>
        <v/>
      </c>
    </row>
    <row r="282" customFormat="false" ht="15" hidden="false" customHeight="false" outlineLevel="0" collapsed="false">
      <c r="A282" s="37"/>
      <c r="B282" s="36"/>
      <c r="C282" s="36"/>
      <c r="D282" s="36"/>
      <c r="E282" s="36"/>
      <c r="F282" s="38"/>
      <c r="G282" s="36"/>
      <c r="H282" s="39" t="str">
        <f aca="false">IF(F282="","",IF(G282="Standard 5%",F282*VAT_RATE,0))</f>
        <v/>
      </c>
      <c r="I282" s="39" t="str">
        <f aca="false">IF(F282="","",F282+H282)</f>
        <v/>
      </c>
      <c r="J282" s="36"/>
      <c r="K282" s="37"/>
      <c r="L282" s="38"/>
      <c r="M282" s="22" t="str">
        <f aca="true">IF(OR(A282="",J282="Paid",J282="Written off"),"",TODAY()-A282)</f>
        <v/>
      </c>
      <c r="N282" s="22" t="str">
        <f aca="false">IF(M282="","",IF(M282&gt;OVERDUE_DAYS,"OVERDUE",""))</f>
        <v/>
      </c>
      <c r="O282" s="40" t="str">
        <f aca="false">IF(A282="","",IF(A282&lt;FY_START,0,(YEAR(A282)-YEAR(FY_START))*12+MONTH(A282)-MONTH(FY_START)+1))</f>
        <v/>
      </c>
      <c r="P282" s="40" t="str">
        <f aca="false">IF(A282="","",IF(AND(A282&gt;=VP_START,A282&lt;=VP_END),1,0))</f>
        <v/>
      </c>
    </row>
    <row r="283" customFormat="false" ht="15" hidden="false" customHeight="false" outlineLevel="0" collapsed="false">
      <c r="A283" s="37"/>
      <c r="B283" s="36"/>
      <c r="C283" s="36"/>
      <c r="D283" s="36"/>
      <c r="E283" s="36"/>
      <c r="F283" s="38"/>
      <c r="G283" s="36"/>
      <c r="H283" s="39" t="str">
        <f aca="false">IF(F283="","",IF(G283="Standard 5%",F283*VAT_RATE,0))</f>
        <v/>
      </c>
      <c r="I283" s="39" t="str">
        <f aca="false">IF(F283="","",F283+H283)</f>
        <v/>
      </c>
      <c r="J283" s="36"/>
      <c r="K283" s="37"/>
      <c r="L283" s="38"/>
      <c r="M283" s="22" t="str">
        <f aca="true">IF(OR(A283="",J283="Paid",J283="Written off"),"",TODAY()-A283)</f>
        <v/>
      </c>
      <c r="N283" s="22" t="str">
        <f aca="false">IF(M283="","",IF(M283&gt;OVERDUE_DAYS,"OVERDUE",""))</f>
        <v/>
      </c>
      <c r="O283" s="40" t="str">
        <f aca="false">IF(A283="","",IF(A283&lt;FY_START,0,(YEAR(A283)-YEAR(FY_START))*12+MONTH(A283)-MONTH(FY_START)+1))</f>
        <v/>
      </c>
      <c r="P283" s="40" t="str">
        <f aca="false">IF(A283="","",IF(AND(A283&gt;=VP_START,A283&lt;=VP_END),1,0))</f>
        <v/>
      </c>
    </row>
    <row r="284" customFormat="false" ht="15" hidden="false" customHeight="false" outlineLevel="0" collapsed="false">
      <c r="A284" s="37"/>
      <c r="B284" s="36"/>
      <c r="C284" s="36"/>
      <c r="D284" s="36"/>
      <c r="E284" s="36"/>
      <c r="F284" s="38"/>
      <c r="G284" s="36"/>
      <c r="H284" s="39" t="str">
        <f aca="false">IF(F284="","",IF(G284="Standard 5%",F284*VAT_RATE,0))</f>
        <v/>
      </c>
      <c r="I284" s="39" t="str">
        <f aca="false">IF(F284="","",F284+H284)</f>
        <v/>
      </c>
      <c r="J284" s="36"/>
      <c r="K284" s="37"/>
      <c r="L284" s="38"/>
      <c r="M284" s="22" t="str">
        <f aca="true">IF(OR(A284="",J284="Paid",J284="Written off"),"",TODAY()-A284)</f>
        <v/>
      </c>
      <c r="N284" s="22" t="str">
        <f aca="false">IF(M284="","",IF(M284&gt;OVERDUE_DAYS,"OVERDUE",""))</f>
        <v/>
      </c>
      <c r="O284" s="40" t="str">
        <f aca="false">IF(A284="","",IF(A284&lt;FY_START,0,(YEAR(A284)-YEAR(FY_START))*12+MONTH(A284)-MONTH(FY_START)+1))</f>
        <v/>
      </c>
      <c r="P284" s="40" t="str">
        <f aca="false">IF(A284="","",IF(AND(A284&gt;=VP_START,A284&lt;=VP_END),1,0))</f>
        <v/>
      </c>
    </row>
    <row r="285" customFormat="false" ht="15" hidden="false" customHeight="false" outlineLevel="0" collapsed="false">
      <c r="A285" s="37"/>
      <c r="B285" s="36"/>
      <c r="C285" s="36"/>
      <c r="D285" s="36"/>
      <c r="E285" s="36"/>
      <c r="F285" s="38"/>
      <c r="G285" s="36"/>
      <c r="H285" s="39" t="str">
        <f aca="false">IF(F285="","",IF(G285="Standard 5%",F285*VAT_RATE,0))</f>
        <v/>
      </c>
      <c r="I285" s="39" t="str">
        <f aca="false">IF(F285="","",F285+H285)</f>
        <v/>
      </c>
      <c r="J285" s="36"/>
      <c r="K285" s="37"/>
      <c r="L285" s="38"/>
      <c r="M285" s="22" t="str">
        <f aca="true">IF(OR(A285="",J285="Paid",J285="Written off"),"",TODAY()-A285)</f>
        <v/>
      </c>
      <c r="N285" s="22" t="str">
        <f aca="false">IF(M285="","",IF(M285&gt;OVERDUE_DAYS,"OVERDUE",""))</f>
        <v/>
      </c>
      <c r="O285" s="40" t="str">
        <f aca="false">IF(A285="","",IF(A285&lt;FY_START,0,(YEAR(A285)-YEAR(FY_START))*12+MONTH(A285)-MONTH(FY_START)+1))</f>
        <v/>
      </c>
      <c r="P285" s="40" t="str">
        <f aca="false">IF(A285="","",IF(AND(A285&gt;=VP_START,A285&lt;=VP_END),1,0))</f>
        <v/>
      </c>
    </row>
    <row r="286" customFormat="false" ht="15" hidden="false" customHeight="false" outlineLevel="0" collapsed="false">
      <c r="A286" s="37"/>
      <c r="B286" s="36"/>
      <c r="C286" s="36"/>
      <c r="D286" s="36"/>
      <c r="E286" s="36"/>
      <c r="F286" s="38"/>
      <c r="G286" s="36"/>
      <c r="H286" s="39" t="str">
        <f aca="false">IF(F286="","",IF(G286="Standard 5%",F286*VAT_RATE,0))</f>
        <v/>
      </c>
      <c r="I286" s="39" t="str">
        <f aca="false">IF(F286="","",F286+H286)</f>
        <v/>
      </c>
      <c r="J286" s="36"/>
      <c r="K286" s="37"/>
      <c r="L286" s="38"/>
      <c r="M286" s="22" t="str">
        <f aca="true">IF(OR(A286="",J286="Paid",J286="Written off"),"",TODAY()-A286)</f>
        <v/>
      </c>
      <c r="N286" s="22" t="str">
        <f aca="false">IF(M286="","",IF(M286&gt;OVERDUE_DAYS,"OVERDUE",""))</f>
        <v/>
      </c>
      <c r="O286" s="40" t="str">
        <f aca="false">IF(A286="","",IF(A286&lt;FY_START,0,(YEAR(A286)-YEAR(FY_START))*12+MONTH(A286)-MONTH(FY_START)+1))</f>
        <v/>
      </c>
      <c r="P286" s="40" t="str">
        <f aca="false">IF(A286="","",IF(AND(A286&gt;=VP_START,A286&lt;=VP_END),1,0))</f>
        <v/>
      </c>
    </row>
    <row r="287" customFormat="false" ht="15" hidden="false" customHeight="false" outlineLevel="0" collapsed="false">
      <c r="A287" s="37"/>
      <c r="B287" s="36"/>
      <c r="C287" s="36"/>
      <c r="D287" s="36"/>
      <c r="E287" s="36"/>
      <c r="F287" s="38"/>
      <c r="G287" s="36"/>
      <c r="H287" s="39" t="str">
        <f aca="false">IF(F287="","",IF(G287="Standard 5%",F287*VAT_RATE,0))</f>
        <v/>
      </c>
      <c r="I287" s="39" t="str">
        <f aca="false">IF(F287="","",F287+H287)</f>
        <v/>
      </c>
      <c r="J287" s="36"/>
      <c r="K287" s="37"/>
      <c r="L287" s="38"/>
      <c r="M287" s="22" t="str">
        <f aca="true">IF(OR(A287="",J287="Paid",J287="Written off"),"",TODAY()-A287)</f>
        <v/>
      </c>
      <c r="N287" s="22" t="str">
        <f aca="false">IF(M287="","",IF(M287&gt;OVERDUE_DAYS,"OVERDUE",""))</f>
        <v/>
      </c>
      <c r="O287" s="40" t="str">
        <f aca="false">IF(A287="","",IF(A287&lt;FY_START,0,(YEAR(A287)-YEAR(FY_START))*12+MONTH(A287)-MONTH(FY_START)+1))</f>
        <v/>
      </c>
      <c r="P287" s="40" t="str">
        <f aca="false">IF(A287="","",IF(AND(A287&gt;=VP_START,A287&lt;=VP_END),1,0))</f>
        <v/>
      </c>
    </row>
    <row r="288" customFormat="false" ht="15" hidden="false" customHeight="false" outlineLevel="0" collapsed="false">
      <c r="A288" s="37"/>
      <c r="B288" s="36"/>
      <c r="C288" s="36"/>
      <c r="D288" s="36"/>
      <c r="E288" s="36"/>
      <c r="F288" s="38"/>
      <c r="G288" s="36"/>
      <c r="H288" s="39" t="str">
        <f aca="false">IF(F288="","",IF(G288="Standard 5%",F288*VAT_RATE,0))</f>
        <v/>
      </c>
      <c r="I288" s="39" t="str">
        <f aca="false">IF(F288="","",F288+H288)</f>
        <v/>
      </c>
      <c r="J288" s="36"/>
      <c r="K288" s="37"/>
      <c r="L288" s="38"/>
      <c r="M288" s="22" t="str">
        <f aca="true">IF(OR(A288="",J288="Paid",J288="Written off"),"",TODAY()-A288)</f>
        <v/>
      </c>
      <c r="N288" s="22" t="str">
        <f aca="false">IF(M288="","",IF(M288&gt;OVERDUE_DAYS,"OVERDUE",""))</f>
        <v/>
      </c>
      <c r="O288" s="40" t="str">
        <f aca="false">IF(A288="","",IF(A288&lt;FY_START,0,(YEAR(A288)-YEAR(FY_START))*12+MONTH(A288)-MONTH(FY_START)+1))</f>
        <v/>
      </c>
      <c r="P288" s="40" t="str">
        <f aca="false">IF(A288="","",IF(AND(A288&gt;=VP_START,A288&lt;=VP_END),1,0))</f>
        <v/>
      </c>
    </row>
    <row r="289" customFormat="false" ht="15" hidden="false" customHeight="false" outlineLevel="0" collapsed="false">
      <c r="A289" s="37"/>
      <c r="B289" s="36"/>
      <c r="C289" s="36"/>
      <c r="D289" s="36"/>
      <c r="E289" s="36"/>
      <c r="F289" s="38"/>
      <c r="G289" s="36"/>
      <c r="H289" s="39" t="str">
        <f aca="false">IF(F289="","",IF(G289="Standard 5%",F289*VAT_RATE,0))</f>
        <v/>
      </c>
      <c r="I289" s="39" t="str">
        <f aca="false">IF(F289="","",F289+H289)</f>
        <v/>
      </c>
      <c r="J289" s="36"/>
      <c r="K289" s="37"/>
      <c r="L289" s="38"/>
      <c r="M289" s="22" t="str">
        <f aca="true">IF(OR(A289="",J289="Paid",J289="Written off"),"",TODAY()-A289)</f>
        <v/>
      </c>
      <c r="N289" s="22" t="str">
        <f aca="false">IF(M289="","",IF(M289&gt;OVERDUE_DAYS,"OVERDUE",""))</f>
        <v/>
      </c>
      <c r="O289" s="40" t="str">
        <f aca="false">IF(A289="","",IF(A289&lt;FY_START,0,(YEAR(A289)-YEAR(FY_START))*12+MONTH(A289)-MONTH(FY_START)+1))</f>
        <v/>
      </c>
      <c r="P289" s="40" t="str">
        <f aca="false">IF(A289="","",IF(AND(A289&gt;=VP_START,A289&lt;=VP_END),1,0))</f>
        <v/>
      </c>
    </row>
    <row r="290" customFormat="false" ht="15" hidden="false" customHeight="false" outlineLevel="0" collapsed="false">
      <c r="A290" s="37"/>
      <c r="B290" s="36"/>
      <c r="C290" s="36"/>
      <c r="D290" s="36"/>
      <c r="E290" s="36"/>
      <c r="F290" s="38"/>
      <c r="G290" s="36"/>
      <c r="H290" s="39" t="str">
        <f aca="false">IF(F290="","",IF(G290="Standard 5%",F290*VAT_RATE,0))</f>
        <v/>
      </c>
      <c r="I290" s="39" t="str">
        <f aca="false">IF(F290="","",F290+H290)</f>
        <v/>
      </c>
      <c r="J290" s="36"/>
      <c r="K290" s="37"/>
      <c r="L290" s="38"/>
      <c r="M290" s="22" t="str">
        <f aca="true">IF(OR(A290="",J290="Paid",J290="Written off"),"",TODAY()-A290)</f>
        <v/>
      </c>
      <c r="N290" s="22" t="str">
        <f aca="false">IF(M290="","",IF(M290&gt;OVERDUE_DAYS,"OVERDUE",""))</f>
        <v/>
      </c>
      <c r="O290" s="40" t="str">
        <f aca="false">IF(A290="","",IF(A290&lt;FY_START,0,(YEAR(A290)-YEAR(FY_START))*12+MONTH(A290)-MONTH(FY_START)+1))</f>
        <v/>
      </c>
      <c r="P290" s="40" t="str">
        <f aca="false">IF(A290="","",IF(AND(A290&gt;=VP_START,A290&lt;=VP_END),1,0))</f>
        <v/>
      </c>
    </row>
    <row r="291" customFormat="false" ht="15" hidden="false" customHeight="false" outlineLevel="0" collapsed="false">
      <c r="A291" s="37"/>
      <c r="B291" s="36"/>
      <c r="C291" s="36"/>
      <c r="D291" s="36"/>
      <c r="E291" s="36"/>
      <c r="F291" s="38"/>
      <c r="G291" s="36"/>
      <c r="H291" s="39" t="str">
        <f aca="false">IF(F291="","",IF(G291="Standard 5%",F291*VAT_RATE,0))</f>
        <v/>
      </c>
      <c r="I291" s="39" t="str">
        <f aca="false">IF(F291="","",F291+H291)</f>
        <v/>
      </c>
      <c r="J291" s="36"/>
      <c r="K291" s="37"/>
      <c r="L291" s="38"/>
      <c r="M291" s="22" t="str">
        <f aca="true">IF(OR(A291="",J291="Paid",J291="Written off"),"",TODAY()-A291)</f>
        <v/>
      </c>
      <c r="N291" s="22" t="str">
        <f aca="false">IF(M291="","",IF(M291&gt;OVERDUE_DAYS,"OVERDUE",""))</f>
        <v/>
      </c>
      <c r="O291" s="40" t="str">
        <f aca="false">IF(A291="","",IF(A291&lt;FY_START,0,(YEAR(A291)-YEAR(FY_START))*12+MONTH(A291)-MONTH(FY_START)+1))</f>
        <v/>
      </c>
      <c r="P291" s="40" t="str">
        <f aca="false">IF(A291="","",IF(AND(A291&gt;=VP_START,A291&lt;=VP_END),1,0))</f>
        <v/>
      </c>
    </row>
    <row r="292" customFormat="false" ht="15" hidden="false" customHeight="false" outlineLevel="0" collapsed="false">
      <c r="A292" s="37"/>
      <c r="B292" s="36"/>
      <c r="C292" s="36"/>
      <c r="D292" s="36"/>
      <c r="E292" s="36"/>
      <c r="F292" s="38"/>
      <c r="G292" s="36"/>
      <c r="H292" s="39" t="str">
        <f aca="false">IF(F292="","",IF(G292="Standard 5%",F292*VAT_RATE,0))</f>
        <v/>
      </c>
      <c r="I292" s="39" t="str">
        <f aca="false">IF(F292="","",F292+H292)</f>
        <v/>
      </c>
      <c r="J292" s="36"/>
      <c r="K292" s="37"/>
      <c r="L292" s="38"/>
      <c r="M292" s="22" t="str">
        <f aca="true">IF(OR(A292="",J292="Paid",J292="Written off"),"",TODAY()-A292)</f>
        <v/>
      </c>
      <c r="N292" s="22" t="str">
        <f aca="false">IF(M292="","",IF(M292&gt;OVERDUE_DAYS,"OVERDUE",""))</f>
        <v/>
      </c>
      <c r="O292" s="40" t="str">
        <f aca="false">IF(A292="","",IF(A292&lt;FY_START,0,(YEAR(A292)-YEAR(FY_START))*12+MONTH(A292)-MONTH(FY_START)+1))</f>
        <v/>
      </c>
      <c r="P292" s="40" t="str">
        <f aca="false">IF(A292="","",IF(AND(A292&gt;=VP_START,A292&lt;=VP_END),1,0))</f>
        <v/>
      </c>
    </row>
    <row r="293" customFormat="false" ht="15" hidden="false" customHeight="false" outlineLevel="0" collapsed="false">
      <c r="A293" s="37"/>
      <c r="B293" s="36"/>
      <c r="C293" s="36"/>
      <c r="D293" s="36"/>
      <c r="E293" s="36"/>
      <c r="F293" s="38"/>
      <c r="G293" s="36"/>
      <c r="H293" s="39" t="str">
        <f aca="false">IF(F293="","",IF(G293="Standard 5%",F293*VAT_RATE,0))</f>
        <v/>
      </c>
      <c r="I293" s="39" t="str">
        <f aca="false">IF(F293="","",F293+H293)</f>
        <v/>
      </c>
      <c r="J293" s="36"/>
      <c r="K293" s="37"/>
      <c r="L293" s="38"/>
      <c r="M293" s="22" t="str">
        <f aca="true">IF(OR(A293="",J293="Paid",J293="Written off"),"",TODAY()-A293)</f>
        <v/>
      </c>
      <c r="N293" s="22" t="str">
        <f aca="false">IF(M293="","",IF(M293&gt;OVERDUE_DAYS,"OVERDUE",""))</f>
        <v/>
      </c>
      <c r="O293" s="40" t="str">
        <f aca="false">IF(A293="","",IF(A293&lt;FY_START,0,(YEAR(A293)-YEAR(FY_START))*12+MONTH(A293)-MONTH(FY_START)+1))</f>
        <v/>
      </c>
      <c r="P293" s="40" t="str">
        <f aca="false">IF(A293="","",IF(AND(A293&gt;=VP_START,A293&lt;=VP_END),1,0))</f>
        <v/>
      </c>
    </row>
    <row r="294" customFormat="false" ht="15" hidden="false" customHeight="false" outlineLevel="0" collapsed="false">
      <c r="A294" s="37"/>
      <c r="B294" s="36"/>
      <c r="C294" s="36"/>
      <c r="D294" s="36"/>
      <c r="E294" s="36"/>
      <c r="F294" s="38"/>
      <c r="G294" s="36"/>
      <c r="H294" s="39" t="str">
        <f aca="false">IF(F294="","",IF(G294="Standard 5%",F294*VAT_RATE,0))</f>
        <v/>
      </c>
      <c r="I294" s="39" t="str">
        <f aca="false">IF(F294="","",F294+H294)</f>
        <v/>
      </c>
      <c r="J294" s="36"/>
      <c r="K294" s="37"/>
      <c r="L294" s="38"/>
      <c r="M294" s="22" t="str">
        <f aca="true">IF(OR(A294="",J294="Paid",J294="Written off"),"",TODAY()-A294)</f>
        <v/>
      </c>
      <c r="N294" s="22" t="str">
        <f aca="false">IF(M294="","",IF(M294&gt;OVERDUE_DAYS,"OVERDUE",""))</f>
        <v/>
      </c>
      <c r="O294" s="40" t="str">
        <f aca="false">IF(A294="","",IF(A294&lt;FY_START,0,(YEAR(A294)-YEAR(FY_START))*12+MONTH(A294)-MONTH(FY_START)+1))</f>
        <v/>
      </c>
      <c r="P294" s="40" t="str">
        <f aca="false">IF(A294="","",IF(AND(A294&gt;=VP_START,A294&lt;=VP_END),1,0))</f>
        <v/>
      </c>
    </row>
    <row r="295" customFormat="false" ht="15" hidden="false" customHeight="false" outlineLevel="0" collapsed="false">
      <c r="A295" s="37"/>
      <c r="B295" s="36"/>
      <c r="C295" s="36"/>
      <c r="D295" s="36"/>
      <c r="E295" s="36"/>
      <c r="F295" s="38"/>
      <c r="G295" s="36"/>
      <c r="H295" s="39" t="str">
        <f aca="false">IF(F295="","",IF(G295="Standard 5%",F295*VAT_RATE,0))</f>
        <v/>
      </c>
      <c r="I295" s="39" t="str">
        <f aca="false">IF(F295="","",F295+H295)</f>
        <v/>
      </c>
      <c r="J295" s="36"/>
      <c r="K295" s="37"/>
      <c r="L295" s="38"/>
      <c r="M295" s="22" t="str">
        <f aca="true">IF(OR(A295="",J295="Paid",J295="Written off"),"",TODAY()-A295)</f>
        <v/>
      </c>
      <c r="N295" s="22" t="str">
        <f aca="false">IF(M295="","",IF(M295&gt;OVERDUE_DAYS,"OVERDUE",""))</f>
        <v/>
      </c>
      <c r="O295" s="40" t="str">
        <f aca="false">IF(A295="","",IF(A295&lt;FY_START,0,(YEAR(A295)-YEAR(FY_START))*12+MONTH(A295)-MONTH(FY_START)+1))</f>
        <v/>
      </c>
      <c r="P295" s="40" t="str">
        <f aca="false">IF(A295="","",IF(AND(A295&gt;=VP_START,A295&lt;=VP_END),1,0))</f>
        <v/>
      </c>
    </row>
    <row r="296" customFormat="false" ht="15" hidden="false" customHeight="false" outlineLevel="0" collapsed="false">
      <c r="A296" s="37"/>
      <c r="B296" s="36"/>
      <c r="C296" s="36"/>
      <c r="D296" s="36"/>
      <c r="E296" s="36"/>
      <c r="F296" s="38"/>
      <c r="G296" s="36"/>
      <c r="H296" s="39" t="str">
        <f aca="false">IF(F296="","",IF(G296="Standard 5%",F296*VAT_RATE,0))</f>
        <v/>
      </c>
      <c r="I296" s="39" t="str">
        <f aca="false">IF(F296="","",F296+H296)</f>
        <v/>
      </c>
      <c r="J296" s="36"/>
      <c r="K296" s="37"/>
      <c r="L296" s="38"/>
      <c r="M296" s="22" t="str">
        <f aca="true">IF(OR(A296="",J296="Paid",J296="Written off"),"",TODAY()-A296)</f>
        <v/>
      </c>
      <c r="N296" s="22" t="str">
        <f aca="false">IF(M296="","",IF(M296&gt;OVERDUE_DAYS,"OVERDUE",""))</f>
        <v/>
      </c>
      <c r="O296" s="40" t="str">
        <f aca="false">IF(A296="","",IF(A296&lt;FY_START,0,(YEAR(A296)-YEAR(FY_START))*12+MONTH(A296)-MONTH(FY_START)+1))</f>
        <v/>
      </c>
      <c r="P296" s="40" t="str">
        <f aca="false">IF(A296="","",IF(AND(A296&gt;=VP_START,A296&lt;=VP_END),1,0))</f>
        <v/>
      </c>
    </row>
    <row r="297" customFormat="false" ht="15" hidden="false" customHeight="false" outlineLevel="0" collapsed="false">
      <c r="A297" s="37"/>
      <c r="B297" s="36"/>
      <c r="C297" s="36"/>
      <c r="D297" s="36"/>
      <c r="E297" s="36"/>
      <c r="F297" s="38"/>
      <c r="G297" s="36"/>
      <c r="H297" s="39" t="str">
        <f aca="false">IF(F297="","",IF(G297="Standard 5%",F297*VAT_RATE,0))</f>
        <v/>
      </c>
      <c r="I297" s="39" t="str">
        <f aca="false">IF(F297="","",F297+H297)</f>
        <v/>
      </c>
      <c r="J297" s="36"/>
      <c r="K297" s="37"/>
      <c r="L297" s="38"/>
      <c r="M297" s="22" t="str">
        <f aca="true">IF(OR(A297="",J297="Paid",J297="Written off"),"",TODAY()-A297)</f>
        <v/>
      </c>
      <c r="N297" s="22" t="str">
        <f aca="false">IF(M297="","",IF(M297&gt;OVERDUE_DAYS,"OVERDUE",""))</f>
        <v/>
      </c>
      <c r="O297" s="40" t="str">
        <f aca="false">IF(A297="","",IF(A297&lt;FY_START,0,(YEAR(A297)-YEAR(FY_START))*12+MONTH(A297)-MONTH(FY_START)+1))</f>
        <v/>
      </c>
      <c r="P297" s="40" t="str">
        <f aca="false">IF(A297="","",IF(AND(A297&gt;=VP_START,A297&lt;=VP_END),1,0))</f>
        <v/>
      </c>
    </row>
    <row r="298" customFormat="false" ht="15" hidden="false" customHeight="false" outlineLevel="0" collapsed="false">
      <c r="A298" s="37"/>
      <c r="B298" s="36"/>
      <c r="C298" s="36"/>
      <c r="D298" s="36"/>
      <c r="E298" s="36"/>
      <c r="F298" s="38"/>
      <c r="G298" s="36"/>
      <c r="H298" s="39" t="str">
        <f aca="false">IF(F298="","",IF(G298="Standard 5%",F298*VAT_RATE,0))</f>
        <v/>
      </c>
      <c r="I298" s="39" t="str">
        <f aca="false">IF(F298="","",F298+H298)</f>
        <v/>
      </c>
      <c r="J298" s="36"/>
      <c r="K298" s="37"/>
      <c r="L298" s="38"/>
      <c r="M298" s="22" t="str">
        <f aca="true">IF(OR(A298="",J298="Paid",J298="Written off"),"",TODAY()-A298)</f>
        <v/>
      </c>
      <c r="N298" s="22" t="str">
        <f aca="false">IF(M298="","",IF(M298&gt;OVERDUE_DAYS,"OVERDUE",""))</f>
        <v/>
      </c>
      <c r="O298" s="40" t="str">
        <f aca="false">IF(A298="","",IF(A298&lt;FY_START,0,(YEAR(A298)-YEAR(FY_START))*12+MONTH(A298)-MONTH(FY_START)+1))</f>
        <v/>
      </c>
      <c r="P298" s="40" t="str">
        <f aca="false">IF(A298="","",IF(AND(A298&gt;=VP_START,A298&lt;=VP_END),1,0))</f>
        <v/>
      </c>
    </row>
    <row r="299" customFormat="false" ht="15" hidden="false" customHeight="false" outlineLevel="0" collapsed="false">
      <c r="A299" s="37"/>
      <c r="B299" s="36"/>
      <c r="C299" s="36"/>
      <c r="D299" s="36"/>
      <c r="E299" s="36"/>
      <c r="F299" s="38"/>
      <c r="G299" s="36"/>
      <c r="H299" s="39" t="str">
        <f aca="false">IF(F299="","",IF(G299="Standard 5%",F299*VAT_RATE,0))</f>
        <v/>
      </c>
      <c r="I299" s="39" t="str">
        <f aca="false">IF(F299="","",F299+H299)</f>
        <v/>
      </c>
      <c r="J299" s="36"/>
      <c r="K299" s="37"/>
      <c r="L299" s="38"/>
      <c r="M299" s="22" t="str">
        <f aca="true">IF(OR(A299="",J299="Paid",J299="Written off"),"",TODAY()-A299)</f>
        <v/>
      </c>
      <c r="N299" s="22" t="str">
        <f aca="false">IF(M299="","",IF(M299&gt;OVERDUE_DAYS,"OVERDUE",""))</f>
        <v/>
      </c>
      <c r="O299" s="40" t="str">
        <f aca="false">IF(A299="","",IF(A299&lt;FY_START,0,(YEAR(A299)-YEAR(FY_START))*12+MONTH(A299)-MONTH(FY_START)+1))</f>
        <v/>
      </c>
      <c r="P299" s="40" t="str">
        <f aca="false">IF(A299="","",IF(AND(A299&gt;=VP_START,A299&lt;=VP_END),1,0))</f>
        <v/>
      </c>
    </row>
    <row r="300" customFormat="false" ht="15" hidden="false" customHeight="false" outlineLevel="0" collapsed="false">
      <c r="A300" s="37"/>
      <c r="B300" s="36"/>
      <c r="C300" s="36"/>
      <c r="D300" s="36"/>
      <c r="E300" s="36"/>
      <c r="F300" s="38"/>
      <c r="G300" s="36"/>
      <c r="H300" s="39" t="str">
        <f aca="false">IF(F300="","",IF(G300="Standard 5%",F300*VAT_RATE,0))</f>
        <v/>
      </c>
      <c r="I300" s="39" t="str">
        <f aca="false">IF(F300="","",F300+H300)</f>
        <v/>
      </c>
      <c r="J300" s="36"/>
      <c r="K300" s="37"/>
      <c r="L300" s="38"/>
      <c r="M300" s="22" t="str">
        <f aca="true">IF(OR(A300="",J300="Paid",J300="Written off"),"",TODAY()-A300)</f>
        <v/>
      </c>
      <c r="N300" s="22" t="str">
        <f aca="false">IF(M300="","",IF(M300&gt;OVERDUE_DAYS,"OVERDUE",""))</f>
        <v/>
      </c>
      <c r="O300" s="40" t="str">
        <f aca="false">IF(A300="","",IF(A300&lt;FY_START,0,(YEAR(A300)-YEAR(FY_START))*12+MONTH(A300)-MONTH(FY_START)+1))</f>
        <v/>
      </c>
      <c r="P300" s="40" t="str">
        <f aca="false">IF(A300="","",IF(AND(A300&gt;=VP_START,A300&lt;=VP_END),1,0))</f>
        <v/>
      </c>
    </row>
    <row r="301" customFormat="false" ht="15" hidden="false" customHeight="false" outlineLevel="0" collapsed="false">
      <c r="A301" s="37"/>
      <c r="B301" s="36"/>
      <c r="C301" s="36"/>
      <c r="D301" s="36"/>
      <c r="E301" s="36"/>
      <c r="F301" s="38"/>
      <c r="G301" s="36"/>
      <c r="H301" s="39" t="str">
        <f aca="false">IF(F301="","",IF(G301="Standard 5%",F301*VAT_RATE,0))</f>
        <v/>
      </c>
      <c r="I301" s="39" t="str">
        <f aca="false">IF(F301="","",F301+H301)</f>
        <v/>
      </c>
      <c r="J301" s="36"/>
      <c r="K301" s="37"/>
      <c r="L301" s="38"/>
      <c r="M301" s="22" t="str">
        <f aca="true">IF(OR(A301="",J301="Paid",J301="Written off"),"",TODAY()-A301)</f>
        <v/>
      </c>
      <c r="N301" s="22" t="str">
        <f aca="false">IF(M301="","",IF(M301&gt;OVERDUE_DAYS,"OVERDUE",""))</f>
        <v/>
      </c>
      <c r="O301" s="40" t="str">
        <f aca="false">IF(A301="","",IF(A301&lt;FY_START,0,(YEAR(A301)-YEAR(FY_START))*12+MONTH(A301)-MONTH(FY_START)+1))</f>
        <v/>
      </c>
      <c r="P301" s="40" t="str">
        <f aca="false">IF(A301="","",IF(AND(A301&gt;=VP_START,A301&lt;=VP_END),1,0))</f>
        <v/>
      </c>
    </row>
    <row r="302" customFormat="false" ht="15" hidden="false" customHeight="false" outlineLevel="0" collapsed="false">
      <c r="A302" s="37"/>
      <c r="B302" s="36"/>
      <c r="C302" s="36"/>
      <c r="D302" s="36"/>
      <c r="E302" s="36"/>
      <c r="F302" s="38"/>
      <c r="G302" s="36"/>
      <c r="H302" s="39" t="str">
        <f aca="false">IF(F302="","",IF(G302="Standard 5%",F302*VAT_RATE,0))</f>
        <v/>
      </c>
      <c r="I302" s="39" t="str">
        <f aca="false">IF(F302="","",F302+H302)</f>
        <v/>
      </c>
      <c r="J302" s="36"/>
      <c r="K302" s="37"/>
      <c r="L302" s="38"/>
      <c r="M302" s="22" t="str">
        <f aca="true">IF(OR(A302="",J302="Paid",J302="Written off"),"",TODAY()-A302)</f>
        <v/>
      </c>
      <c r="N302" s="22" t="str">
        <f aca="false">IF(M302="","",IF(M302&gt;OVERDUE_DAYS,"OVERDUE",""))</f>
        <v/>
      </c>
      <c r="O302" s="40" t="str">
        <f aca="false">IF(A302="","",IF(A302&lt;FY_START,0,(YEAR(A302)-YEAR(FY_START))*12+MONTH(A302)-MONTH(FY_START)+1))</f>
        <v/>
      </c>
      <c r="P302" s="40" t="str">
        <f aca="false">IF(A302="","",IF(AND(A302&gt;=VP_START,A302&lt;=VP_END),1,0))</f>
        <v/>
      </c>
    </row>
    <row r="303" customFormat="false" ht="15" hidden="false" customHeight="false" outlineLevel="0" collapsed="false">
      <c r="A303" s="37"/>
      <c r="B303" s="36"/>
      <c r="C303" s="36"/>
      <c r="D303" s="36"/>
      <c r="E303" s="36"/>
      <c r="F303" s="38"/>
      <c r="G303" s="36"/>
      <c r="H303" s="39" t="str">
        <f aca="false">IF(F303="","",IF(G303="Standard 5%",F303*VAT_RATE,0))</f>
        <v/>
      </c>
      <c r="I303" s="39" t="str">
        <f aca="false">IF(F303="","",F303+H303)</f>
        <v/>
      </c>
      <c r="J303" s="36"/>
      <c r="K303" s="37"/>
      <c r="L303" s="38"/>
      <c r="M303" s="22" t="str">
        <f aca="true">IF(OR(A303="",J303="Paid",J303="Written off"),"",TODAY()-A303)</f>
        <v/>
      </c>
      <c r="N303" s="22" t="str">
        <f aca="false">IF(M303="","",IF(M303&gt;OVERDUE_DAYS,"OVERDUE",""))</f>
        <v/>
      </c>
      <c r="O303" s="40" t="str">
        <f aca="false">IF(A303="","",IF(A303&lt;FY_START,0,(YEAR(A303)-YEAR(FY_START))*12+MONTH(A303)-MONTH(FY_START)+1))</f>
        <v/>
      </c>
      <c r="P303" s="40" t="str">
        <f aca="false">IF(A303="","",IF(AND(A303&gt;=VP_START,A303&lt;=VP_END),1,0))</f>
        <v/>
      </c>
    </row>
    <row r="304" customFormat="false" ht="15" hidden="false" customHeight="false" outlineLevel="0" collapsed="false">
      <c r="A304" s="37"/>
      <c r="B304" s="36"/>
      <c r="C304" s="36"/>
      <c r="D304" s="36"/>
      <c r="E304" s="36"/>
      <c r="F304" s="38"/>
      <c r="G304" s="36"/>
      <c r="H304" s="39" t="str">
        <f aca="false">IF(F304="","",IF(G304="Standard 5%",F304*VAT_RATE,0))</f>
        <v/>
      </c>
      <c r="I304" s="39" t="str">
        <f aca="false">IF(F304="","",F304+H304)</f>
        <v/>
      </c>
      <c r="J304" s="36"/>
      <c r="K304" s="37"/>
      <c r="L304" s="38"/>
      <c r="M304" s="22" t="str">
        <f aca="true">IF(OR(A304="",J304="Paid",J304="Written off"),"",TODAY()-A304)</f>
        <v/>
      </c>
      <c r="N304" s="22" t="str">
        <f aca="false">IF(M304="","",IF(M304&gt;OVERDUE_DAYS,"OVERDUE",""))</f>
        <v/>
      </c>
      <c r="O304" s="40" t="str">
        <f aca="false">IF(A304="","",IF(A304&lt;FY_START,0,(YEAR(A304)-YEAR(FY_START))*12+MONTH(A304)-MONTH(FY_START)+1))</f>
        <v/>
      </c>
      <c r="P304" s="40" t="str">
        <f aca="false">IF(A304="","",IF(AND(A304&gt;=VP_START,A304&lt;=VP_END),1,0))</f>
        <v/>
      </c>
    </row>
    <row r="305" customFormat="false" ht="15" hidden="false" customHeight="false" outlineLevel="0" collapsed="false">
      <c r="A305" s="37"/>
      <c r="B305" s="36"/>
      <c r="C305" s="36"/>
      <c r="D305" s="36"/>
      <c r="E305" s="36"/>
      <c r="F305" s="38"/>
      <c r="G305" s="36"/>
      <c r="H305" s="39" t="str">
        <f aca="false">IF(F305="","",IF(G305="Standard 5%",F305*VAT_RATE,0))</f>
        <v/>
      </c>
      <c r="I305" s="39" t="str">
        <f aca="false">IF(F305="","",F305+H305)</f>
        <v/>
      </c>
      <c r="J305" s="36"/>
      <c r="K305" s="37"/>
      <c r="L305" s="38"/>
      <c r="M305" s="22" t="str">
        <f aca="true">IF(OR(A305="",J305="Paid",J305="Written off"),"",TODAY()-A305)</f>
        <v/>
      </c>
      <c r="N305" s="22" t="str">
        <f aca="false">IF(M305="","",IF(M305&gt;OVERDUE_DAYS,"OVERDUE",""))</f>
        <v/>
      </c>
      <c r="O305" s="40" t="str">
        <f aca="false">IF(A305="","",IF(A305&lt;FY_START,0,(YEAR(A305)-YEAR(FY_START))*12+MONTH(A305)-MONTH(FY_START)+1))</f>
        <v/>
      </c>
      <c r="P305" s="40" t="str">
        <f aca="false">IF(A305="","",IF(AND(A305&gt;=VP_START,A305&lt;=VP_END),1,0))</f>
        <v/>
      </c>
    </row>
    <row r="306" customFormat="false" ht="15" hidden="false" customHeight="false" outlineLevel="0" collapsed="false">
      <c r="A306" s="37"/>
      <c r="B306" s="36"/>
      <c r="C306" s="36"/>
      <c r="D306" s="36"/>
      <c r="E306" s="36"/>
      <c r="F306" s="38"/>
      <c r="G306" s="36"/>
      <c r="H306" s="39" t="str">
        <f aca="false">IF(F306="","",IF(G306="Standard 5%",F306*VAT_RATE,0))</f>
        <v/>
      </c>
      <c r="I306" s="39" t="str">
        <f aca="false">IF(F306="","",F306+H306)</f>
        <v/>
      </c>
      <c r="J306" s="36"/>
      <c r="K306" s="37"/>
      <c r="L306" s="38"/>
      <c r="M306" s="22" t="str">
        <f aca="true">IF(OR(A306="",J306="Paid",J306="Written off"),"",TODAY()-A306)</f>
        <v/>
      </c>
      <c r="N306" s="22" t="str">
        <f aca="false">IF(M306="","",IF(M306&gt;OVERDUE_DAYS,"OVERDUE",""))</f>
        <v/>
      </c>
      <c r="O306" s="40" t="str">
        <f aca="false">IF(A306="","",IF(A306&lt;FY_START,0,(YEAR(A306)-YEAR(FY_START))*12+MONTH(A306)-MONTH(FY_START)+1))</f>
        <v/>
      </c>
      <c r="P306" s="40" t="str">
        <f aca="false">IF(A306="","",IF(AND(A306&gt;=VP_START,A306&lt;=VP_END),1,0))</f>
        <v/>
      </c>
    </row>
    <row r="307" customFormat="false" ht="15" hidden="false" customHeight="false" outlineLevel="0" collapsed="false">
      <c r="A307" s="37"/>
      <c r="B307" s="36"/>
      <c r="C307" s="36"/>
      <c r="D307" s="36"/>
      <c r="E307" s="36"/>
      <c r="F307" s="38"/>
      <c r="G307" s="36"/>
      <c r="H307" s="39" t="str">
        <f aca="false">IF(F307="","",IF(G307="Standard 5%",F307*VAT_RATE,0))</f>
        <v/>
      </c>
      <c r="I307" s="39" t="str">
        <f aca="false">IF(F307="","",F307+H307)</f>
        <v/>
      </c>
      <c r="J307" s="36"/>
      <c r="K307" s="37"/>
      <c r="L307" s="38"/>
      <c r="M307" s="22" t="str">
        <f aca="true">IF(OR(A307="",J307="Paid",J307="Written off"),"",TODAY()-A307)</f>
        <v/>
      </c>
      <c r="N307" s="22" t="str">
        <f aca="false">IF(M307="","",IF(M307&gt;OVERDUE_DAYS,"OVERDUE",""))</f>
        <v/>
      </c>
      <c r="O307" s="40" t="str">
        <f aca="false">IF(A307="","",IF(A307&lt;FY_START,0,(YEAR(A307)-YEAR(FY_START))*12+MONTH(A307)-MONTH(FY_START)+1))</f>
        <v/>
      </c>
      <c r="P307" s="40" t="str">
        <f aca="false">IF(A307="","",IF(AND(A307&gt;=VP_START,A307&lt;=VP_END),1,0))</f>
        <v/>
      </c>
    </row>
    <row r="308" customFormat="false" ht="15" hidden="false" customHeight="false" outlineLevel="0" collapsed="false">
      <c r="A308" s="37"/>
      <c r="B308" s="36"/>
      <c r="C308" s="36"/>
      <c r="D308" s="36"/>
      <c r="E308" s="36"/>
      <c r="F308" s="38"/>
      <c r="G308" s="36"/>
      <c r="H308" s="39" t="str">
        <f aca="false">IF(F308="","",IF(G308="Standard 5%",F308*VAT_RATE,0))</f>
        <v/>
      </c>
      <c r="I308" s="39" t="str">
        <f aca="false">IF(F308="","",F308+H308)</f>
        <v/>
      </c>
      <c r="J308" s="36"/>
      <c r="K308" s="37"/>
      <c r="L308" s="38"/>
      <c r="M308" s="22" t="str">
        <f aca="true">IF(OR(A308="",J308="Paid",J308="Written off"),"",TODAY()-A308)</f>
        <v/>
      </c>
      <c r="N308" s="22" t="str">
        <f aca="false">IF(M308="","",IF(M308&gt;OVERDUE_DAYS,"OVERDUE",""))</f>
        <v/>
      </c>
      <c r="O308" s="40" t="str">
        <f aca="false">IF(A308="","",IF(A308&lt;FY_START,0,(YEAR(A308)-YEAR(FY_START))*12+MONTH(A308)-MONTH(FY_START)+1))</f>
        <v/>
      </c>
      <c r="P308" s="40" t="str">
        <f aca="false">IF(A308="","",IF(AND(A308&gt;=VP_START,A308&lt;=VP_END),1,0))</f>
        <v/>
      </c>
    </row>
    <row r="309" customFormat="false" ht="15" hidden="false" customHeight="false" outlineLevel="0" collapsed="false">
      <c r="A309" s="37"/>
      <c r="B309" s="36"/>
      <c r="C309" s="36"/>
      <c r="D309" s="36"/>
      <c r="E309" s="36"/>
      <c r="F309" s="38"/>
      <c r="G309" s="36"/>
      <c r="H309" s="39" t="str">
        <f aca="false">IF(F309="","",IF(G309="Standard 5%",F309*VAT_RATE,0))</f>
        <v/>
      </c>
      <c r="I309" s="39" t="str">
        <f aca="false">IF(F309="","",F309+H309)</f>
        <v/>
      </c>
      <c r="J309" s="36"/>
      <c r="K309" s="37"/>
      <c r="L309" s="38"/>
      <c r="M309" s="22" t="str">
        <f aca="true">IF(OR(A309="",J309="Paid",J309="Written off"),"",TODAY()-A309)</f>
        <v/>
      </c>
      <c r="N309" s="22" t="str">
        <f aca="false">IF(M309="","",IF(M309&gt;OVERDUE_DAYS,"OVERDUE",""))</f>
        <v/>
      </c>
      <c r="O309" s="40" t="str">
        <f aca="false">IF(A309="","",IF(A309&lt;FY_START,0,(YEAR(A309)-YEAR(FY_START))*12+MONTH(A309)-MONTH(FY_START)+1))</f>
        <v/>
      </c>
      <c r="P309" s="40" t="str">
        <f aca="false">IF(A309="","",IF(AND(A309&gt;=VP_START,A309&lt;=VP_END),1,0))</f>
        <v/>
      </c>
    </row>
    <row r="310" customFormat="false" ht="15" hidden="false" customHeight="false" outlineLevel="0" collapsed="false">
      <c r="A310" s="37"/>
      <c r="B310" s="36"/>
      <c r="C310" s="36"/>
      <c r="D310" s="36"/>
      <c r="E310" s="36"/>
      <c r="F310" s="38"/>
      <c r="G310" s="36"/>
      <c r="H310" s="39" t="str">
        <f aca="false">IF(F310="","",IF(G310="Standard 5%",F310*VAT_RATE,0))</f>
        <v/>
      </c>
      <c r="I310" s="39" t="str">
        <f aca="false">IF(F310="","",F310+H310)</f>
        <v/>
      </c>
      <c r="J310" s="36"/>
      <c r="K310" s="37"/>
      <c r="L310" s="38"/>
      <c r="M310" s="22" t="str">
        <f aca="true">IF(OR(A310="",J310="Paid",J310="Written off"),"",TODAY()-A310)</f>
        <v/>
      </c>
      <c r="N310" s="22" t="str">
        <f aca="false">IF(M310="","",IF(M310&gt;OVERDUE_DAYS,"OVERDUE",""))</f>
        <v/>
      </c>
      <c r="O310" s="40" t="str">
        <f aca="false">IF(A310="","",IF(A310&lt;FY_START,0,(YEAR(A310)-YEAR(FY_START))*12+MONTH(A310)-MONTH(FY_START)+1))</f>
        <v/>
      </c>
      <c r="P310" s="40" t="str">
        <f aca="false">IF(A310="","",IF(AND(A310&gt;=VP_START,A310&lt;=VP_END),1,0))</f>
        <v/>
      </c>
    </row>
    <row r="311" customFormat="false" ht="15" hidden="false" customHeight="false" outlineLevel="0" collapsed="false">
      <c r="A311" s="37"/>
      <c r="B311" s="36"/>
      <c r="C311" s="36"/>
      <c r="D311" s="36"/>
      <c r="E311" s="36"/>
      <c r="F311" s="38"/>
      <c r="G311" s="36"/>
      <c r="H311" s="39" t="str">
        <f aca="false">IF(F311="","",IF(G311="Standard 5%",F311*VAT_RATE,0))</f>
        <v/>
      </c>
      <c r="I311" s="39" t="str">
        <f aca="false">IF(F311="","",F311+H311)</f>
        <v/>
      </c>
      <c r="J311" s="36"/>
      <c r="K311" s="37"/>
      <c r="L311" s="38"/>
      <c r="M311" s="22" t="str">
        <f aca="true">IF(OR(A311="",J311="Paid",J311="Written off"),"",TODAY()-A311)</f>
        <v/>
      </c>
      <c r="N311" s="22" t="str">
        <f aca="false">IF(M311="","",IF(M311&gt;OVERDUE_DAYS,"OVERDUE",""))</f>
        <v/>
      </c>
      <c r="O311" s="40" t="str">
        <f aca="false">IF(A311="","",IF(A311&lt;FY_START,0,(YEAR(A311)-YEAR(FY_START))*12+MONTH(A311)-MONTH(FY_START)+1))</f>
        <v/>
      </c>
      <c r="P311" s="40" t="str">
        <f aca="false">IF(A311="","",IF(AND(A311&gt;=VP_START,A311&lt;=VP_END),1,0))</f>
        <v/>
      </c>
    </row>
    <row r="312" customFormat="false" ht="15" hidden="false" customHeight="false" outlineLevel="0" collapsed="false">
      <c r="A312" s="37"/>
      <c r="B312" s="36"/>
      <c r="C312" s="36"/>
      <c r="D312" s="36"/>
      <c r="E312" s="36"/>
      <c r="F312" s="38"/>
      <c r="G312" s="36"/>
      <c r="H312" s="39" t="str">
        <f aca="false">IF(F312="","",IF(G312="Standard 5%",F312*VAT_RATE,0))</f>
        <v/>
      </c>
      <c r="I312" s="39" t="str">
        <f aca="false">IF(F312="","",F312+H312)</f>
        <v/>
      </c>
      <c r="J312" s="36"/>
      <c r="K312" s="37"/>
      <c r="L312" s="38"/>
      <c r="M312" s="22" t="str">
        <f aca="true">IF(OR(A312="",J312="Paid",J312="Written off"),"",TODAY()-A312)</f>
        <v/>
      </c>
      <c r="N312" s="22" t="str">
        <f aca="false">IF(M312="","",IF(M312&gt;OVERDUE_DAYS,"OVERDUE",""))</f>
        <v/>
      </c>
      <c r="O312" s="40" t="str">
        <f aca="false">IF(A312="","",IF(A312&lt;FY_START,0,(YEAR(A312)-YEAR(FY_START))*12+MONTH(A312)-MONTH(FY_START)+1))</f>
        <v/>
      </c>
      <c r="P312" s="40" t="str">
        <f aca="false">IF(A312="","",IF(AND(A312&gt;=VP_START,A312&lt;=VP_END),1,0))</f>
        <v/>
      </c>
    </row>
    <row r="313" customFormat="false" ht="15" hidden="false" customHeight="false" outlineLevel="0" collapsed="false">
      <c r="A313" s="37"/>
      <c r="B313" s="36"/>
      <c r="C313" s="36"/>
      <c r="D313" s="36"/>
      <c r="E313" s="36"/>
      <c r="F313" s="38"/>
      <c r="G313" s="36"/>
      <c r="H313" s="39" t="str">
        <f aca="false">IF(F313="","",IF(G313="Standard 5%",F313*VAT_RATE,0))</f>
        <v/>
      </c>
      <c r="I313" s="39" t="str">
        <f aca="false">IF(F313="","",F313+H313)</f>
        <v/>
      </c>
      <c r="J313" s="36"/>
      <c r="K313" s="37"/>
      <c r="L313" s="38"/>
      <c r="M313" s="22" t="str">
        <f aca="true">IF(OR(A313="",J313="Paid",J313="Written off"),"",TODAY()-A313)</f>
        <v/>
      </c>
      <c r="N313" s="22" t="str">
        <f aca="false">IF(M313="","",IF(M313&gt;OVERDUE_DAYS,"OVERDUE",""))</f>
        <v/>
      </c>
      <c r="O313" s="40" t="str">
        <f aca="false">IF(A313="","",IF(A313&lt;FY_START,0,(YEAR(A313)-YEAR(FY_START))*12+MONTH(A313)-MONTH(FY_START)+1))</f>
        <v/>
      </c>
      <c r="P313" s="40" t="str">
        <f aca="false">IF(A313="","",IF(AND(A313&gt;=VP_START,A313&lt;=VP_END),1,0))</f>
        <v/>
      </c>
    </row>
    <row r="314" customFormat="false" ht="15" hidden="false" customHeight="false" outlineLevel="0" collapsed="false">
      <c r="A314" s="37"/>
      <c r="B314" s="36"/>
      <c r="C314" s="36"/>
      <c r="D314" s="36"/>
      <c r="E314" s="36"/>
      <c r="F314" s="38"/>
      <c r="G314" s="36"/>
      <c r="H314" s="39" t="str">
        <f aca="false">IF(F314="","",IF(G314="Standard 5%",F314*VAT_RATE,0))</f>
        <v/>
      </c>
      <c r="I314" s="39" t="str">
        <f aca="false">IF(F314="","",F314+H314)</f>
        <v/>
      </c>
      <c r="J314" s="36"/>
      <c r="K314" s="37"/>
      <c r="L314" s="38"/>
      <c r="M314" s="22" t="str">
        <f aca="true">IF(OR(A314="",J314="Paid",J314="Written off"),"",TODAY()-A314)</f>
        <v/>
      </c>
      <c r="N314" s="22" t="str">
        <f aca="false">IF(M314="","",IF(M314&gt;OVERDUE_DAYS,"OVERDUE",""))</f>
        <v/>
      </c>
      <c r="O314" s="40" t="str">
        <f aca="false">IF(A314="","",IF(A314&lt;FY_START,0,(YEAR(A314)-YEAR(FY_START))*12+MONTH(A314)-MONTH(FY_START)+1))</f>
        <v/>
      </c>
      <c r="P314" s="40" t="str">
        <f aca="false">IF(A314="","",IF(AND(A314&gt;=VP_START,A314&lt;=VP_END),1,0))</f>
        <v/>
      </c>
    </row>
    <row r="315" customFormat="false" ht="15" hidden="false" customHeight="false" outlineLevel="0" collapsed="false">
      <c r="A315" s="37"/>
      <c r="B315" s="36"/>
      <c r="C315" s="36"/>
      <c r="D315" s="36"/>
      <c r="E315" s="36"/>
      <c r="F315" s="38"/>
      <c r="G315" s="36"/>
      <c r="H315" s="39" t="str">
        <f aca="false">IF(F315="","",IF(G315="Standard 5%",F315*VAT_RATE,0))</f>
        <v/>
      </c>
      <c r="I315" s="39" t="str">
        <f aca="false">IF(F315="","",F315+H315)</f>
        <v/>
      </c>
      <c r="J315" s="36"/>
      <c r="K315" s="37"/>
      <c r="L315" s="38"/>
      <c r="M315" s="22" t="str">
        <f aca="true">IF(OR(A315="",J315="Paid",J315="Written off"),"",TODAY()-A315)</f>
        <v/>
      </c>
      <c r="N315" s="22" t="str">
        <f aca="false">IF(M315="","",IF(M315&gt;OVERDUE_DAYS,"OVERDUE",""))</f>
        <v/>
      </c>
      <c r="O315" s="40" t="str">
        <f aca="false">IF(A315="","",IF(A315&lt;FY_START,0,(YEAR(A315)-YEAR(FY_START))*12+MONTH(A315)-MONTH(FY_START)+1))</f>
        <v/>
      </c>
      <c r="P315" s="40" t="str">
        <f aca="false">IF(A315="","",IF(AND(A315&gt;=VP_START,A315&lt;=VP_END),1,0))</f>
        <v/>
      </c>
    </row>
    <row r="316" customFormat="false" ht="15" hidden="false" customHeight="false" outlineLevel="0" collapsed="false">
      <c r="A316" s="37"/>
      <c r="B316" s="36"/>
      <c r="C316" s="36"/>
      <c r="D316" s="36"/>
      <c r="E316" s="36"/>
      <c r="F316" s="38"/>
      <c r="G316" s="36"/>
      <c r="H316" s="39" t="str">
        <f aca="false">IF(F316="","",IF(G316="Standard 5%",F316*VAT_RATE,0))</f>
        <v/>
      </c>
      <c r="I316" s="39" t="str">
        <f aca="false">IF(F316="","",F316+H316)</f>
        <v/>
      </c>
      <c r="J316" s="36"/>
      <c r="K316" s="37"/>
      <c r="L316" s="38"/>
      <c r="M316" s="22" t="str">
        <f aca="true">IF(OR(A316="",J316="Paid",J316="Written off"),"",TODAY()-A316)</f>
        <v/>
      </c>
      <c r="N316" s="22" t="str">
        <f aca="false">IF(M316="","",IF(M316&gt;OVERDUE_DAYS,"OVERDUE",""))</f>
        <v/>
      </c>
      <c r="O316" s="40" t="str">
        <f aca="false">IF(A316="","",IF(A316&lt;FY_START,0,(YEAR(A316)-YEAR(FY_START))*12+MONTH(A316)-MONTH(FY_START)+1))</f>
        <v/>
      </c>
      <c r="P316" s="40" t="str">
        <f aca="false">IF(A316="","",IF(AND(A316&gt;=VP_START,A316&lt;=VP_END),1,0))</f>
        <v/>
      </c>
    </row>
    <row r="317" customFormat="false" ht="15" hidden="false" customHeight="false" outlineLevel="0" collapsed="false">
      <c r="A317" s="37"/>
      <c r="B317" s="36"/>
      <c r="C317" s="36"/>
      <c r="D317" s="36"/>
      <c r="E317" s="36"/>
      <c r="F317" s="38"/>
      <c r="G317" s="36"/>
      <c r="H317" s="39" t="str">
        <f aca="false">IF(F317="","",IF(G317="Standard 5%",F317*VAT_RATE,0))</f>
        <v/>
      </c>
      <c r="I317" s="39" t="str">
        <f aca="false">IF(F317="","",F317+H317)</f>
        <v/>
      </c>
      <c r="J317" s="36"/>
      <c r="K317" s="37"/>
      <c r="L317" s="38"/>
      <c r="M317" s="22" t="str">
        <f aca="true">IF(OR(A317="",J317="Paid",J317="Written off"),"",TODAY()-A317)</f>
        <v/>
      </c>
      <c r="N317" s="22" t="str">
        <f aca="false">IF(M317="","",IF(M317&gt;OVERDUE_DAYS,"OVERDUE",""))</f>
        <v/>
      </c>
      <c r="O317" s="40" t="str">
        <f aca="false">IF(A317="","",IF(A317&lt;FY_START,0,(YEAR(A317)-YEAR(FY_START))*12+MONTH(A317)-MONTH(FY_START)+1))</f>
        <v/>
      </c>
      <c r="P317" s="40" t="str">
        <f aca="false">IF(A317="","",IF(AND(A317&gt;=VP_START,A317&lt;=VP_END),1,0))</f>
        <v/>
      </c>
    </row>
    <row r="318" customFormat="false" ht="15" hidden="false" customHeight="false" outlineLevel="0" collapsed="false">
      <c r="A318" s="37"/>
      <c r="B318" s="36"/>
      <c r="C318" s="36"/>
      <c r="D318" s="36"/>
      <c r="E318" s="36"/>
      <c r="F318" s="38"/>
      <c r="G318" s="36"/>
      <c r="H318" s="39" t="str">
        <f aca="false">IF(F318="","",IF(G318="Standard 5%",F318*VAT_RATE,0))</f>
        <v/>
      </c>
      <c r="I318" s="39" t="str">
        <f aca="false">IF(F318="","",F318+H318)</f>
        <v/>
      </c>
      <c r="J318" s="36"/>
      <c r="K318" s="37"/>
      <c r="L318" s="38"/>
      <c r="M318" s="22" t="str">
        <f aca="true">IF(OR(A318="",J318="Paid",J318="Written off"),"",TODAY()-A318)</f>
        <v/>
      </c>
      <c r="N318" s="22" t="str">
        <f aca="false">IF(M318="","",IF(M318&gt;OVERDUE_DAYS,"OVERDUE",""))</f>
        <v/>
      </c>
      <c r="O318" s="40" t="str">
        <f aca="false">IF(A318="","",IF(A318&lt;FY_START,0,(YEAR(A318)-YEAR(FY_START))*12+MONTH(A318)-MONTH(FY_START)+1))</f>
        <v/>
      </c>
      <c r="P318" s="40" t="str">
        <f aca="false">IF(A318="","",IF(AND(A318&gt;=VP_START,A318&lt;=VP_END),1,0))</f>
        <v/>
      </c>
    </row>
    <row r="319" customFormat="false" ht="15" hidden="false" customHeight="false" outlineLevel="0" collapsed="false">
      <c r="A319" s="37"/>
      <c r="B319" s="36"/>
      <c r="C319" s="36"/>
      <c r="D319" s="36"/>
      <c r="E319" s="36"/>
      <c r="F319" s="38"/>
      <c r="G319" s="36"/>
      <c r="H319" s="39" t="str">
        <f aca="false">IF(F319="","",IF(G319="Standard 5%",F319*VAT_RATE,0))</f>
        <v/>
      </c>
      <c r="I319" s="39" t="str">
        <f aca="false">IF(F319="","",F319+H319)</f>
        <v/>
      </c>
      <c r="J319" s="36"/>
      <c r="K319" s="37"/>
      <c r="L319" s="38"/>
      <c r="M319" s="22" t="str">
        <f aca="true">IF(OR(A319="",J319="Paid",J319="Written off"),"",TODAY()-A319)</f>
        <v/>
      </c>
      <c r="N319" s="22" t="str">
        <f aca="false">IF(M319="","",IF(M319&gt;OVERDUE_DAYS,"OVERDUE",""))</f>
        <v/>
      </c>
      <c r="O319" s="40" t="str">
        <f aca="false">IF(A319="","",IF(A319&lt;FY_START,0,(YEAR(A319)-YEAR(FY_START))*12+MONTH(A319)-MONTH(FY_START)+1))</f>
        <v/>
      </c>
      <c r="P319" s="40" t="str">
        <f aca="false">IF(A319="","",IF(AND(A319&gt;=VP_START,A319&lt;=VP_END),1,0))</f>
        <v/>
      </c>
    </row>
    <row r="320" customFormat="false" ht="15" hidden="false" customHeight="false" outlineLevel="0" collapsed="false">
      <c r="A320" s="37"/>
      <c r="B320" s="36"/>
      <c r="C320" s="36"/>
      <c r="D320" s="36"/>
      <c r="E320" s="36"/>
      <c r="F320" s="38"/>
      <c r="G320" s="36"/>
      <c r="H320" s="39" t="str">
        <f aca="false">IF(F320="","",IF(G320="Standard 5%",F320*VAT_RATE,0))</f>
        <v/>
      </c>
      <c r="I320" s="39" t="str">
        <f aca="false">IF(F320="","",F320+H320)</f>
        <v/>
      </c>
      <c r="J320" s="36"/>
      <c r="K320" s="37"/>
      <c r="L320" s="38"/>
      <c r="M320" s="22" t="str">
        <f aca="true">IF(OR(A320="",J320="Paid",J320="Written off"),"",TODAY()-A320)</f>
        <v/>
      </c>
      <c r="N320" s="22" t="str">
        <f aca="false">IF(M320="","",IF(M320&gt;OVERDUE_DAYS,"OVERDUE",""))</f>
        <v/>
      </c>
      <c r="O320" s="40" t="str">
        <f aca="false">IF(A320="","",IF(A320&lt;FY_START,0,(YEAR(A320)-YEAR(FY_START))*12+MONTH(A320)-MONTH(FY_START)+1))</f>
        <v/>
      </c>
      <c r="P320" s="40" t="str">
        <f aca="false">IF(A320="","",IF(AND(A320&gt;=VP_START,A320&lt;=VP_END),1,0))</f>
        <v/>
      </c>
    </row>
    <row r="321" customFormat="false" ht="15" hidden="false" customHeight="false" outlineLevel="0" collapsed="false">
      <c r="A321" s="37"/>
      <c r="B321" s="36"/>
      <c r="C321" s="36"/>
      <c r="D321" s="36"/>
      <c r="E321" s="36"/>
      <c r="F321" s="38"/>
      <c r="G321" s="36"/>
      <c r="H321" s="39" t="str">
        <f aca="false">IF(F321="","",IF(G321="Standard 5%",F321*VAT_RATE,0))</f>
        <v/>
      </c>
      <c r="I321" s="39" t="str">
        <f aca="false">IF(F321="","",F321+H321)</f>
        <v/>
      </c>
      <c r="J321" s="36"/>
      <c r="K321" s="37"/>
      <c r="L321" s="38"/>
      <c r="M321" s="22" t="str">
        <f aca="true">IF(OR(A321="",J321="Paid",J321="Written off"),"",TODAY()-A321)</f>
        <v/>
      </c>
      <c r="N321" s="22" t="str">
        <f aca="false">IF(M321="","",IF(M321&gt;OVERDUE_DAYS,"OVERDUE",""))</f>
        <v/>
      </c>
      <c r="O321" s="40" t="str">
        <f aca="false">IF(A321="","",IF(A321&lt;FY_START,0,(YEAR(A321)-YEAR(FY_START))*12+MONTH(A321)-MONTH(FY_START)+1))</f>
        <v/>
      </c>
      <c r="P321" s="40" t="str">
        <f aca="false">IF(A321="","",IF(AND(A321&gt;=VP_START,A321&lt;=VP_END),1,0))</f>
        <v/>
      </c>
    </row>
    <row r="322" customFormat="false" ht="15" hidden="false" customHeight="false" outlineLevel="0" collapsed="false">
      <c r="A322" s="37"/>
      <c r="B322" s="36"/>
      <c r="C322" s="36"/>
      <c r="D322" s="36"/>
      <c r="E322" s="36"/>
      <c r="F322" s="38"/>
      <c r="G322" s="36"/>
      <c r="H322" s="39" t="str">
        <f aca="false">IF(F322="","",IF(G322="Standard 5%",F322*VAT_RATE,0))</f>
        <v/>
      </c>
      <c r="I322" s="39" t="str">
        <f aca="false">IF(F322="","",F322+H322)</f>
        <v/>
      </c>
      <c r="J322" s="36"/>
      <c r="K322" s="37"/>
      <c r="L322" s="38"/>
      <c r="M322" s="22" t="str">
        <f aca="true">IF(OR(A322="",J322="Paid",J322="Written off"),"",TODAY()-A322)</f>
        <v/>
      </c>
      <c r="N322" s="22" t="str">
        <f aca="false">IF(M322="","",IF(M322&gt;OVERDUE_DAYS,"OVERDUE",""))</f>
        <v/>
      </c>
      <c r="O322" s="40" t="str">
        <f aca="false">IF(A322="","",IF(A322&lt;FY_START,0,(YEAR(A322)-YEAR(FY_START))*12+MONTH(A322)-MONTH(FY_START)+1))</f>
        <v/>
      </c>
      <c r="P322" s="40" t="str">
        <f aca="false">IF(A322="","",IF(AND(A322&gt;=VP_START,A322&lt;=VP_END),1,0))</f>
        <v/>
      </c>
    </row>
    <row r="323" customFormat="false" ht="15" hidden="false" customHeight="false" outlineLevel="0" collapsed="false">
      <c r="A323" s="37"/>
      <c r="B323" s="36"/>
      <c r="C323" s="36"/>
      <c r="D323" s="36"/>
      <c r="E323" s="36"/>
      <c r="F323" s="38"/>
      <c r="G323" s="36"/>
      <c r="H323" s="39" t="str">
        <f aca="false">IF(F323="","",IF(G323="Standard 5%",F323*VAT_RATE,0))</f>
        <v/>
      </c>
      <c r="I323" s="39" t="str">
        <f aca="false">IF(F323="","",F323+H323)</f>
        <v/>
      </c>
      <c r="J323" s="36"/>
      <c r="K323" s="37"/>
      <c r="L323" s="38"/>
      <c r="M323" s="22" t="str">
        <f aca="true">IF(OR(A323="",J323="Paid",J323="Written off"),"",TODAY()-A323)</f>
        <v/>
      </c>
      <c r="N323" s="22" t="str">
        <f aca="false">IF(M323="","",IF(M323&gt;OVERDUE_DAYS,"OVERDUE",""))</f>
        <v/>
      </c>
      <c r="O323" s="40" t="str">
        <f aca="false">IF(A323="","",IF(A323&lt;FY_START,0,(YEAR(A323)-YEAR(FY_START))*12+MONTH(A323)-MONTH(FY_START)+1))</f>
        <v/>
      </c>
      <c r="P323" s="40" t="str">
        <f aca="false">IF(A323="","",IF(AND(A323&gt;=VP_START,A323&lt;=VP_END),1,0))</f>
        <v/>
      </c>
    </row>
    <row r="324" customFormat="false" ht="15" hidden="false" customHeight="false" outlineLevel="0" collapsed="false">
      <c r="A324" s="37"/>
      <c r="B324" s="36"/>
      <c r="C324" s="36"/>
      <c r="D324" s="36"/>
      <c r="E324" s="36"/>
      <c r="F324" s="38"/>
      <c r="G324" s="36"/>
      <c r="H324" s="39" t="str">
        <f aca="false">IF(F324="","",IF(G324="Standard 5%",F324*VAT_RATE,0))</f>
        <v/>
      </c>
      <c r="I324" s="39" t="str">
        <f aca="false">IF(F324="","",F324+H324)</f>
        <v/>
      </c>
      <c r="J324" s="36"/>
      <c r="K324" s="37"/>
      <c r="L324" s="38"/>
      <c r="M324" s="22" t="str">
        <f aca="true">IF(OR(A324="",J324="Paid",J324="Written off"),"",TODAY()-A324)</f>
        <v/>
      </c>
      <c r="N324" s="22" t="str">
        <f aca="false">IF(M324="","",IF(M324&gt;OVERDUE_DAYS,"OVERDUE",""))</f>
        <v/>
      </c>
      <c r="O324" s="40" t="str">
        <f aca="false">IF(A324="","",IF(A324&lt;FY_START,0,(YEAR(A324)-YEAR(FY_START))*12+MONTH(A324)-MONTH(FY_START)+1))</f>
        <v/>
      </c>
      <c r="P324" s="40" t="str">
        <f aca="false">IF(A324="","",IF(AND(A324&gt;=VP_START,A324&lt;=VP_END),1,0))</f>
        <v/>
      </c>
    </row>
    <row r="325" customFormat="false" ht="15" hidden="false" customHeight="false" outlineLevel="0" collapsed="false">
      <c r="A325" s="37"/>
      <c r="B325" s="36"/>
      <c r="C325" s="36"/>
      <c r="D325" s="36"/>
      <c r="E325" s="36"/>
      <c r="F325" s="38"/>
      <c r="G325" s="36"/>
      <c r="H325" s="39" t="str">
        <f aca="false">IF(F325="","",IF(G325="Standard 5%",F325*VAT_RATE,0))</f>
        <v/>
      </c>
      <c r="I325" s="39" t="str">
        <f aca="false">IF(F325="","",F325+H325)</f>
        <v/>
      </c>
      <c r="J325" s="36"/>
      <c r="K325" s="37"/>
      <c r="L325" s="38"/>
      <c r="M325" s="22" t="str">
        <f aca="true">IF(OR(A325="",J325="Paid",J325="Written off"),"",TODAY()-A325)</f>
        <v/>
      </c>
      <c r="N325" s="22" t="str">
        <f aca="false">IF(M325="","",IF(M325&gt;OVERDUE_DAYS,"OVERDUE",""))</f>
        <v/>
      </c>
      <c r="O325" s="40" t="str">
        <f aca="false">IF(A325="","",IF(A325&lt;FY_START,0,(YEAR(A325)-YEAR(FY_START))*12+MONTH(A325)-MONTH(FY_START)+1))</f>
        <v/>
      </c>
      <c r="P325" s="40" t="str">
        <f aca="false">IF(A325="","",IF(AND(A325&gt;=VP_START,A325&lt;=VP_END),1,0))</f>
        <v/>
      </c>
    </row>
    <row r="326" customFormat="false" ht="15" hidden="false" customHeight="false" outlineLevel="0" collapsed="false">
      <c r="A326" s="37"/>
      <c r="B326" s="36"/>
      <c r="C326" s="36"/>
      <c r="D326" s="36"/>
      <c r="E326" s="36"/>
      <c r="F326" s="38"/>
      <c r="G326" s="36"/>
      <c r="H326" s="39" t="str">
        <f aca="false">IF(F326="","",IF(G326="Standard 5%",F326*VAT_RATE,0))</f>
        <v/>
      </c>
      <c r="I326" s="39" t="str">
        <f aca="false">IF(F326="","",F326+H326)</f>
        <v/>
      </c>
      <c r="J326" s="36"/>
      <c r="K326" s="37"/>
      <c r="L326" s="38"/>
      <c r="M326" s="22" t="str">
        <f aca="true">IF(OR(A326="",J326="Paid",J326="Written off"),"",TODAY()-A326)</f>
        <v/>
      </c>
      <c r="N326" s="22" t="str">
        <f aca="false">IF(M326="","",IF(M326&gt;OVERDUE_DAYS,"OVERDUE",""))</f>
        <v/>
      </c>
      <c r="O326" s="40" t="str">
        <f aca="false">IF(A326="","",IF(A326&lt;FY_START,0,(YEAR(A326)-YEAR(FY_START))*12+MONTH(A326)-MONTH(FY_START)+1))</f>
        <v/>
      </c>
      <c r="P326" s="40" t="str">
        <f aca="false">IF(A326="","",IF(AND(A326&gt;=VP_START,A326&lt;=VP_END),1,0))</f>
        <v/>
      </c>
    </row>
    <row r="327" customFormat="false" ht="15" hidden="false" customHeight="false" outlineLevel="0" collapsed="false">
      <c r="A327" s="37"/>
      <c r="B327" s="36"/>
      <c r="C327" s="36"/>
      <c r="D327" s="36"/>
      <c r="E327" s="36"/>
      <c r="F327" s="38"/>
      <c r="G327" s="36"/>
      <c r="H327" s="39" t="str">
        <f aca="false">IF(F327="","",IF(G327="Standard 5%",F327*VAT_RATE,0))</f>
        <v/>
      </c>
      <c r="I327" s="39" t="str">
        <f aca="false">IF(F327="","",F327+H327)</f>
        <v/>
      </c>
      <c r="J327" s="36"/>
      <c r="K327" s="37"/>
      <c r="L327" s="38"/>
      <c r="M327" s="22" t="str">
        <f aca="true">IF(OR(A327="",J327="Paid",J327="Written off"),"",TODAY()-A327)</f>
        <v/>
      </c>
      <c r="N327" s="22" t="str">
        <f aca="false">IF(M327="","",IF(M327&gt;OVERDUE_DAYS,"OVERDUE",""))</f>
        <v/>
      </c>
      <c r="O327" s="40" t="str">
        <f aca="false">IF(A327="","",IF(A327&lt;FY_START,0,(YEAR(A327)-YEAR(FY_START))*12+MONTH(A327)-MONTH(FY_START)+1))</f>
        <v/>
      </c>
      <c r="P327" s="40" t="str">
        <f aca="false">IF(A327="","",IF(AND(A327&gt;=VP_START,A327&lt;=VP_END),1,0))</f>
        <v/>
      </c>
    </row>
    <row r="328" customFormat="false" ht="15" hidden="false" customHeight="false" outlineLevel="0" collapsed="false">
      <c r="A328" s="37"/>
      <c r="B328" s="36"/>
      <c r="C328" s="36"/>
      <c r="D328" s="36"/>
      <c r="E328" s="36"/>
      <c r="F328" s="38"/>
      <c r="G328" s="36"/>
      <c r="H328" s="39" t="str">
        <f aca="false">IF(F328="","",IF(G328="Standard 5%",F328*VAT_RATE,0))</f>
        <v/>
      </c>
      <c r="I328" s="39" t="str">
        <f aca="false">IF(F328="","",F328+H328)</f>
        <v/>
      </c>
      <c r="J328" s="36"/>
      <c r="K328" s="37"/>
      <c r="L328" s="38"/>
      <c r="M328" s="22" t="str">
        <f aca="true">IF(OR(A328="",J328="Paid",J328="Written off"),"",TODAY()-A328)</f>
        <v/>
      </c>
      <c r="N328" s="22" t="str">
        <f aca="false">IF(M328="","",IF(M328&gt;OVERDUE_DAYS,"OVERDUE",""))</f>
        <v/>
      </c>
      <c r="O328" s="40" t="str">
        <f aca="false">IF(A328="","",IF(A328&lt;FY_START,0,(YEAR(A328)-YEAR(FY_START))*12+MONTH(A328)-MONTH(FY_START)+1))</f>
        <v/>
      </c>
      <c r="P328" s="40" t="str">
        <f aca="false">IF(A328="","",IF(AND(A328&gt;=VP_START,A328&lt;=VP_END),1,0))</f>
        <v/>
      </c>
    </row>
    <row r="329" customFormat="false" ht="15" hidden="false" customHeight="false" outlineLevel="0" collapsed="false">
      <c r="A329" s="37"/>
      <c r="B329" s="36"/>
      <c r="C329" s="36"/>
      <c r="D329" s="36"/>
      <c r="E329" s="36"/>
      <c r="F329" s="38"/>
      <c r="G329" s="36"/>
      <c r="H329" s="39" t="str">
        <f aca="false">IF(F329="","",IF(G329="Standard 5%",F329*VAT_RATE,0))</f>
        <v/>
      </c>
      <c r="I329" s="39" t="str">
        <f aca="false">IF(F329="","",F329+H329)</f>
        <v/>
      </c>
      <c r="J329" s="36"/>
      <c r="K329" s="37"/>
      <c r="L329" s="38"/>
      <c r="M329" s="22" t="str">
        <f aca="true">IF(OR(A329="",J329="Paid",J329="Written off"),"",TODAY()-A329)</f>
        <v/>
      </c>
      <c r="N329" s="22" t="str">
        <f aca="false">IF(M329="","",IF(M329&gt;OVERDUE_DAYS,"OVERDUE",""))</f>
        <v/>
      </c>
      <c r="O329" s="40" t="str">
        <f aca="false">IF(A329="","",IF(A329&lt;FY_START,0,(YEAR(A329)-YEAR(FY_START))*12+MONTH(A329)-MONTH(FY_START)+1))</f>
        <v/>
      </c>
      <c r="P329" s="40" t="str">
        <f aca="false">IF(A329="","",IF(AND(A329&gt;=VP_START,A329&lt;=VP_END),1,0))</f>
        <v/>
      </c>
    </row>
    <row r="330" customFormat="false" ht="15" hidden="false" customHeight="false" outlineLevel="0" collapsed="false">
      <c r="A330" s="37"/>
      <c r="B330" s="36"/>
      <c r="C330" s="36"/>
      <c r="D330" s="36"/>
      <c r="E330" s="36"/>
      <c r="F330" s="38"/>
      <c r="G330" s="36"/>
      <c r="H330" s="39" t="str">
        <f aca="false">IF(F330="","",IF(G330="Standard 5%",F330*VAT_RATE,0))</f>
        <v/>
      </c>
      <c r="I330" s="39" t="str">
        <f aca="false">IF(F330="","",F330+H330)</f>
        <v/>
      </c>
      <c r="J330" s="36"/>
      <c r="K330" s="37"/>
      <c r="L330" s="38"/>
      <c r="M330" s="22" t="str">
        <f aca="true">IF(OR(A330="",J330="Paid",J330="Written off"),"",TODAY()-A330)</f>
        <v/>
      </c>
      <c r="N330" s="22" t="str">
        <f aca="false">IF(M330="","",IF(M330&gt;OVERDUE_DAYS,"OVERDUE",""))</f>
        <v/>
      </c>
      <c r="O330" s="40" t="str">
        <f aca="false">IF(A330="","",IF(A330&lt;FY_START,0,(YEAR(A330)-YEAR(FY_START))*12+MONTH(A330)-MONTH(FY_START)+1))</f>
        <v/>
      </c>
      <c r="P330" s="40" t="str">
        <f aca="false">IF(A330="","",IF(AND(A330&gt;=VP_START,A330&lt;=VP_END),1,0))</f>
        <v/>
      </c>
    </row>
    <row r="331" customFormat="false" ht="15" hidden="false" customHeight="false" outlineLevel="0" collapsed="false">
      <c r="A331" s="37"/>
      <c r="B331" s="36"/>
      <c r="C331" s="36"/>
      <c r="D331" s="36"/>
      <c r="E331" s="36"/>
      <c r="F331" s="38"/>
      <c r="G331" s="36"/>
      <c r="H331" s="39" t="str">
        <f aca="false">IF(F331="","",IF(G331="Standard 5%",F331*VAT_RATE,0))</f>
        <v/>
      </c>
      <c r="I331" s="39" t="str">
        <f aca="false">IF(F331="","",F331+H331)</f>
        <v/>
      </c>
      <c r="J331" s="36"/>
      <c r="K331" s="37"/>
      <c r="L331" s="38"/>
      <c r="M331" s="22" t="str">
        <f aca="true">IF(OR(A331="",J331="Paid",J331="Written off"),"",TODAY()-A331)</f>
        <v/>
      </c>
      <c r="N331" s="22" t="str">
        <f aca="false">IF(M331="","",IF(M331&gt;OVERDUE_DAYS,"OVERDUE",""))</f>
        <v/>
      </c>
      <c r="O331" s="40" t="str">
        <f aca="false">IF(A331="","",IF(A331&lt;FY_START,0,(YEAR(A331)-YEAR(FY_START))*12+MONTH(A331)-MONTH(FY_START)+1))</f>
        <v/>
      </c>
      <c r="P331" s="40" t="str">
        <f aca="false">IF(A331="","",IF(AND(A331&gt;=VP_START,A331&lt;=VP_END),1,0))</f>
        <v/>
      </c>
    </row>
    <row r="332" customFormat="false" ht="15" hidden="false" customHeight="false" outlineLevel="0" collapsed="false">
      <c r="A332" s="37"/>
      <c r="B332" s="36"/>
      <c r="C332" s="36"/>
      <c r="D332" s="36"/>
      <c r="E332" s="36"/>
      <c r="F332" s="38"/>
      <c r="G332" s="36"/>
      <c r="H332" s="39" t="str">
        <f aca="false">IF(F332="","",IF(G332="Standard 5%",F332*VAT_RATE,0))</f>
        <v/>
      </c>
      <c r="I332" s="39" t="str">
        <f aca="false">IF(F332="","",F332+H332)</f>
        <v/>
      </c>
      <c r="J332" s="36"/>
      <c r="K332" s="37"/>
      <c r="L332" s="38"/>
      <c r="M332" s="22" t="str">
        <f aca="true">IF(OR(A332="",J332="Paid",J332="Written off"),"",TODAY()-A332)</f>
        <v/>
      </c>
      <c r="N332" s="22" t="str">
        <f aca="false">IF(M332="","",IF(M332&gt;OVERDUE_DAYS,"OVERDUE",""))</f>
        <v/>
      </c>
      <c r="O332" s="40" t="str">
        <f aca="false">IF(A332="","",IF(A332&lt;FY_START,0,(YEAR(A332)-YEAR(FY_START))*12+MONTH(A332)-MONTH(FY_START)+1))</f>
        <v/>
      </c>
      <c r="P332" s="40" t="str">
        <f aca="false">IF(A332="","",IF(AND(A332&gt;=VP_START,A332&lt;=VP_END),1,0))</f>
        <v/>
      </c>
    </row>
    <row r="333" customFormat="false" ht="15" hidden="false" customHeight="false" outlineLevel="0" collapsed="false">
      <c r="A333" s="37"/>
      <c r="B333" s="36"/>
      <c r="C333" s="36"/>
      <c r="D333" s="36"/>
      <c r="E333" s="36"/>
      <c r="F333" s="38"/>
      <c r="G333" s="36"/>
      <c r="H333" s="39" t="str">
        <f aca="false">IF(F333="","",IF(G333="Standard 5%",F333*VAT_RATE,0))</f>
        <v/>
      </c>
      <c r="I333" s="39" t="str">
        <f aca="false">IF(F333="","",F333+H333)</f>
        <v/>
      </c>
      <c r="J333" s="36"/>
      <c r="K333" s="37"/>
      <c r="L333" s="38"/>
      <c r="M333" s="22" t="str">
        <f aca="true">IF(OR(A333="",J333="Paid",J333="Written off"),"",TODAY()-A333)</f>
        <v/>
      </c>
      <c r="N333" s="22" t="str">
        <f aca="false">IF(M333="","",IF(M333&gt;OVERDUE_DAYS,"OVERDUE",""))</f>
        <v/>
      </c>
      <c r="O333" s="40" t="str">
        <f aca="false">IF(A333="","",IF(A333&lt;FY_START,0,(YEAR(A333)-YEAR(FY_START))*12+MONTH(A333)-MONTH(FY_START)+1))</f>
        <v/>
      </c>
      <c r="P333" s="40" t="str">
        <f aca="false">IF(A333="","",IF(AND(A333&gt;=VP_START,A333&lt;=VP_END),1,0))</f>
        <v/>
      </c>
    </row>
    <row r="334" customFormat="false" ht="15" hidden="false" customHeight="false" outlineLevel="0" collapsed="false">
      <c r="A334" s="37"/>
      <c r="B334" s="36"/>
      <c r="C334" s="36"/>
      <c r="D334" s="36"/>
      <c r="E334" s="36"/>
      <c r="F334" s="38"/>
      <c r="G334" s="36"/>
      <c r="H334" s="39" t="str">
        <f aca="false">IF(F334="","",IF(G334="Standard 5%",F334*VAT_RATE,0))</f>
        <v/>
      </c>
      <c r="I334" s="39" t="str">
        <f aca="false">IF(F334="","",F334+H334)</f>
        <v/>
      </c>
      <c r="J334" s="36"/>
      <c r="K334" s="37"/>
      <c r="L334" s="38"/>
      <c r="M334" s="22" t="str">
        <f aca="true">IF(OR(A334="",J334="Paid",J334="Written off"),"",TODAY()-A334)</f>
        <v/>
      </c>
      <c r="N334" s="22" t="str">
        <f aca="false">IF(M334="","",IF(M334&gt;OVERDUE_DAYS,"OVERDUE",""))</f>
        <v/>
      </c>
      <c r="O334" s="40" t="str">
        <f aca="false">IF(A334="","",IF(A334&lt;FY_START,0,(YEAR(A334)-YEAR(FY_START))*12+MONTH(A334)-MONTH(FY_START)+1))</f>
        <v/>
      </c>
      <c r="P334" s="40" t="str">
        <f aca="false">IF(A334="","",IF(AND(A334&gt;=VP_START,A334&lt;=VP_END),1,0))</f>
        <v/>
      </c>
    </row>
    <row r="335" customFormat="false" ht="15" hidden="false" customHeight="false" outlineLevel="0" collapsed="false">
      <c r="A335" s="37"/>
      <c r="B335" s="36"/>
      <c r="C335" s="36"/>
      <c r="D335" s="36"/>
      <c r="E335" s="36"/>
      <c r="F335" s="38"/>
      <c r="G335" s="36"/>
      <c r="H335" s="39" t="str">
        <f aca="false">IF(F335="","",IF(G335="Standard 5%",F335*VAT_RATE,0))</f>
        <v/>
      </c>
      <c r="I335" s="39" t="str">
        <f aca="false">IF(F335="","",F335+H335)</f>
        <v/>
      </c>
      <c r="J335" s="36"/>
      <c r="K335" s="37"/>
      <c r="L335" s="38"/>
      <c r="M335" s="22" t="str">
        <f aca="true">IF(OR(A335="",J335="Paid",J335="Written off"),"",TODAY()-A335)</f>
        <v/>
      </c>
      <c r="N335" s="22" t="str">
        <f aca="false">IF(M335="","",IF(M335&gt;OVERDUE_DAYS,"OVERDUE",""))</f>
        <v/>
      </c>
      <c r="O335" s="40" t="str">
        <f aca="false">IF(A335="","",IF(A335&lt;FY_START,0,(YEAR(A335)-YEAR(FY_START))*12+MONTH(A335)-MONTH(FY_START)+1))</f>
        <v/>
      </c>
      <c r="P335" s="40" t="str">
        <f aca="false">IF(A335="","",IF(AND(A335&gt;=VP_START,A335&lt;=VP_END),1,0))</f>
        <v/>
      </c>
    </row>
    <row r="336" customFormat="false" ht="15" hidden="false" customHeight="false" outlineLevel="0" collapsed="false">
      <c r="A336" s="37"/>
      <c r="B336" s="36"/>
      <c r="C336" s="36"/>
      <c r="D336" s="36"/>
      <c r="E336" s="36"/>
      <c r="F336" s="38"/>
      <c r="G336" s="36"/>
      <c r="H336" s="39" t="str">
        <f aca="false">IF(F336="","",IF(G336="Standard 5%",F336*VAT_RATE,0))</f>
        <v/>
      </c>
      <c r="I336" s="39" t="str">
        <f aca="false">IF(F336="","",F336+H336)</f>
        <v/>
      </c>
      <c r="J336" s="36"/>
      <c r="K336" s="37"/>
      <c r="L336" s="38"/>
      <c r="M336" s="22" t="str">
        <f aca="true">IF(OR(A336="",J336="Paid",J336="Written off"),"",TODAY()-A336)</f>
        <v/>
      </c>
      <c r="N336" s="22" t="str">
        <f aca="false">IF(M336="","",IF(M336&gt;OVERDUE_DAYS,"OVERDUE",""))</f>
        <v/>
      </c>
      <c r="O336" s="40" t="str">
        <f aca="false">IF(A336="","",IF(A336&lt;FY_START,0,(YEAR(A336)-YEAR(FY_START))*12+MONTH(A336)-MONTH(FY_START)+1))</f>
        <v/>
      </c>
      <c r="P336" s="40" t="str">
        <f aca="false">IF(A336="","",IF(AND(A336&gt;=VP_START,A336&lt;=VP_END),1,0))</f>
        <v/>
      </c>
    </row>
    <row r="337" customFormat="false" ht="15" hidden="false" customHeight="false" outlineLevel="0" collapsed="false">
      <c r="A337" s="37"/>
      <c r="B337" s="36"/>
      <c r="C337" s="36"/>
      <c r="D337" s="36"/>
      <c r="E337" s="36"/>
      <c r="F337" s="38"/>
      <c r="G337" s="36"/>
      <c r="H337" s="39" t="str">
        <f aca="false">IF(F337="","",IF(G337="Standard 5%",F337*VAT_RATE,0))</f>
        <v/>
      </c>
      <c r="I337" s="39" t="str">
        <f aca="false">IF(F337="","",F337+H337)</f>
        <v/>
      </c>
      <c r="J337" s="36"/>
      <c r="K337" s="37"/>
      <c r="L337" s="38"/>
      <c r="M337" s="22" t="str">
        <f aca="true">IF(OR(A337="",J337="Paid",J337="Written off"),"",TODAY()-A337)</f>
        <v/>
      </c>
      <c r="N337" s="22" t="str">
        <f aca="false">IF(M337="","",IF(M337&gt;OVERDUE_DAYS,"OVERDUE",""))</f>
        <v/>
      </c>
      <c r="O337" s="40" t="str">
        <f aca="false">IF(A337="","",IF(A337&lt;FY_START,0,(YEAR(A337)-YEAR(FY_START))*12+MONTH(A337)-MONTH(FY_START)+1))</f>
        <v/>
      </c>
      <c r="P337" s="40" t="str">
        <f aca="false">IF(A337="","",IF(AND(A337&gt;=VP_START,A337&lt;=VP_END),1,0))</f>
        <v/>
      </c>
    </row>
    <row r="338" customFormat="false" ht="15" hidden="false" customHeight="false" outlineLevel="0" collapsed="false">
      <c r="A338" s="37"/>
      <c r="B338" s="36"/>
      <c r="C338" s="36"/>
      <c r="D338" s="36"/>
      <c r="E338" s="36"/>
      <c r="F338" s="38"/>
      <c r="G338" s="36"/>
      <c r="H338" s="39" t="str">
        <f aca="false">IF(F338="","",IF(G338="Standard 5%",F338*VAT_RATE,0))</f>
        <v/>
      </c>
      <c r="I338" s="39" t="str">
        <f aca="false">IF(F338="","",F338+H338)</f>
        <v/>
      </c>
      <c r="J338" s="36"/>
      <c r="K338" s="37"/>
      <c r="L338" s="38"/>
      <c r="M338" s="22" t="str">
        <f aca="true">IF(OR(A338="",J338="Paid",J338="Written off"),"",TODAY()-A338)</f>
        <v/>
      </c>
      <c r="N338" s="22" t="str">
        <f aca="false">IF(M338="","",IF(M338&gt;OVERDUE_DAYS,"OVERDUE",""))</f>
        <v/>
      </c>
      <c r="O338" s="40" t="str">
        <f aca="false">IF(A338="","",IF(A338&lt;FY_START,0,(YEAR(A338)-YEAR(FY_START))*12+MONTH(A338)-MONTH(FY_START)+1))</f>
        <v/>
      </c>
      <c r="P338" s="40" t="str">
        <f aca="false">IF(A338="","",IF(AND(A338&gt;=VP_START,A338&lt;=VP_END),1,0))</f>
        <v/>
      </c>
    </row>
    <row r="339" customFormat="false" ht="15" hidden="false" customHeight="false" outlineLevel="0" collapsed="false">
      <c r="A339" s="37"/>
      <c r="B339" s="36"/>
      <c r="C339" s="36"/>
      <c r="D339" s="36"/>
      <c r="E339" s="36"/>
      <c r="F339" s="38"/>
      <c r="G339" s="36"/>
      <c r="H339" s="39" t="str">
        <f aca="false">IF(F339="","",IF(G339="Standard 5%",F339*VAT_RATE,0))</f>
        <v/>
      </c>
      <c r="I339" s="39" t="str">
        <f aca="false">IF(F339="","",F339+H339)</f>
        <v/>
      </c>
      <c r="J339" s="36"/>
      <c r="K339" s="37"/>
      <c r="L339" s="38"/>
      <c r="M339" s="22" t="str">
        <f aca="true">IF(OR(A339="",J339="Paid",J339="Written off"),"",TODAY()-A339)</f>
        <v/>
      </c>
      <c r="N339" s="22" t="str">
        <f aca="false">IF(M339="","",IF(M339&gt;OVERDUE_DAYS,"OVERDUE",""))</f>
        <v/>
      </c>
      <c r="O339" s="40" t="str">
        <f aca="false">IF(A339="","",IF(A339&lt;FY_START,0,(YEAR(A339)-YEAR(FY_START))*12+MONTH(A339)-MONTH(FY_START)+1))</f>
        <v/>
      </c>
      <c r="P339" s="40" t="str">
        <f aca="false">IF(A339="","",IF(AND(A339&gt;=VP_START,A339&lt;=VP_END),1,0))</f>
        <v/>
      </c>
    </row>
    <row r="340" customFormat="false" ht="15" hidden="false" customHeight="false" outlineLevel="0" collapsed="false">
      <c r="A340" s="37"/>
      <c r="B340" s="36"/>
      <c r="C340" s="36"/>
      <c r="D340" s="36"/>
      <c r="E340" s="36"/>
      <c r="F340" s="38"/>
      <c r="G340" s="36"/>
      <c r="H340" s="39" t="str">
        <f aca="false">IF(F340="","",IF(G340="Standard 5%",F340*VAT_RATE,0))</f>
        <v/>
      </c>
      <c r="I340" s="39" t="str">
        <f aca="false">IF(F340="","",F340+H340)</f>
        <v/>
      </c>
      <c r="J340" s="36"/>
      <c r="K340" s="37"/>
      <c r="L340" s="38"/>
      <c r="M340" s="22" t="str">
        <f aca="true">IF(OR(A340="",J340="Paid",J340="Written off"),"",TODAY()-A340)</f>
        <v/>
      </c>
      <c r="N340" s="22" t="str">
        <f aca="false">IF(M340="","",IF(M340&gt;OVERDUE_DAYS,"OVERDUE",""))</f>
        <v/>
      </c>
      <c r="O340" s="40" t="str">
        <f aca="false">IF(A340="","",IF(A340&lt;FY_START,0,(YEAR(A340)-YEAR(FY_START))*12+MONTH(A340)-MONTH(FY_START)+1))</f>
        <v/>
      </c>
      <c r="P340" s="40" t="str">
        <f aca="false">IF(A340="","",IF(AND(A340&gt;=VP_START,A340&lt;=VP_END),1,0))</f>
        <v/>
      </c>
    </row>
    <row r="341" customFormat="false" ht="15" hidden="false" customHeight="false" outlineLevel="0" collapsed="false">
      <c r="A341" s="37"/>
      <c r="B341" s="36"/>
      <c r="C341" s="36"/>
      <c r="D341" s="36"/>
      <c r="E341" s="36"/>
      <c r="F341" s="38"/>
      <c r="G341" s="36"/>
      <c r="H341" s="39" t="str">
        <f aca="false">IF(F341="","",IF(G341="Standard 5%",F341*VAT_RATE,0))</f>
        <v/>
      </c>
      <c r="I341" s="39" t="str">
        <f aca="false">IF(F341="","",F341+H341)</f>
        <v/>
      </c>
      <c r="J341" s="36"/>
      <c r="K341" s="37"/>
      <c r="L341" s="38"/>
      <c r="M341" s="22" t="str">
        <f aca="true">IF(OR(A341="",J341="Paid",J341="Written off"),"",TODAY()-A341)</f>
        <v/>
      </c>
      <c r="N341" s="22" t="str">
        <f aca="false">IF(M341="","",IF(M341&gt;OVERDUE_DAYS,"OVERDUE",""))</f>
        <v/>
      </c>
      <c r="O341" s="40" t="str">
        <f aca="false">IF(A341="","",IF(A341&lt;FY_START,0,(YEAR(A341)-YEAR(FY_START))*12+MONTH(A341)-MONTH(FY_START)+1))</f>
        <v/>
      </c>
      <c r="P341" s="40" t="str">
        <f aca="false">IF(A341="","",IF(AND(A341&gt;=VP_START,A341&lt;=VP_END),1,0))</f>
        <v/>
      </c>
    </row>
    <row r="342" customFormat="false" ht="15" hidden="false" customHeight="false" outlineLevel="0" collapsed="false">
      <c r="A342" s="37"/>
      <c r="B342" s="36"/>
      <c r="C342" s="36"/>
      <c r="D342" s="36"/>
      <c r="E342" s="36"/>
      <c r="F342" s="38"/>
      <c r="G342" s="36"/>
      <c r="H342" s="39" t="str">
        <f aca="false">IF(F342="","",IF(G342="Standard 5%",F342*VAT_RATE,0))</f>
        <v/>
      </c>
      <c r="I342" s="39" t="str">
        <f aca="false">IF(F342="","",F342+H342)</f>
        <v/>
      </c>
      <c r="J342" s="36"/>
      <c r="K342" s="37"/>
      <c r="L342" s="38"/>
      <c r="M342" s="22" t="str">
        <f aca="true">IF(OR(A342="",J342="Paid",J342="Written off"),"",TODAY()-A342)</f>
        <v/>
      </c>
      <c r="N342" s="22" t="str">
        <f aca="false">IF(M342="","",IF(M342&gt;OVERDUE_DAYS,"OVERDUE",""))</f>
        <v/>
      </c>
      <c r="O342" s="40" t="str">
        <f aca="false">IF(A342="","",IF(A342&lt;FY_START,0,(YEAR(A342)-YEAR(FY_START))*12+MONTH(A342)-MONTH(FY_START)+1))</f>
        <v/>
      </c>
      <c r="P342" s="40" t="str">
        <f aca="false">IF(A342="","",IF(AND(A342&gt;=VP_START,A342&lt;=VP_END),1,0))</f>
        <v/>
      </c>
    </row>
    <row r="343" customFormat="false" ht="15" hidden="false" customHeight="false" outlineLevel="0" collapsed="false">
      <c r="A343" s="37"/>
      <c r="B343" s="36"/>
      <c r="C343" s="36"/>
      <c r="D343" s="36"/>
      <c r="E343" s="36"/>
      <c r="F343" s="38"/>
      <c r="G343" s="36"/>
      <c r="H343" s="39" t="str">
        <f aca="false">IF(F343="","",IF(G343="Standard 5%",F343*VAT_RATE,0))</f>
        <v/>
      </c>
      <c r="I343" s="39" t="str">
        <f aca="false">IF(F343="","",F343+H343)</f>
        <v/>
      </c>
      <c r="J343" s="36"/>
      <c r="K343" s="37"/>
      <c r="L343" s="38"/>
      <c r="M343" s="22" t="str">
        <f aca="true">IF(OR(A343="",J343="Paid",J343="Written off"),"",TODAY()-A343)</f>
        <v/>
      </c>
      <c r="N343" s="22" t="str">
        <f aca="false">IF(M343="","",IF(M343&gt;OVERDUE_DAYS,"OVERDUE",""))</f>
        <v/>
      </c>
      <c r="O343" s="40" t="str">
        <f aca="false">IF(A343="","",IF(A343&lt;FY_START,0,(YEAR(A343)-YEAR(FY_START))*12+MONTH(A343)-MONTH(FY_START)+1))</f>
        <v/>
      </c>
      <c r="P343" s="40" t="str">
        <f aca="false">IF(A343="","",IF(AND(A343&gt;=VP_START,A343&lt;=VP_END),1,0))</f>
        <v/>
      </c>
    </row>
    <row r="344" customFormat="false" ht="15" hidden="false" customHeight="false" outlineLevel="0" collapsed="false">
      <c r="A344" s="37"/>
      <c r="B344" s="36"/>
      <c r="C344" s="36"/>
      <c r="D344" s="36"/>
      <c r="E344" s="36"/>
      <c r="F344" s="38"/>
      <c r="G344" s="36"/>
      <c r="H344" s="39" t="str">
        <f aca="false">IF(F344="","",IF(G344="Standard 5%",F344*VAT_RATE,0))</f>
        <v/>
      </c>
      <c r="I344" s="39" t="str">
        <f aca="false">IF(F344="","",F344+H344)</f>
        <v/>
      </c>
      <c r="J344" s="36"/>
      <c r="K344" s="37"/>
      <c r="L344" s="38"/>
      <c r="M344" s="22" t="str">
        <f aca="true">IF(OR(A344="",J344="Paid",J344="Written off"),"",TODAY()-A344)</f>
        <v/>
      </c>
      <c r="N344" s="22" t="str">
        <f aca="false">IF(M344="","",IF(M344&gt;OVERDUE_DAYS,"OVERDUE",""))</f>
        <v/>
      </c>
      <c r="O344" s="40" t="str">
        <f aca="false">IF(A344="","",IF(A344&lt;FY_START,0,(YEAR(A344)-YEAR(FY_START))*12+MONTH(A344)-MONTH(FY_START)+1))</f>
        <v/>
      </c>
      <c r="P344" s="40" t="str">
        <f aca="false">IF(A344="","",IF(AND(A344&gt;=VP_START,A344&lt;=VP_END),1,0))</f>
        <v/>
      </c>
    </row>
    <row r="345" customFormat="false" ht="15" hidden="false" customHeight="false" outlineLevel="0" collapsed="false">
      <c r="A345" s="37"/>
      <c r="B345" s="36"/>
      <c r="C345" s="36"/>
      <c r="D345" s="36"/>
      <c r="E345" s="36"/>
      <c r="F345" s="38"/>
      <c r="G345" s="36"/>
      <c r="H345" s="39" t="str">
        <f aca="false">IF(F345="","",IF(G345="Standard 5%",F345*VAT_RATE,0))</f>
        <v/>
      </c>
      <c r="I345" s="39" t="str">
        <f aca="false">IF(F345="","",F345+H345)</f>
        <v/>
      </c>
      <c r="J345" s="36"/>
      <c r="K345" s="37"/>
      <c r="L345" s="38"/>
      <c r="M345" s="22" t="str">
        <f aca="true">IF(OR(A345="",J345="Paid",J345="Written off"),"",TODAY()-A345)</f>
        <v/>
      </c>
      <c r="N345" s="22" t="str">
        <f aca="false">IF(M345="","",IF(M345&gt;OVERDUE_DAYS,"OVERDUE",""))</f>
        <v/>
      </c>
      <c r="O345" s="40" t="str">
        <f aca="false">IF(A345="","",IF(A345&lt;FY_START,0,(YEAR(A345)-YEAR(FY_START))*12+MONTH(A345)-MONTH(FY_START)+1))</f>
        <v/>
      </c>
      <c r="P345" s="40" t="str">
        <f aca="false">IF(A345="","",IF(AND(A345&gt;=VP_START,A345&lt;=VP_END),1,0))</f>
        <v/>
      </c>
    </row>
    <row r="346" customFormat="false" ht="15" hidden="false" customHeight="false" outlineLevel="0" collapsed="false">
      <c r="A346" s="37"/>
      <c r="B346" s="36"/>
      <c r="C346" s="36"/>
      <c r="D346" s="36"/>
      <c r="E346" s="36"/>
      <c r="F346" s="38"/>
      <c r="G346" s="36"/>
      <c r="H346" s="39" t="str">
        <f aca="false">IF(F346="","",IF(G346="Standard 5%",F346*VAT_RATE,0))</f>
        <v/>
      </c>
      <c r="I346" s="39" t="str">
        <f aca="false">IF(F346="","",F346+H346)</f>
        <v/>
      </c>
      <c r="J346" s="36"/>
      <c r="K346" s="37"/>
      <c r="L346" s="38"/>
      <c r="M346" s="22" t="str">
        <f aca="true">IF(OR(A346="",J346="Paid",J346="Written off"),"",TODAY()-A346)</f>
        <v/>
      </c>
      <c r="N346" s="22" t="str">
        <f aca="false">IF(M346="","",IF(M346&gt;OVERDUE_DAYS,"OVERDUE",""))</f>
        <v/>
      </c>
      <c r="O346" s="40" t="str">
        <f aca="false">IF(A346="","",IF(A346&lt;FY_START,0,(YEAR(A346)-YEAR(FY_START))*12+MONTH(A346)-MONTH(FY_START)+1))</f>
        <v/>
      </c>
      <c r="P346" s="40" t="str">
        <f aca="false">IF(A346="","",IF(AND(A346&gt;=VP_START,A346&lt;=VP_END),1,0))</f>
        <v/>
      </c>
    </row>
    <row r="347" customFormat="false" ht="15" hidden="false" customHeight="false" outlineLevel="0" collapsed="false">
      <c r="A347" s="37"/>
      <c r="B347" s="36"/>
      <c r="C347" s="36"/>
      <c r="D347" s="36"/>
      <c r="E347" s="36"/>
      <c r="F347" s="38"/>
      <c r="G347" s="36"/>
      <c r="H347" s="39" t="str">
        <f aca="false">IF(F347="","",IF(G347="Standard 5%",F347*VAT_RATE,0))</f>
        <v/>
      </c>
      <c r="I347" s="39" t="str">
        <f aca="false">IF(F347="","",F347+H347)</f>
        <v/>
      </c>
      <c r="J347" s="36"/>
      <c r="K347" s="37"/>
      <c r="L347" s="38"/>
      <c r="M347" s="22" t="str">
        <f aca="true">IF(OR(A347="",J347="Paid",J347="Written off"),"",TODAY()-A347)</f>
        <v/>
      </c>
      <c r="N347" s="22" t="str">
        <f aca="false">IF(M347="","",IF(M347&gt;OVERDUE_DAYS,"OVERDUE",""))</f>
        <v/>
      </c>
      <c r="O347" s="40" t="str">
        <f aca="false">IF(A347="","",IF(A347&lt;FY_START,0,(YEAR(A347)-YEAR(FY_START))*12+MONTH(A347)-MONTH(FY_START)+1))</f>
        <v/>
      </c>
      <c r="P347" s="40" t="str">
        <f aca="false">IF(A347="","",IF(AND(A347&gt;=VP_START,A347&lt;=VP_END),1,0))</f>
        <v/>
      </c>
    </row>
    <row r="348" customFormat="false" ht="15" hidden="false" customHeight="false" outlineLevel="0" collapsed="false">
      <c r="A348" s="37"/>
      <c r="B348" s="36"/>
      <c r="C348" s="36"/>
      <c r="D348" s="36"/>
      <c r="E348" s="36"/>
      <c r="F348" s="38"/>
      <c r="G348" s="36"/>
      <c r="H348" s="39" t="str">
        <f aca="false">IF(F348="","",IF(G348="Standard 5%",F348*VAT_RATE,0))</f>
        <v/>
      </c>
      <c r="I348" s="39" t="str">
        <f aca="false">IF(F348="","",F348+H348)</f>
        <v/>
      </c>
      <c r="J348" s="36"/>
      <c r="K348" s="37"/>
      <c r="L348" s="38"/>
      <c r="M348" s="22" t="str">
        <f aca="true">IF(OR(A348="",J348="Paid",J348="Written off"),"",TODAY()-A348)</f>
        <v/>
      </c>
      <c r="N348" s="22" t="str">
        <f aca="false">IF(M348="","",IF(M348&gt;OVERDUE_DAYS,"OVERDUE",""))</f>
        <v/>
      </c>
      <c r="O348" s="40" t="str">
        <f aca="false">IF(A348="","",IF(A348&lt;FY_START,0,(YEAR(A348)-YEAR(FY_START))*12+MONTH(A348)-MONTH(FY_START)+1))</f>
        <v/>
      </c>
      <c r="P348" s="40" t="str">
        <f aca="false">IF(A348="","",IF(AND(A348&gt;=VP_START,A348&lt;=VP_END),1,0))</f>
        <v/>
      </c>
    </row>
    <row r="349" customFormat="false" ht="15" hidden="false" customHeight="false" outlineLevel="0" collapsed="false">
      <c r="A349" s="37"/>
      <c r="B349" s="36"/>
      <c r="C349" s="36"/>
      <c r="D349" s="36"/>
      <c r="E349" s="36"/>
      <c r="F349" s="38"/>
      <c r="G349" s="36"/>
      <c r="H349" s="39" t="str">
        <f aca="false">IF(F349="","",IF(G349="Standard 5%",F349*VAT_RATE,0))</f>
        <v/>
      </c>
      <c r="I349" s="39" t="str">
        <f aca="false">IF(F349="","",F349+H349)</f>
        <v/>
      </c>
      <c r="J349" s="36"/>
      <c r="K349" s="37"/>
      <c r="L349" s="38"/>
      <c r="M349" s="22" t="str">
        <f aca="true">IF(OR(A349="",J349="Paid",J349="Written off"),"",TODAY()-A349)</f>
        <v/>
      </c>
      <c r="N349" s="22" t="str">
        <f aca="false">IF(M349="","",IF(M349&gt;OVERDUE_DAYS,"OVERDUE",""))</f>
        <v/>
      </c>
      <c r="O349" s="40" t="str">
        <f aca="false">IF(A349="","",IF(A349&lt;FY_START,0,(YEAR(A349)-YEAR(FY_START))*12+MONTH(A349)-MONTH(FY_START)+1))</f>
        <v/>
      </c>
      <c r="P349" s="40" t="str">
        <f aca="false">IF(A349="","",IF(AND(A349&gt;=VP_START,A349&lt;=VP_END),1,0))</f>
        <v/>
      </c>
    </row>
    <row r="350" customFormat="false" ht="15" hidden="false" customHeight="false" outlineLevel="0" collapsed="false">
      <c r="A350" s="37"/>
      <c r="B350" s="36"/>
      <c r="C350" s="36"/>
      <c r="D350" s="36"/>
      <c r="E350" s="36"/>
      <c r="F350" s="38"/>
      <c r="G350" s="36"/>
      <c r="H350" s="39" t="str">
        <f aca="false">IF(F350="","",IF(G350="Standard 5%",F350*VAT_RATE,0))</f>
        <v/>
      </c>
      <c r="I350" s="39" t="str">
        <f aca="false">IF(F350="","",F350+H350)</f>
        <v/>
      </c>
      <c r="J350" s="36"/>
      <c r="K350" s="37"/>
      <c r="L350" s="38"/>
      <c r="M350" s="22" t="str">
        <f aca="true">IF(OR(A350="",J350="Paid",J350="Written off"),"",TODAY()-A350)</f>
        <v/>
      </c>
      <c r="N350" s="22" t="str">
        <f aca="false">IF(M350="","",IF(M350&gt;OVERDUE_DAYS,"OVERDUE",""))</f>
        <v/>
      </c>
      <c r="O350" s="40" t="str">
        <f aca="false">IF(A350="","",IF(A350&lt;FY_START,0,(YEAR(A350)-YEAR(FY_START))*12+MONTH(A350)-MONTH(FY_START)+1))</f>
        <v/>
      </c>
      <c r="P350" s="40" t="str">
        <f aca="false">IF(A350="","",IF(AND(A350&gt;=VP_START,A350&lt;=VP_END),1,0))</f>
        <v/>
      </c>
    </row>
    <row r="351" customFormat="false" ht="15" hidden="false" customHeight="false" outlineLevel="0" collapsed="false">
      <c r="A351" s="37"/>
      <c r="B351" s="36"/>
      <c r="C351" s="36"/>
      <c r="D351" s="36"/>
      <c r="E351" s="36"/>
      <c r="F351" s="38"/>
      <c r="G351" s="36"/>
      <c r="H351" s="39" t="str">
        <f aca="false">IF(F351="","",IF(G351="Standard 5%",F351*VAT_RATE,0))</f>
        <v/>
      </c>
      <c r="I351" s="39" t="str">
        <f aca="false">IF(F351="","",F351+H351)</f>
        <v/>
      </c>
      <c r="J351" s="36"/>
      <c r="K351" s="37"/>
      <c r="L351" s="38"/>
      <c r="M351" s="22" t="str">
        <f aca="true">IF(OR(A351="",J351="Paid",J351="Written off"),"",TODAY()-A351)</f>
        <v/>
      </c>
      <c r="N351" s="22" t="str">
        <f aca="false">IF(M351="","",IF(M351&gt;OVERDUE_DAYS,"OVERDUE",""))</f>
        <v/>
      </c>
      <c r="O351" s="40" t="str">
        <f aca="false">IF(A351="","",IF(A351&lt;FY_START,0,(YEAR(A351)-YEAR(FY_START))*12+MONTH(A351)-MONTH(FY_START)+1))</f>
        <v/>
      </c>
      <c r="P351" s="40" t="str">
        <f aca="false">IF(A351="","",IF(AND(A351&gt;=VP_START,A351&lt;=VP_END),1,0))</f>
        <v/>
      </c>
    </row>
    <row r="352" customFormat="false" ht="15" hidden="false" customHeight="false" outlineLevel="0" collapsed="false">
      <c r="A352" s="37"/>
      <c r="B352" s="36"/>
      <c r="C352" s="36"/>
      <c r="D352" s="36"/>
      <c r="E352" s="36"/>
      <c r="F352" s="38"/>
      <c r="G352" s="36"/>
      <c r="H352" s="39" t="str">
        <f aca="false">IF(F352="","",IF(G352="Standard 5%",F352*VAT_RATE,0))</f>
        <v/>
      </c>
      <c r="I352" s="39" t="str">
        <f aca="false">IF(F352="","",F352+H352)</f>
        <v/>
      </c>
      <c r="J352" s="36"/>
      <c r="K352" s="37"/>
      <c r="L352" s="38"/>
      <c r="M352" s="22" t="str">
        <f aca="true">IF(OR(A352="",J352="Paid",J352="Written off"),"",TODAY()-A352)</f>
        <v/>
      </c>
      <c r="N352" s="22" t="str">
        <f aca="false">IF(M352="","",IF(M352&gt;OVERDUE_DAYS,"OVERDUE",""))</f>
        <v/>
      </c>
      <c r="O352" s="40" t="str">
        <f aca="false">IF(A352="","",IF(A352&lt;FY_START,0,(YEAR(A352)-YEAR(FY_START))*12+MONTH(A352)-MONTH(FY_START)+1))</f>
        <v/>
      </c>
      <c r="P352" s="40" t="str">
        <f aca="false">IF(A352="","",IF(AND(A352&gt;=VP_START,A352&lt;=VP_END),1,0))</f>
        <v/>
      </c>
    </row>
    <row r="353" customFormat="false" ht="15" hidden="false" customHeight="false" outlineLevel="0" collapsed="false">
      <c r="A353" s="37"/>
      <c r="B353" s="36"/>
      <c r="C353" s="36"/>
      <c r="D353" s="36"/>
      <c r="E353" s="36"/>
      <c r="F353" s="38"/>
      <c r="G353" s="36"/>
      <c r="H353" s="39" t="str">
        <f aca="false">IF(F353="","",IF(G353="Standard 5%",F353*VAT_RATE,0))</f>
        <v/>
      </c>
      <c r="I353" s="39" t="str">
        <f aca="false">IF(F353="","",F353+H353)</f>
        <v/>
      </c>
      <c r="J353" s="36"/>
      <c r="K353" s="37"/>
      <c r="L353" s="38"/>
      <c r="M353" s="22" t="str">
        <f aca="true">IF(OR(A353="",J353="Paid",J353="Written off"),"",TODAY()-A353)</f>
        <v/>
      </c>
      <c r="N353" s="22" t="str">
        <f aca="false">IF(M353="","",IF(M353&gt;OVERDUE_DAYS,"OVERDUE",""))</f>
        <v/>
      </c>
      <c r="O353" s="40" t="str">
        <f aca="false">IF(A353="","",IF(A353&lt;FY_START,0,(YEAR(A353)-YEAR(FY_START))*12+MONTH(A353)-MONTH(FY_START)+1))</f>
        <v/>
      </c>
      <c r="P353" s="40" t="str">
        <f aca="false">IF(A353="","",IF(AND(A353&gt;=VP_START,A353&lt;=VP_END),1,0))</f>
        <v/>
      </c>
    </row>
    <row r="354" customFormat="false" ht="15" hidden="false" customHeight="false" outlineLevel="0" collapsed="false">
      <c r="A354" s="37"/>
      <c r="B354" s="36"/>
      <c r="C354" s="36"/>
      <c r="D354" s="36"/>
      <c r="E354" s="36"/>
      <c r="F354" s="38"/>
      <c r="G354" s="36"/>
      <c r="H354" s="39" t="str">
        <f aca="false">IF(F354="","",IF(G354="Standard 5%",F354*VAT_RATE,0))</f>
        <v/>
      </c>
      <c r="I354" s="39" t="str">
        <f aca="false">IF(F354="","",F354+H354)</f>
        <v/>
      </c>
      <c r="J354" s="36"/>
      <c r="K354" s="37"/>
      <c r="L354" s="38"/>
      <c r="M354" s="22" t="str">
        <f aca="true">IF(OR(A354="",J354="Paid",J354="Written off"),"",TODAY()-A354)</f>
        <v/>
      </c>
      <c r="N354" s="22" t="str">
        <f aca="false">IF(M354="","",IF(M354&gt;OVERDUE_DAYS,"OVERDUE",""))</f>
        <v/>
      </c>
      <c r="O354" s="40" t="str">
        <f aca="false">IF(A354="","",IF(A354&lt;FY_START,0,(YEAR(A354)-YEAR(FY_START))*12+MONTH(A354)-MONTH(FY_START)+1))</f>
        <v/>
      </c>
      <c r="P354" s="40" t="str">
        <f aca="false">IF(A354="","",IF(AND(A354&gt;=VP_START,A354&lt;=VP_END),1,0))</f>
        <v/>
      </c>
    </row>
    <row r="355" customFormat="false" ht="15" hidden="false" customHeight="false" outlineLevel="0" collapsed="false">
      <c r="A355" s="37"/>
      <c r="B355" s="36"/>
      <c r="C355" s="36"/>
      <c r="D355" s="36"/>
      <c r="E355" s="36"/>
      <c r="F355" s="38"/>
      <c r="G355" s="36"/>
      <c r="H355" s="39" t="str">
        <f aca="false">IF(F355="","",IF(G355="Standard 5%",F355*VAT_RATE,0))</f>
        <v/>
      </c>
      <c r="I355" s="39" t="str">
        <f aca="false">IF(F355="","",F355+H355)</f>
        <v/>
      </c>
      <c r="J355" s="36"/>
      <c r="K355" s="37"/>
      <c r="L355" s="38"/>
      <c r="M355" s="22" t="str">
        <f aca="true">IF(OR(A355="",J355="Paid",J355="Written off"),"",TODAY()-A355)</f>
        <v/>
      </c>
      <c r="N355" s="22" t="str">
        <f aca="false">IF(M355="","",IF(M355&gt;OVERDUE_DAYS,"OVERDUE",""))</f>
        <v/>
      </c>
      <c r="O355" s="40" t="str">
        <f aca="false">IF(A355="","",IF(A355&lt;FY_START,0,(YEAR(A355)-YEAR(FY_START))*12+MONTH(A355)-MONTH(FY_START)+1))</f>
        <v/>
      </c>
      <c r="P355" s="40" t="str">
        <f aca="false">IF(A355="","",IF(AND(A355&gt;=VP_START,A355&lt;=VP_END),1,0))</f>
        <v/>
      </c>
    </row>
    <row r="356" customFormat="false" ht="15" hidden="false" customHeight="false" outlineLevel="0" collapsed="false">
      <c r="A356" s="37"/>
      <c r="B356" s="36"/>
      <c r="C356" s="36"/>
      <c r="D356" s="36"/>
      <c r="E356" s="36"/>
      <c r="F356" s="38"/>
      <c r="G356" s="36"/>
      <c r="H356" s="39" t="str">
        <f aca="false">IF(F356="","",IF(G356="Standard 5%",F356*VAT_RATE,0))</f>
        <v/>
      </c>
      <c r="I356" s="39" t="str">
        <f aca="false">IF(F356="","",F356+H356)</f>
        <v/>
      </c>
      <c r="J356" s="36"/>
      <c r="K356" s="37"/>
      <c r="L356" s="38"/>
      <c r="M356" s="22" t="str">
        <f aca="true">IF(OR(A356="",J356="Paid",J356="Written off"),"",TODAY()-A356)</f>
        <v/>
      </c>
      <c r="N356" s="22" t="str">
        <f aca="false">IF(M356="","",IF(M356&gt;OVERDUE_DAYS,"OVERDUE",""))</f>
        <v/>
      </c>
      <c r="O356" s="40" t="str">
        <f aca="false">IF(A356="","",IF(A356&lt;FY_START,0,(YEAR(A356)-YEAR(FY_START))*12+MONTH(A356)-MONTH(FY_START)+1))</f>
        <v/>
      </c>
      <c r="P356" s="40" t="str">
        <f aca="false">IF(A356="","",IF(AND(A356&gt;=VP_START,A356&lt;=VP_END),1,0))</f>
        <v/>
      </c>
    </row>
    <row r="357" customFormat="false" ht="15" hidden="false" customHeight="false" outlineLevel="0" collapsed="false">
      <c r="A357" s="37"/>
      <c r="B357" s="36"/>
      <c r="C357" s="36"/>
      <c r="D357" s="36"/>
      <c r="E357" s="36"/>
      <c r="F357" s="38"/>
      <c r="G357" s="36"/>
      <c r="H357" s="39" t="str">
        <f aca="false">IF(F357="","",IF(G357="Standard 5%",F357*VAT_RATE,0))</f>
        <v/>
      </c>
      <c r="I357" s="39" t="str">
        <f aca="false">IF(F357="","",F357+H357)</f>
        <v/>
      </c>
      <c r="J357" s="36"/>
      <c r="K357" s="37"/>
      <c r="L357" s="38"/>
      <c r="M357" s="22" t="str">
        <f aca="true">IF(OR(A357="",J357="Paid",J357="Written off"),"",TODAY()-A357)</f>
        <v/>
      </c>
      <c r="N357" s="22" t="str">
        <f aca="false">IF(M357="","",IF(M357&gt;OVERDUE_DAYS,"OVERDUE",""))</f>
        <v/>
      </c>
      <c r="O357" s="40" t="str">
        <f aca="false">IF(A357="","",IF(A357&lt;FY_START,0,(YEAR(A357)-YEAR(FY_START))*12+MONTH(A357)-MONTH(FY_START)+1))</f>
        <v/>
      </c>
      <c r="P357" s="40" t="str">
        <f aca="false">IF(A357="","",IF(AND(A357&gt;=VP_START,A357&lt;=VP_END),1,0))</f>
        <v/>
      </c>
    </row>
    <row r="358" customFormat="false" ht="15" hidden="false" customHeight="false" outlineLevel="0" collapsed="false">
      <c r="A358" s="37"/>
      <c r="B358" s="36"/>
      <c r="C358" s="36"/>
      <c r="D358" s="36"/>
      <c r="E358" s="36"/>
      <c r="F358" s="38"/>
      <c r="G358" s="36"/>
      <c r="H358" s="39" t="str">
        <f aca="false">IF(F358="","",IF(G358="Standard 5%",F358*VAT_RATE,0))</f>
        <v/>
      </c>
      <c r="I358" s="39" t="str">
        <f aca="false">IF(F358="","",F358+H358)</f>
        <v/>
      </c>
      <c r="J358" s="36"/>
      <c r="K358" s="37"/>
      <c r="L358" s="38"/>
      <c r="M358" s="22" t="str">
        <f aca="true">IF(OR(A358="",J358="Paid",J358="Written off"),"",TODAY()-A358)</f>
        <v/>
      </c>
      <c r="N358" s="22" t="str">
        <f aca="false">IF(M358="","",IF(M358&gt;OVERDUE_DAYS,"OVERDUE",""))</f>
        <v/>
      </c>
      <c r="O358" s="40" t="str">
        <f aca="false">IF(A358="","",IF(A358&lt;FY_START,0,(YEAR(A358)-YEAR(FY_START))*12+MONTH(A358)-MONTH(FY_START)+1))</f>
        <v/>
      </c>
      <c r="P358" s="40" t="str">
        <f aca="false">IF(A358="","",IF(AND(A358&gt;=VP_START,A358&lt;=VP_END),1,0))</f>
        <v/>
      </c>
    </row>
    <row r="359" customFormat="false" ht="15" hidden="false" customHeight="false" outlineLevel="0" collapsed="false">
      <c r="A359" s="37"/>
      <c r="B359" s="36"/>
      <c r="C359" s="36"/>
      <c r="D359" s="36"/>
      <c r="E359" s="36"/>
      <c r="F359" s="38"/>
      <c r="G359" s="36"/>
      <c r="H359" s="39" t="str">
        <f aca="false">IF(F359="","",IF(G359="Standard 5%",F359*VAT_RATE,0))</f>
        <v/>
      </c>
      <c r="I359" s="39" t="str">
        <f aca="false">IF(F359="","",F359+H359)</f>
        <v/>
      </c>
      <c r="J359" s="36"/>
      <c r="K359" s="37"/>
      <c r="L359" s="38"/>
      <c r="M359" s="22" t="str">
        <f aca="true">IF(OR(A359="",J359="Paid",J359="Written off"),"",TODAY()-A359)</f>
        <v/>
      </c>
      <c r="N359" s="22" t="str">
        <f aca="false">IF(M359="","",IF(M359&gt;OVERDUE_DAYS,"OVERDUE",""))</f>
        <v/>
      </c>
      <c r="O359" s="40" t="str">
        <f aca="false">IF(A359="","",IF(A359&lt;FY_START,0,(YEAR(A359)-YEAR(FY_START))*12+MONTH(A359)-MONTH(FY_START)+1))</f>
        <v/>
      </c>
      <c r="P359" s="40" t="str">
        <f aca="false">IF(A359="","",IF(AND(A359&gt;=VP_START,A359&lt;=VP_END),1,0))</f>
        <v/>
      </c>
    </row>
    <row r="360" customFormat="false" ht="15" hidden="false" customHeight="false" outlineLevel="0" collapsed="false">
      <c r="A360" s="37"/>
      <c r="B360" s="36"/>
      <c r="C360" s="36"/>
      <c r="D360" s="36"/>
      <c r="E360" s="36"/>
      <c r="F360" s="38"/>
      <c r="G360" s="36"/>
      <c r="H360" s="39" t="str">
        <f aca="false">IF(F360="","",IF(G360="Standard 5%",F360*VAT_RATE,0))</f>
        <v/>
      </c>
      <c r="I360" s="39" t="str">
        <f aca="false">IF(F360="","",F360+H360)</f>
        <v/>
      </c>
      <c r="J360" s="36"/>
      <c r="K360" s="37"/>
      <c r="L360" s="38"/>
      <c r="M360" s="22" t="str">
        <f aca="true">IF(OR(A360="",J360="Paid",J360="Written off"),"",TODAY()-A360)</f>
        <v/>
      </c>
      <c r="N360" s="22" t="str">
        <f aca="false">IF(M360="","",IF(M360&gt;OVERDUE_DAYS,"OVERDUE",""))</f>
        <v/>
      </c>
      <c r="O360" s="40" t="str">
        <f aca="false">IF(A360="","",IF(A360&lt;FY_START,0,(YEAR(A360)-YEAR(FY_START))*12+MONTH(A360)-MONTH(FY_START)+1))</f>
        <v/>
      </c>
      <c r="P360" s="40" t="str">
        <f aca="false">IF(A360="","",IF(AND(A360&gt;=VP_START,A360&lt;=VP_END),1,0))</f>
        <v/>
      </c>
    </row>
    <row r="361" customFormat="false" ht="15" hidden="false" customHeight="false" outlineLevel="0" collapsed="false">
      <c r="A361" s="37"/>
      <c r="B361" s="36"/>
      <c r="C361" s="36"/>
      <c r="D361" s="36"/>
      <c r="E361" s="36"/>
      <c r="F361" s="38"/>
      <c r="G361" s="36"/>
      <c r="H361" s="39" t="str">
        <f aca="false">IF(F361="","",IF(G361="Standard 5%",F361*VAT_RATE,0))</f>
        <v/>
      </c>
      <c r="I361" s="39" t="str">
        <f aca="false">IF(F361="","",F361+H361)</f>
        <v/>
      </c>
      <c r="J361" s="36"/>
      <c r="K361" s="37"/>
      <c r="L361" s="38"/>
      <c r="M361" s="22" t="str">
        <f aca="true">IF(OR(A361="",J361="Paid",J361="Written off"),"",TODAY()-A361)</f>
        <v/>
      </c>
      <c r="N361" s="22" t="str">
        <f aca="false">IF(M361="","",IF(M361&gt;OVERDUE_DAYS,"OVERDUE",""))</f>
        <v/>
      </c>
      <c r="O361" s="40" t="str">
        <f aca="false">IF(A361="","",IF(A361&lt;FY_START,0,(YEAR(A361)-YEAR(FY_START))*12+MONTH(A361)-MONTH(FY_START)+1))</f>
        <v/>
      </c>
      <c r="P361" s="40" t="str">
        <f aca="false">IF(A361="","",IF(AND(A361&gt;=VP_START,A361&lt;=VP_END),1,0))</f>
        <v/>
      </c>
    </row>
    <row r="362" customFormat="false" ht="15" hidden="false" customHeight="false" outlineLevel="0" collapsed="false">
      <c r="A362" s="37"/>
      <c r="B362" s="36"/>
      <c r="C362" s="36"/>
      <c r="D362" s="36"/>
      <c r="E362" s="36"/>
      <c r="F362" s="38"/>
      <c r="G362" s="36"/>
      <c r="H362" s="39" t="str">
        <f aca="false">IF(F362="","",IF(G362="Standard 5%",F362*VAT_RATE,0))</f>
        <v/>
      </c>
      <c r="I362" s="39" t="str">
        <f aca="false">IF(F362="","",F362+H362)</f>
        <v/>
      </c>
      <c r="J362" s="36"/>
      <c r="K362" s="37"/>
      <c r="L362" s="38"/>
      <c r="M362" s="22" t="str">
        <f aca="true">IF(OR(A362="",J362="Paid",J362="Written off"),"",TODAY()-A362)</f>
        <v/>
      </c>
      <c r="N362" s="22" t="str">
        <f aca="false">IF(M362="","",IF(M362&gt;OVERDUE_DAYS,"OVERDUE",""))</f>
        <v/>
      </c>
      <c r="O362" s="40" t="str">
        <f aca="false">IF(A362="","",IF(A362&lt;FY_START,0,(YEAR(A362)-YEAR(FY_START))*12+MONTH(A362)-MONTH(FY_START)+1))</f>
        <v/>
      </c>
      <c r="P362" s="40" t="str">
        <f aca="false">IF(A362="","",IF(AND(A362&gt;=VP_START,A362&lt;=VP_END),1,0))</f>
        <v/>
      </c>
    </row>
    <row r="363" customFormat="false" ht="15" hidden="false" customHeight="false" outlineLevel="0" collapsed="false">
      <c r="A363" s="37"/>
      <c r="B363" s="36"/>
      <c r="C363" s="36"/>
      <c r="D363" s="36"/>
      <c r="E363" s="36"/>
      <c r="F363" s="38"/>
      <c r="G363" s="36"/>
      <c r="H363" s="39" t="str">
        <f aca="false">IF(F363="","",IF(G363="Standard 5%",F363*VAT_RATE,0))</f>
        <v/>
      </c>
      <c r="I363" s="39" t="str">
        <f aca="false">IF(F363="","",F363+H363)</f>
        <v/>
      </c>
      <c r="J363" s="36"/>
      <c r="K363" s="37"/>
      <c r="L363" s="38"/>
      <c r="M363" s="22" t="str">
        <f aca="true">IF(OR(A363="",J363="Paid",J363="Written off"),"",TODAY()-A363)</f>
        <v/>
      </c>
      <c r="N363" s="22" t="str">
        <f aca="false">IF(M363="","",IF(M363&gt;OVERDUE_DAYS,"OVERDUE",""))</f>
        <v/>
      </c>
      <c r="O363" s="40" t="str">
        <f aca="false">IF(A363="","",IF(A363&lt;FY_START,0,(YEAR(A363)-YEAR(FY_START))*12+MONTH(A363)-MONTH(FY_START)+1))</f>
        <v/>
      </c>
      <c r="P363" s="40" t="str">
        <f aca="false">IF(A363="","",IF(AND(A363&gt;=VP_START,A363&lt;=VP_END),1,0))</f>
        <v/>
      </c>
    </row>
    <row r="364" customFormat="false" ht="15" hidden="false" customHeight="false" outlineLevel="0" collapsed="false">
      <c r="A364" s="37"/>
      <c r="B364" s="36"/>
      <c r="C364" s="36"/>
      <c r="D364" s="36"/>
      <c r="E364" s="36"/>
      <c r="F364" s="38"/>
      <c r="G364" s="36"/>
      <c r="H364" s="39" t="str">
        <f aca="false">IF(F364="","",IF(G364="Standard 5%",F364*VAT_RATE,0))</f>
        <v/>
      </c>
      <c r="I364" s="39" t="str">
        <f aca="false">IF(F364="","",F364+H364)</f>
        <v/>
      </c>
      <c r="J364" s="36"/>
      <c r="K364" s="37"/>
      <c r="L364" s="38"/>
      <c r="M364" s="22" t="str">
        <f aca="true">IF(OR(A364="",J364="Paid",J364="Written off"),"",TODAY()-A364)</f>
        <v/>
      </c>
      <c r="N364" s="22" t="str">
        <f aca="false">IF(M364="","",IF(M364&gt;OVERDUE_DAYS,"OVERDUE",""))</f>
        <v/>
      </c>
      <c r="O364" s="40" t="str">
        <f aca="false">IF(A364="","",IF(A364&lt;FY_START,0,(YEAR(A364)-YEAR(FY_START))*12+MONTH(A364)-MONTH(FY_START)+1))</f>
        <v/>
      </c>
      <c r="P364" s="40" t="str">
        <f aca="false">IF(A364="","",IF(AND(A364&gt;=VP_START,A364&lt;=VP_END),1,0))</f>
        <v/>
      </c>
    </row>
    <row r="365" customFormat="false" ht="15" hidden="false" customHeight="false" outlineLevel="0" collapsed="false">
      <c r="A365" s="37"/>
      <c r="B365" s="36"/>
      <c r="C365" s="36"/>
      <c r="D365" s="36"/>
      <c r="E365" s="36"/>
      <c r="F365" s="38"/>
      <c r="G365" s="36"/>
      <c r="H365" s="39" t="str">
        <f aca="false">IF(F365="","",IF(G365="Standard 5%",F365*VAT_RATE,0))</f>
        <v/>
      </c>
      <c r="I365" s="39" t="str">
        <f aca="false">IF(F365="","",F365+H365)</f>
        <v/>
      </c>
      <c r="J365" s="36"/>
      <c r="K365" s="37"/>
      <c r="L365" s="38"/>
      <c r="M365" s="22" t="str">
        <f aca="true">IF(OR(A365="",J365="Paid",J365="Written off"),"",TODAY()-A365)</f>
        <v/>
      </c>
      <c r="N365" s="22" t="str">
        <f aca="false">IF(M365="","",IF(M365&gt;OVERDUE_DAYS,"OVERDUE",""))</f>
        <v/>
      </c>
      <c r="O365" s="40" t="str">
        <f aca="false">IF(A365="","",IF(A365&lt;FY_START,0,(YEAR(A365)-YEAR(FY_START))*12+MONTH(A365)-MONTH(FY_START)+1))</f>
        <v/>
      </c>
      <c r="P365" s="40" t="str">
        <f aca="false">IF(A365="","",IF(AND(A365&gt;=VP_START,A365&lt;=VP_END),1,0))</f>
        <v/>
      </c>
    </row>
    <row r="366" customFormat="false" ht="15" hidden="false" customHeight="false" outlineLevel="0" collapsed="false">
      <c r="A366" s="37"/>
      <c r="B366" s="36"/>
      <c r="C366" s="36"/>
      <c r="D366" s="36"/>
      <c r="E366" s="36"/>
      <c r="F366" s="38"/>
      <c r="G366" s="36"/>
      <c r="H366" s="39" t="str">
        <f aca="false">IF(F366="","",IF(G366="Standard 5%",F366*VAT_RATE,0))</f>
        <v/>
      </c>
      <c r="I366" s="39" t="str">
        <f aca="false">IF(F366="","",F366+H366)</f>
        <v/>
      </c>
      <c r="J366" s="36"/>
      <c r="K366" s="37"/>
      <c r="L366" s="38"/>
      <c r="M366" s="22" t="str">
        <f aca="true">IF(OR(A366="",J366="Paid",J366="Written off"),"",TODAY()-A366)</f>
        <v/>
      </c>
      <c r="N366" s="22" t="str">
        <f aca="false">IF(M366="","",IF(M366&gt;OVERDUE_DAYS,"OVERDUE",""))</f>
        <v/>
      </c>
      <c r="O366" s="40" t="str">
        <f aca="false">IF(A366="","",IF(A366&lt;FY_START,0,(YEAR(A366)-YEAR(FY_START))*12+MONTH(A366)-MONTH(FY_START)+1))</f>
        <v/>
      </c>
      <c r="P366" s="40" t="str">
        <f aca="false">IF(A366="","",IF(AND(A366&gt;=VP_START,A366&lt;=VP_END),1,0))</f>
        <v/>
      </c>
    </row>
    <row r="367" customFormat="false" ht="15" hidden="false" customHeight="false" outlineLevel="0" collapsed="false">
      <c r="A367" s="37"/>
      <c r="B367" s="36"/>
      <c r="C367" s="36"/>
      <c r="D367" s="36"/>
      <c r="E367" s="36"/>
      <c r="F367" s="38"/>
      <c r="G367" s="36"/>
      <c r="H367" s="39" t="str">
        <f aca="false">IF(F367="","",IF(G367="Standard 5%",F367*VAT_RATE,0))</f>
        <v/>
      </c>
      <c r="I367" s="39" t="str">
        <f aca="false">IF(F367="","",F367+H367)</f>
        <v/>
      </c>
      <c r="J367" s="36"/>
      <c r="K367" s="37"/>
      <c r="L367" s="38"/>
      <c r="M367" s="22" t="str">
        <f aca="true">IF(OR(A367="",J367="Paid",J367="Written off"),"",TODAY()-A367)</f>
        <v/>
      </c>
      <c r="N367" s="22" t="str">
        <f aca="false">IF(M367="","",IF(M367&gt;OVERDUE_DAYS,"OVERDUE",""))</f>
        <v/>
      </c>
      <c r="O367" s="40" t="str">
        <f aca="false">IF(A367="","",IF(A367&lt;FY_START,0,(YEAR(A367)-YEAR(FY_START))*12+MONTH(A367)-MONTH(FY_START)+1))</f>
        <v/>
      </c>
      <c r="P367" s="40" t="str">
        <f aca="false">IF(A367="","",IF(AND(A367&gt;=VP_START,A367&lt;=VP_END),1,0))</f>
        <v/>
      </c>
    </row>
    <row r="368" customFormat="false" ht="15" hidden="false" customHeight="false" outlineLevel="0" collapsed="false">
      <c r="A368" s="37"/>
      <c r="B368" s="36"/>
      <c r="C368" s="36"/>
      <c r="D368" s="36"/>
      <c r="E368" s="36"/>
      <c r="F368" s="38"/>
      <c r="G368" s="36"/>
      <c r="H368" s="39" t="str">
        <f aca="false">IF(F368="","",IF(G368="Standard 5%",F368*VAT_RATE,0))</f>
        <v/>
      </c>
      <c r="I368" s="39" t="str">
        <f aca="false">IF(F368="","",F368+H368)</f>
        <v/>
      </c>
      <c r="J368" s="36"/>
      <c r="K368" s="37"/>
      <c r="L368" s="38"/>
      <c r="M368" s="22" t="str">
        <f aca="true">IF(OR(A368="",J368="Paid",J368="Written off"),"",TODAY()-A368)</f>
        <v/>
      </c>
      <c r="N368" s="22" t="str">
        <f aca="false">IF(M368="","",IF(M368&gt;OVERDUE_DAYS,"OVERDUE",""))</f>
        <v/>
      </c>
      <c r="O368" s="40" t="str">
        <f aca="false">IF(A368="","",IF(A368&lt;FY_START,0,(YEAR(A368)-YEAR(FY_START))*12+MONTH(A368)-MONTH(FY_START)+1))</f>
        <v/>
      </c>
      <c r="P368" s="40" t="str">
        <f aca="false">IF(A368="","",IF(AND(A368&gt;=VP_START,A368&lt;=VP_END),1,0))</f>
        <v/>
      </c>
    </row>
    <row r="369" customFormat="false" ht="15" hidden="false" customHeight="false" outlineLevel="0" collapsed="false">
      <c r="A369" s="37"/>
      <c r="B369" s="36"/>
      <c r="C369" s="36"/>
      <c r="D369" s="36"/>
      <c r="E369" s="36"/>
      <c r="F369" s="38"/>
      <c r="G369" s="36"/>
      <c r="H369" s="39" t="str">
        <f aca="false">IF(F369="","",IF(G369="Standard 5%",F369*VAT_RATE,0))</f>
        <v/>
      </c>
      <c r="I369" s="39" t="str">
        <f aca="false">IF(F369="","",F369+H369)</f>
        <v/>
      </c>
      <c r="J369" s="36"/>
      <c r="K369" s="37"/>
      <c r="L369" s="38"/>
      <c r="M369" s="22" t="str">
        <f aca="true">IF(OR(A369="",J369="Paid",J369="Written off"),"",TODAY()-A369)</f>
        <v/>
      </c>
      <c r="N369" s="22" t="str">
        <f aca="false">IF(M369="","",IF(M369&gt;OVERDUE_DAYS,"OVERDUE",""))</f>
        <v/>
      </c>
      <c r="O369" s="40" t="str">
        <f aca="false">IF(A369="","",IF(A369&lt;FY_START,0,(YEAR(A369)-YEAR(FY_START))*12+MONTH(A369)-MONTH(FY_START)+1))</f>
        <v/>
      </c>
      <c r="P369" s="40" t="str">
        <f aca="false">IF(A369="","",IF(AND(A369&gt;=VP_START,A369&lt;=VP_END),1,0))</f>
        <v/>
      </c>
    </row>
    <row r="370" customFormat="false" ht="15" hidden="false" customHeight="false" outlineLevel="0" collapsed="false">
      <c r="A370" s="37"/>
      <c r="B370" s="36"/>
      <c r="C370" s="36"/>
      <c r="D370" s="36"/>
      <c r="E370" s="36"/>
      <c r="F370" s="38"/>
      <c r="G370" s="36"/>
      <c r="H370" s="39" t="str">
        <f aca="false">IF(F370="","",IF(G370="Standard 5%",F370*VAT_RATE,0))</f>
        <v/>
      </c>
      <c r="I370" s="39" t="str">
        <f aca="false">IF(F370="","",F370+H370)</f>
        <v/>
      </c>
      <c r="J370" s="36"/>
      <c r="K370" s="37"/>
      <c r="L370" s="38"/>
      <c r="M370" s="22" t="str">
        <f aca="true">IF(OR(A370="",J370="Paid",J370="Written off"),"",TODAY()-A370)</f>
        <v/>
      </c>
      <c r="N370" s="22" t="str">
        <f aca="false">IF(M370="","",IF(M370&gt;OVERDUE_DAYS,"OVERDUE",""))</f>
        <v/>
      </c>
      <c r="O370" s="40" t="str">
        <f aca="false">IF(A370="","",IF(A370&lt;FY_START,0,(YEAR(A370)-YEAR(FY_START))*12+MONTH(A370)-MONTH(FY_START)+1))</f>
        <v/>
      </c>
      <c r="P370" s="40" t="str">
        <f aca="false">IF(A370="","",IF(AND(A370&gt;=VP_START,A370&lt;=VP_END),1,0))</f>
        <v/>
      </c>
    </row>
    <row r="371" customFormat="false" ht="15" hidden="false" customHeight="false" outlineLevel="0" collapsed="false">
      <c r="A371" s="37"/>
      <c r="B371" s="36"/>
      <c r="C371" s="36"/>
      <c r="D371" s="36"/>
      <c r="E371" s="36"/>
      <c r="F371" s="38"/>
      <c r="G371" s="36"/>
      <c r="H371" s="39" t="str">
        <f aca="false">IF(F371="","",IF(G371="Standard 5%",F371*VAT_RATE,0))</f>
        <v/>
      </c>
      <c r="I371" s="39" t="str">
        <f aca="false">IF(F371="","",F371+H371)</f>
        <v/>
      </c>
      <c r="J371" s="36"/>
      <c r="K371" s="37"/>
      <c r="L371" s="38"/>
      <c r="M371" s="22" t="str">
        <f aca="true">IF(OR(A371="",J371="Paid",J371="Written off"),"",TODAY()-A371)</f>
        <v/>
      </c>
      <c r="N371" s="22" t="str">
        <f aca="false">IF(M371="","",IF(M371&gt;OVERDUE_DAYS,"OVERDUE",""))</f>
        <v/>
      </c>
      <c r="O371" s="40" t="str">
        <f aca="false">IF(A371="","",IF(A371&lt;FY_START,0,(YEAR(A371)-YEAR(FY_START))*12+MONTH(A371)-MONTH(FY_START)+1))</f>
        <v/>
      </c>
      <c r="P371" s="40" t="str">
        <f aca="false">IF(A371="","",IF(AND(A371&gt;=VP_START,A371&lt;=VP_END),1,0))</f>
        <v/>
      </c>
    </row>
    <row r="372" customFormat="false" ht="15" hidden="false" customHeight="false" outlineLevel="0" collapsed="false">
      <c r="A372" s="37"/>
      <c r="B372" s="36"/>
      <c r="C372" s="36"/>
      <c r="D372" s="36"/>
      <c r="E372" s="36"/>
      <c r="F372" s="38"/>
      <c r="G372" s="36"/>
      <c r="H372" s="39" t="str">
        <f aca="false">IF(F372="","",IF(G372="Standard 5%",F372*VAT_RATE,0))</f>
        <v/>
      </c>
      <c r="I372" s="39" t="str">
        <f aca="false">IF(F372="","",F372+H372)</f>
        <v/>
      </c>
      <c r="J372" s="36"/>
      <c r="K372" s="37"/>
      <c r="L372" s="38"/>
      <c r="M372" s="22" t="str">
        <f aca="true">IF(OR(A372="",J372="Paid",J372="Written off"),"",TODAY()-A372)</f>
        <v/>
      </c>
      <c r="N372" s="22" t="str">
        <f aca="false">IF(M372="","",IF(M372&gt;OVERDUE_DAYS,"OVERDUE",""))</f>
        <v/>
      </c>
      <c r="O372" s="40" t="str">
        <f aca="false">IF(A372="","",IF(A372&lt;FY_START,0,(YEAR(A372)-YEAR(FY_START))*12+MONTH(A372)-MONTH(FY_START)+1))</f>
        <v/>
      </c>
      <c r="P372" s="40" t="str">
        <f aca="false">IF(A372="","",IF(AND(A372&gt;=VP_START,A372&lt;=VP_END),1,0))</f>
        <v/>
      </c>
    </row>
    <row r="373" customFormat="false" ht="15" hidden="false" customHeight="false" outlineLevel="0" collapsed="false">
      <c r="A373" s="37"/>
      <c r="B373" s="36"/>
      <c r="C373" s="36"/>
      <c r="D373" s="36"/>
      <c r="E373" s="36"/>
      <c r="F373" s="38"/>
      <c r="G373" s="36"/>
      <c r="H373" s="39" t="str">
        <f aca="false">IF(F373="","",IF(G373="Standard 5%",F373*VAT_RATE,0))</f>
        <v/>
      </c>
      <c r="I373" s="39" t="str">
        <f aca="false">IF(F373="","",F373+H373)</f>
        <v/>
      </c>
      <c r="J373" s="36"/>
      <c r="K373" s="37"/>
      <c r="L373" s="38"/>
      <c r="M373" s="22" t="str">
        <f aca="true">IF(OR(A373="",J373="Paid",J373="Written off"),"",TODAY()-A373)</f>
        <v/>
      </c>
      <c r="N373" s="22" t="str">
        <f aca="false">IF(M373="","",IF(M373&gt;OVERDUE_DAYS,"OVERDUE",""))</f>
        <v/>
      </c>
      <c r="O373" s="40" t="str">
        <f aca="false">IF(A373="","",IF(A373&lt;FY_START,0,(YEAR(A373)-YEAR(FY_START))*12+MONTH(A373)-MONTH(FY_START)+1))</f>
        <v/>
      </c>
      <c r="P373" s="40" t="str">
        <f aca="false">IF(A373="","",IF(AND(A373&gt;=VP_START,A373&lt;=VP_END),1,0))</f>
        <v/>
      </c>
    </row>
    <row r="374" customFormat="false" ht="15" hidden="false" customHeight="false" outlineLevel="0" collapsed="false">
      <c r="A374" s="37"/>
      <c r="B374" s="36"/>
      <c r="C374" s="36"/>
      <c r="D374" s="36"/>
      <c r="E374" s="36"/>
      <c r="F374" s="38"/>
      <c r="G374" s="36"/>
      <c r="H374" s="39" t="str">
        <f aca="false">IF(F374="","",IF(G374="Standard 5%",F374*VAT_RATE,0))</f>
        <v/>
      </c>
      <c r="I374" s="39" t="str">
        <f aca="false">IF(F374="","",F374+H374)</f>
        <v/>
      </c>
      <c r="J374" s="36"/>
      <c r="K374" s="37"/>
      <c r="L374" s="38"/>
      <c r="M374" s="22" t="str">
        <f aca="true">IF(OR(A374="",J374="Paid",J374="Written off"),"",TODAY()-A374)</f>
        <v/>
      </c>
      <c r="N374" s="22" t="str">
        <f aca="false">IF(M374="","",IF(M374&gt;OVERDUE_DAYS,"OVERDUE",""))</f>
        <v/>
      </c>
      <c r="O374" s="40" t="str">
        <f aca="false">IF(A374="","",IF(A374&lt;FY_START,0,(YEAR(A374)-YEAR(FY_START))*12+MONTH(A374)-MONTH(FY_START)+1))</f>
        <v/>
      </c>
      <c r="P374" s="40" t="str">
        <f aca="false">IF(A374="","",IF(AND(A374&gt;=VP_START,A374&lt;=VP_END),1,0))</f>
        <v/>
      </c>
    </row>
    <row r="375" customFormat="false" ht="15" hidden="false" customHeight="false" outlineLevel="0" collapsed="false">
      <c r="A375" s="37"/>
      <c r="B375" s="36"/>
      <c r="C375" s="36"/>
      <c r="D375" s="36"/>
      <c r="E375" s="36"/>
      <c r="F375" s="38"/>
      <c r="G375" s="36"/>
      <c r="H375" s="39" t="str">
        <f aca="false">IF(F375="","",IF(G375="Standard 5%",F375*VAT_RATE,0))</f>
        <v/>
      </c>
      <c r="I375" s="39" t="str">
        <f aca="false">IF(F375="","",F375+H375)</f>
        <v/>
      </c>
      <c r="J375" s="36"/>
      <c r="K375" s="37"/>
      <c r="L375" s="38"/>
      <c r="M375" s="22" t="str">
        <f aca="true">IF(OR(A375="",J375="Paid",J375="Written off"),"",TODAY()-A375)</f>
        <v/>
      </c>
      <c r="N375" s="22" t="str">
        <f aca="false">IF(M375="","",IF(M375&gt;OVERDUE_DAYS,"OVERDUE",""))</f>
        <v/>
      </c>
      <c r="O375" s="40" t="str">
        <f aca="false">IF(A375="","",IF(A375&lt;FY_START,0,(YEAR(A375)-YEAR(FY_START))*12+MONTH(A375)-MONTH(FY_START)+1))</f>
        <v/>
      </c>
      <c r="P375" s="40" t="str">
        <f aca="false">IF(A375="","",IF(AND(A375&gt;=VP_START,A375&lt;=VP_END),1,0))</f>
        <v/>
      </c>
    </row>
    <row r="376" customFormat="false" ht="15" hidden="false" customHeight="false" outlineLevel="0" collapsed="false">
      <c r="A376" s="37"/>
      <c r="B376" s="36"/>
      <c r="C376" s="36"/>
      <c r="D376" s="36"/>
      <c r="E376" s="36"/>
      <c r="F376" s="38"/>
      <c r="G376" s="36"/>
      <c r="H376" s="39" t="str">
        <f aca="false">IF(F376="","",IF(G376="Standard 5%",F376*VAT_RATE,0))</f>
        <v/>
      </c>
      <c r="I376" s="39" t="str">
        <f aca="false">IF(F376="","",F376+H376)</f>
        <v/>
      </c>
      <c r="J376" s="36"/>
      <c r="K376" s="37"/>
      <c r="L376" s="38"/>
      <c r="M376" s="22" t="str">
        <f aca="true">IF(OR(A376="",J376="Paid",J376="Written off"),"",TODAY()-A376)</f>
        <v/>
      </c>
      <c r="N376" s="22" t="str">
        <f aca="false">IF(M376="","",IF(M376&gt;OVERDUE_DAYS,"OVERDUE",""))</f>
        <v/>
      </c>
      <c r="O376" s="40" t="str">
        <f aca="false">IF(A376="","",IF(A376&lt;FY_START,0,(YEAR(A376)-YEAR(FY_START))*12+MONTH(A376)-MONTH(FY_START)+1))</f>
        <v/>
      </c>
      <c r="P376" s="40" t="str">
        <f aca="false">IF(A376="","",IF(AND(A376&gt;=VP_START,A376&lt;=VP_END),1,0))</f>
        <v/>
      </c>
    </row>
    <row r="377" customFormat="false" ht="15" hidden="false" customHeight="false" outlineLevel="0" collapsed="false">
      <c r="A377" s="37"/>
      <c r="B377" s="36"/>
      <c r="C377" s="36"/>
      <c r="D377" s="36"/>
      <c r="E377" s="36"/>
      <c r="F377" s="38"/>
      <c r="G377" s="36"/>
      <c r="H377" s="39" t="str">
        <f aca="false">IF(F377="","",IF(G377="Standard 5%",F377*VAT_RATE,0))</f>
        <v/>
      </c>
      <c r="I377" s="39" t="str">
        <f aca="false">IF(F377="","",F377+H377)</f>
        <v/>
      </c>
      <c r="J377" s="36"/>
      <c r="K377" s="37"/>
      <c r="L377" s="38"/>
      <c r="M377" s="22" t="str">
        <f aca="true">IF(OR(A377="",J377="Paid",J377="Written off"),"",TODAY()-A377)</f>
        <v/>
      </c>
      <c r="N377" s="22" t="str">
        <f aca="false">IF(M377="","",IF(M377&gt;OVERDUE_DAYS,"OVERDUE",""))</f>
        <v/>
      </c>
      <c r="O377" s="40" t="str">
        <f aca="false">IF(A377="","",IF(A377&lt;FY_START,0,(YEAR(A377)-YEAR(FY_START))*12+MONTH(A377)-MONTH(FY_START)+1))</f>
        <v/>
      </c>
      <c r="P377" s="40" t="str">
        <f aca="false">IF(A377="","",IF(AND(A377&gt;=VP_START,A377&lt;=VP_END),1,0))</f>
        <v/>
      </c>
    </row>
    <row r="378" customFormat="false" ht="15" hidden="false" customHeight="false" outlineLevel="0" collapsed="false">
      <c r="A378" s="37"/>
      <c r="B378" s="36"/>
      <c r="C378" s="36"/>
      <c r="D378" s="36"/>
      <c r="E378" s="36"/>
      <c r="F378" s="38"/>
      <c r="G378" s="36"/>
      <c r="H378" s="39" t="str">
        <f aca="false">IF(F378="","",IF(G378="Standard 5%",F378*VAT_RATE,0))</f>
        <v/>
      </c>
      <c r="I378" s="39" t="str">
        <f aca="false">IF(F378="","",F378+H378)</f>
        <v/>
      </c>
      <c r="J378" s="36"/>
      <c r="K378" s="37"/>
      <c r="L378" s="38"/>
      <c r="M378" s="22" t="str">
        <f aca="true">IF(OR(A378="",J378="Paid",J378="Written off"),"",TODAY()-A378)</f>
        <v/>
      </c>
      <c r="N378" s="22" t="str">
        <f aca="false">IF(M378="","",IF(M378&gt;OVERDUE_DAYS,"OVERDUE",""))</f>
        <v/>
      </c>
      <c r="O378" s="40" t="str">
        <f aca="false">IF(A378="","",IF(A378&lt;FY_START,0,(YEAR(A378)-YEAR(FY_START))*12+MONTH(A378)-MONTH(FY_START)+1))</f>
        <v/>
      </c>
      <c r="P378" s="40" t="str">
        <f aca="false">IF(A378="","",IF(AND(A378&gt;=VP_START,A378&lt;=VP_END),1,0))</f>
        <v/>
      </c>
    </row>
    <row r="379" customFormat="false" ht="15" hidden="false" customHeight="false" outlineLevel="0" collapsed="false">
      <c r="A379" s="37"/>
      <c r="B379" s="36"/>
      <c r="C379" s="36"/>
      <c r="D379" s="36"/>
      <c r="E379" s="36"/>
      <c r="F379" s="38"/>
      <c r="G379" s="36"/>
      <c r="H379" s="39" t="str">
        <f aca="false">IF(F379="","",IF(G379="Standard 5%",F379*VAT_RATE,0))</f>
        <v/>
      </c>
      <c r="I379" s="39" t="str">
        <f aca="false">IF(F379="","",F379+H379)</f>
        <v/>
      </c>
      <c r="J379" s="36"/>
      <c r="K379" s="37"/>
      <c r="L379" s="38"/>
      <c r="M379" s="22" t="str">
        <f aca="true">IF(OR(A379="",J379="Paid",J379="Written off"),"",TODAY()-A379)</f>
        <v/>
      </c>
      <c r="N379" s="22" t="str">
        <f aca="false">IF(M379="","",IF(M379&gt;OVERDUE_DAYS,"OVERDUE",""))</f>
        <v/>
      </c>
      <c r="O379" s="40" t="str">
        <f aca="false">IF(A379="","",IF(A379&lt;FY_START,0,(YEAR(A379)-YEAR(FY_START))*12+MONTH(A379)-MONTH(FY_START)+1))</f>
        <v/>
      </c>
      <c r="P379" s="40" t="str">
        <f aca="false">IF(A379="","",IF(AND(A379&gt;=VP_START,A379&lt;=VP_END),1,0))</f>
        <v/>
      </c>
    </row>
    <row r="380" customFormat="false" ht="15" hidden="false" customHeight="false" outlineLevel="0" collapsed="false">
      <c r="A380" s="37"/>
      <c r="B380" s="36"/>
      <c r="C380" s="36"/>
      <c r="D380" s="36"/>
      <c r="E380" s="36"/>
      <c r="F380" s="38"/>
      <c r="G380" s="36"/>
      <c r="H380" s="39" t="str">
        <f aca="false">IF(F380="","",IF(G380="Standard 5%",F380*VAT_RATE,0))</f>
        <v/>
      </c>
      <c r="I380" s="39" t="str">
        <f aca="false">IF(F380="","",F380+H380)</f>
        <v/>
      </c>
      <c r="J380" s="36"/>
      <c r="K380" s="37"/>
      <c r="L380" s="38"/>
      <c r="M380" s="22" t="str">
        <f aca="true">IF(OR(A380="",J380="Paid",J380="Written off"),"",TODAY()-A380)</f>
        <v/>
      </c>
      <c r="N380" s="22" t="str">
        <f aca="false">IF(M380="","",IF(M380&gt;OVERDUE_DAYS,"OVERDUE",""))</f>
        <v/>
      </c>
      <c r="O380" s="40" t="str">
        <f aca="false">IF(A380="","",IF(A380&lt;FY_START,0,(YEAR(A380)-YEAR(FY_START))*12+MONTH(A380)-MONTH(FY_START)+1))</f>
        <v/>
      </c>
      <c r="P380" s="40" t="str">
        <f aca="false">IF(A380="","",IF(AND(A380&gt;=VP_START,A380&lt;=VP_END),1,0))</f>
        <v/>
      </c>
    </row>
    <row r="381" customFormat="false" ht="15" hidden="false" customHeight="false" outlineLevel="0" collapsed="false">
      <c r="A381" s="37"/>
      <c r="B381" s="36"/>
      <c r="C381" s="36"/>
      <c r="D381" s="36"/>
      <c r="E381" s="36"/>
      <c r="F381" s="38"/>
      <c r="G381" s="36"/>
      <c r="H381" s="39" t="str">
        <f aca="false">IF(F381="","",IF(G381="Standard 5%",F381*VAT_RATE,0))</f>
        <v/>
      </c>
      <c r="I381" s="39" t="str">
        <f aca="false">IF(F381="","",F381+H381)</f>
        <v/>
      </c>
      <c r="J381" s="36"/>
      <c r="K381" s="37"/>
      <c r="L381" s="38"/>
      <c r="M381" s="22" t="str">
        <f aca="true">IF(OR(A381="",J381="Paid",J381="Written off"),"",TODAY()-A381)</f>
        <v/>
      </c>
      <c r="N381" s="22" t="str">
        <f aca="false">IF(M381="","",IF(M381&gt;OVERDUE_DAYS,"OVERDUE",""))</f>
        <v/>
      </c>
      <c r="O381" s="40" t="str">
        <f aca="false">IF(A381="","",IF(A381&lt;FY_START,0,(YEAR(A381)-YEAR(FY_START))*12+MONTH(A381)-MONTH(FY_START)+1))</f>
        <v/>
      </c>
      <c r="P381" s="40" t="str">
        <f aca="false">IF(A381="","",IF(AND(A381&gt;=VP_START,A381&lt;=VP_END),1,0))</f>
        <v/>
      </c>
    </row>
    <row r="382" customFormat="false" ht="15" hidden="false" customHeight="false" outlineLevel="0" collapsed="false">
      <c r="A382" s="37"/>
      <c r="B382" s="36"/>
      <c r="C382" s="36"/>
      <c r="D382" s="36"/>
      <c r="E382" s="36"/>
      <c r="F382" s="38"/>
      <c r="G382" s="36"/>
      <c r="H382" s="39" t="str">
        <f aca="false">IF(F382="","",IF(G382="Standard 5%",F382*VAT_RATE,0))</f>
        <v/>
      </c>
      <c r="I382" s="39" t="str">
        <f aca="false">IF(F382="","",F382+H382)</f>
        <v/>
      </c>
      <c r="J382" s="36"/>
      <c r="K382" s="37"/>
      <c r="L382" s="38"/>
      <c r="M382" s="22" t="str">
        <f aca="true">IF(OR(A382="",J382="Paid",J382="Written off"),"",TODAY()-A382)</f>
        <v/>
      </c>
      <c r="N382" s="22" t="str">
        <f aca="false">IF(M382="","",IF(M382&gt;OVERDUE_DAYS,"OVERDUE",""))</f>
        <v/>
      </c>
      <c r="O382" s="40" t="str">
        <f aca="false">IF(A382="","",IF(A382&lt;FY_START,0,(YEAR(A382)-YEAR(FY_START))*12+MONTH(A382)-MONTH(FY_START)+1))</f>
        <v/>
      </c>
      <c r="P382" s="40" t="str">
        <f aca="false">IF(A382="","",IF(AND(A382&gt;=VP_START,A382&lt;=VP_END),1,0))</f>
        <v/>
      </c>
    </row>
    <row r="383" customFormat="false" ht="15" hidden="false" customHeight="false" outlineLevel="0" collapsed="false">
      <c r="A383" s="37"/>
      <c r="B383" s="36"/>
      <c r="C383" s="36"/>
      <c r="D383" s="36"/>
      <c r="E383" s="36"/>
      <c r="F383" s="38"/>
      <c r="G383" s="36"/>
      <c r="H383" s="39" t="str">
        <f aca="false">IF(F383="","",IF(G383="Standard 5%",F383*VAT_RATE,0))</f>
        <v/>
      </c>
      <c r="I383" s="39" t="str">
        <f aca="false">IF(F383="","",F383+H383)</f>
        <v/>
      </c>
      <c r="J383" s="36"/>
      <c r="K383" s="37"/>
      <c r="L383" s="38"/>
      <c r="M383" s="22" t="str">
        <f aca="true">IF(OR(A383="",J383="Paid",J383="Written off"),"",TODAY()-A383)</f>
        <v/>
      </c>
      <c r="N383" s="22" t="str">
        <f aca="false">IF(M383="","",IF(M383&gt;OVERDUE_DAYS,"OVERDUE",""))</f>
        <v/>
      </c>
      <c r="O383" s="40" t="str">
        <f aca="false">IF(A383="","",IF(A383&lt;FY_START,0,(YEAR(A383)-YEAR(FY_START))*12+MONTH(A383)-MONTH(FY_START)+1))</f>
        <v/>
      </c>
      <c r="P383" s="40" t="str">
        <f aca="false">IF(A383="","",IF(AND(A383&gt;=VP_START,A383&lt;=VP_END),1,0))</f>
        <v/>
      </c>
    </row>
    <row r="384" customFormat="false" ht="15" hidden="false" customHeight="false" outlineLevel="0" collapsed="false">
      <c r="A384" s="37"/>
      <c r="B384" s="36"/>
      <c r="C384" s="36"/>
      <c r="D384" s="36"/>
      <c r="E384" s="36"/>
      <c r="F384" s="38"/>
      <c r="G384" s="36"/>
      <c r="H384" s="39" t="str">
        <f aca="false">IF(F384="","",IF(G384="Standard 5%",F384*VAT_RATE,0))</f>
        <v/>
      </c>
      <c r="I384" s="39" t="str">
        <f aca="false">IF(F384="","",F384+H384)</f>
        <v/>
      </c>
      <c r="J384" s="36"/>
      <c r="K384" s="37"/>
      <c r="L384" s="38"/>
      <c r="M384" s="22" t="str">
        <f aca="true">IF(OR(A384="",J384="Paid",J384="Written off"),"",TODAY()-A384)</f>
        <v/>
      </c>
      <c r="N384" s="22" t="str">
        <f aca="false">IF(M384="","",IF(M384&gt;OVERDUE_DAYS,"OVERDUE",""))</f>
        <v/>
      </c>
      <c r="O384" s="40" t="str">
        <f aca="false">IF(A384="","",IF(A384&lt;FY_START,0,(YEAR(A384)-YEAR(FY_START))*12+MONTH(A384)-MONTH(FY_START)+1))</f>
        <v/>
      </c>
      <c r="P384" s="40" t="str">
        <f aca="false">IF(A384="","",IF(AND(A384&gt;=VP_START,A384&lt;=VP_END),1,0))</f>
        <v/>
      </c>
    </row>
    <row r="385" customFormat="false" ht="15" hidden="false" customHeight="false" outlineLevel="0" collapsed="false">
      <c r="A385" s="37"/>
      <c r="B385" s="36"/>
      <c r="C385" s="36"/>
      <c r="D385" s="36"/>
      <c r="E385" s="36"/>
      <c r="F385" s="38"/>
      <c r="G385" s="36"/>
      <c r="H385" s="39" t="str">
        <f aca="false">IF(F385="","",IF(G385="Standard 5%",F385*VAT_RATE,0))</f>
        <v/>
      </c>
      <c r="I385" s="39" t="str">
        <f aca="false">IF(F385="","",F385+H385)</f>
        <v/>
      </c>
      <c r="J385" s="36"/>
      <c r="K385" s="37"/>
      <c r="L385" s="38"/>
      <c r="M385" s="22" t="str">
        <f aca="true">IF(OR(A385="",J385="Paid",J385="Written off"),"",TODAY()-A385)</f>
        <v/>
      </c>
      <c r="N385" s="22" t="str">
        <f aca="false">IF(M385="","",IF(M385&gt;OVERDUE_DAYS,"OVERDUE",""))</f>
        <v/>
      </c>
      <c r="O385" s="40" t="str">
        <f aca="false">IF(A385="","",IF(A385&lt;FY_START,0,(YEAR(A385)-YEAR(FY_START))*12+MONTH(A385)-MONTH(FY_START)+1))</f>
        <v/>
      </c>
      <c r="P385" s="40" t="str">
        <f aca="false">IF(A385="","",IF(AND(A385&gt;=VP_START,A385&lt;=VP_END),1,0))</f>
        <v/>
      </c>
    </row>
    <row r="386" customFormat="false" ht="15" hidden="false" customHeight="false" outlineLevel="0" collapsed="false">
      <c r="A386" s="37"/>
      <c r="B386" s="36"/>
      <c r="C386" s="36"/>
      <c r="D386" s="36"/>
      <c r="E386" s="36"/>
      <c r="F386" s="38"/>
      <c r="G386" s="36"/>
      <c r="H386" s="39" t="str">
        <f aca="false">IF(F386="","",IF(G386="Standard 5%",F386*VAT_RATE,0))</f>
        <v/>
      </c>
      <c r="I386" s="39" t="str">
        <f aca="false">IF(F386="","",F386+H386)</f>
        <v/>
      </c>
      <c r="J386" s="36"/>
      <c r="K386" s="37"/>
      <c r="L386" s="38"/>
      <c r="M386" s="22" t="str">
        <f aca="true">IF(OR(A386="",J386="Paid",J386="Written off"),"",TODAY()-A386)</f>
        <v/>
      </c>
      <c r="N386" s="22" t="str">
        <f aca="false">IF(M386="","",IF(M386&gt;OVERDUE_DAYS,"OVERDUE",""))</f>
        <v/>
      </c>
      <c r="O386" s="40" t="str">
        <f aca="false">IF(A386="","",IF(A386&lt;FY_START,0,(YEAR(A386)-YEAR(FY_START))*12+MONTH(A386)-MONTH(FY_START)+1))</f>
        <v/>
      </c>
      <c r="P386" s="40" t="str">
        <f aca="false">IF(A386="","",IF(AND(A386&gt;=VP_START,A386&lt;=VP_END),1,0))</f>
        <v/>
      </c>
    </row>
    <row r="387" customFormat="false" ht="15" hidden="false" customHeight="false" outlineLevel="0" collapsed="false">
      <c r="A387" s="37"/>
      <c r="B387" s="36"/>
      <c r="C387" s="36"/>
      <c r="D387" s="36"/>
      <c r="E387" s="36"/>
      <c r="F387" s="38"/>
      <c r="G387" s="36"/>
      <c r="H387" s="39" t="str">
        <f aca="false">IF(F387="","",IF(G387="Standard 5%",F387*VAT_RATE,0))</f>
        <v/>
      </c>
      <c r="I387" s="39" t="str">
        <f aca="false">IF(F387="","",F387+H387)</f>
        <v/>
      </c>
      <c r="J387" s="36"/>
      <c r="K387" s="37"/>
      <c r="L387" s="38"/>
      <c r="M387" s="22" t="str">
        <f aca="true">IF(OR(A387="",J387="Paid",J387="Written off"),"",TODAY()-A387)</f>
        <v/>
      </c>
      <c r="N387" s="22" t="str">
        <f aca="false">IF(M387="","",IF(M387&gt;OVERDUE_DAYS,"OVERDUE",""))</f>
        <v/>
      </c>
      <c r="O387" s="40" t="str">
        <f aca="false">IF(A387="","",IF(A387&lt;FY_START,0,(YEAR(A387)-YEAR(FY_START))*12+MONTH(A387)-MONTH(FY_START)+1))</f>
        <v/>
      </c>
      <c r="P387" s="40" t="str">
        <f aca="false">IF(A387="","",IF(AND(A387&gt;=VP_START,A387&lt;=VP_END),1,0))</f>
        <v/>
      </c>
    </row>
    <row r="388" customFormat="false" ht="15" hidden="false" customHeight="false" outlineLevel="0" collapsed="false">
      <c r="A388" s="37"/>
      <c r="B388" s="36"/>
      <c r="C388" s="36"/>
      <c r="D388" s="36"/>
      <c r="E388" s="36"/>
      <c r="F388" s="38"/>
      <c r="G388" s="36"/>
      <c r="H388" s="39" t="str">
        <f aca="false">IF(F388="","",IF(G388="Standard 5%",F388*VAT_RATE,0))</f>
        <v/>
      </c>
      <c r="I388" s="39" t="str">
        <f aca="false">IF(F388="","",F388+H388)</f>
        <v/>
      </c>
      <c r="J388" s="36"/>
      <c r="K388" s="37"/>
      <c r="L388" s="38"/>
      <c r="M388" s="22" t="str">
        <f aca="true">IF(OR(A388="",J388="Paid",J388="Written off"),"",TODAY()-A388)</f>
        <v/>
      </c>
      <c r="N388" s="22" t="str">
        <f aca="false">IF(M388="","",IF(M388&gt;OVERDUE_DAYS,"OVERDUE",""))</f>
        <v/>
      </c>
      <c r="O388" s="40" t="str">
        <f aca="false">IF(A388="","",IF(A388&lt;FY_START,0,(YEAR(A388)-YEAR(FY_START))*12+MONTH(A388)-MONTH(FY_START)+1))</f>
        <v/>
      </c>
      <c r="P388" s="40" t="str">
        <f aca="false">IF(A388="","",IF(AND(A388&gt;=VP_START,A388&lt;=VP_END),1,0))</f>
        <v/>
      </c>
    </row>
    <row r="389" customFormat="false" ht="15" hidden="false" customHeight="false" outlineLevel="0" collapsed="false">
      <c r="A389" s="37"/>
      <c r="B389" s="36"/>
      <c r="C389" s="36"/>
      <c r="D389" s="36"/>
      <c r="E389" s="36"/>
      <c r="F389" s="38"/>
      <c r="G389" s="36"/>
      <c r="H389" s="39" t="str">
        <f aca="false">IF(F389="","",IF(G389="Standard 5%",F389*VAT_RATE,0))</f>
        <v/>
      </c>
      <c r="I389" s="39" t="str">
        <f aca="false">IF(F389="","",F389+H389)</f>
        <v/>
      </c>
      <c r="J389" s="36"/>
      <c r="K389" s="37"/>
      <c r="L389" s="38"/>
      <c r="M389" s="22" t="str">
        <f aca="true">IF(OR(A389="",J389="Paid",J389="Written off"),"",TODAY()-A389)</f>
        <v/>
      </c>
      <c r="N389" s="22" t="str">
        <f aca="false">IF(M389="","",IF(M389&gt;OVERDUE_DAYS,"OVERDUE",""))</f>
        <v/>
      </c>
      <c r="O389" s="40" t="str">
        <f aca="false">IF(A389="","",IF(A389&lt;FY_START,0,(YEAR(A389)-YEAR(FY_START))*12+MONTH(A389)-MONTH(FY_START)+1))</f>
        <v/>
      </c>
      <c r="P389" s="40" t="str">
        <f aca="false">IF(A389="","",IF(AND(A389&gt;=VP_START,A389&lt;=VP_END),1,0))</f>
        <v/>
      </c>
    </row>
    <row r="390" customFormat="false" ht="15" hidden="false" customHeight="false" outlineLevel="0" collapsed="false">
      <c r="A390" s="37"/>
      <c r="B390" s="36"/>
      <c r="C390" s="36"/>
      <c r="D390" s="36"/>
      <c r="E390" s="36"/>
      <c r="F390" s="38"/>
      <c r="G390" s="36"/>
      <c r="H390" s="39" t="str">
        <f aca="false">IF(F390="","",IF(G390="Standard 5%",F390*VAT_RATE,0))</f>
        <v/>
      </c>
      <c r="I390" s="39" t="str">
        <f aca="false">IF(F390="","",F390+H390)</f>
        <v/>
      </c>
      <c r="J390" s="36"/>
      <c r="K390" s="37"/>
      <c r="L390" s="38"/>
      <c r="M390" s="22" t="str">
        <f aca="true">IF(OR(A390="",J390="Paid",J390="Written off"),"",TODAY()-A390)</f>
        <v/>
      </c>
      <c r="N390" s="22" t="str">
        <f aca="false">IF(M390="","",IF(M390&gt;OVERDUE_DAYS,"OVERDUE",""))</f>
        <v/>
      </c>
      <c r="O390" s="40" t="str">
        <f aca="false">IF(A390="","",IF(A390&lt;FY_START,0,(YEAR(A390)-YEAR(FY_START))*12+MONTH(A390)-MONTH(FY_START)+1))</f>
        <v/>
      </c>
      <c r="P390" s="40" t="str">
        <f aca="false">IF(A390="","",IF(AND(A390&gt;=VP_START,A390&lt;=VP_END),1,0))</f>
        <v/>
      </c>
    </row>
    <row r="391" customFormat="false" ht="15" hidden="false" customHeight="false" outlineLevel="0" collapsed="false">
      <c r="A391" s="37"/>
      <c r="B391" s="36"/>
      <c r="C391" s="36"/>
      <c r="D391" s="36"/>
      <c r="E391" s="36"/>
      <c r="F391" s="38"/>
      <c r="G391" s="36"/>
      <c r="H391" s="39" t="str">
        <f aca="false">IF(F391="","",IF(G391="Standard 5%",F391*VAT_RATE,0))</f>
        <v/>
      </c>
      <c r="I391" s="39" t="str">
        <f aca="false">IF(F391="","",F391+H391)</f>
        <v/>
      </c>
      <c r="J391" s="36"/>
      <c r="K391" s="37"/>
      <c r="L391" s="38"/>
      <c r="M391" s="22" t="str">
        <f aca="true">IF(OR(A391="",J391="Paid",J391="Written off"),"",TODAY()-A391)</f>
        <v/>
      </c>
      <c r="N391" s="22" t="str">
        <f aca="false">IF(M391="","",IF(M391&gt;OVERDUE_DAYS,"OVERDUE",""))</f>
        <v/>
      </c>
      <c r="O391" s="40" t="str">
        <f aca="false">IF(A391="","",IF(A391&lt;FY_START,0,(YEAR(A391)-YEAR(FY_START))*12+MONTH(A391)-MONTH(FY_START)+1))</f>
        <v/>
      </c>
      <c r="P391" s="40" t="str">
        <f aca="false">IF(A391="","",IF(AND(A391&gt;=VP_START,A391&lt;=VP_END),1,0))</f>
        <v/>
      </c>
    </row>
    <row r="392" customFormat="false" ht="15" hidden="false" customHeight="false" outlineLevel="0" collapsed="false">
      <c r="A392" s="37"/>
      <c r="B392" s="36"/>
      <c r="C392" s="36"/>
      <c r="D392" s="36"/>
      <c r="E392" s="36"/>
      <c r="F392" s="38"/>
      <c r="G392" s="36"/>
      <c r="H392" s="39" t="str">
        <f aca="false">IF(F392="","",IF(G392="Standard 5%",F392*VAT_RATE,0))</f>
        <v/>
      </c>
      <c r="I392" s="39" t="str">
        <f aca="false">IF(F392="","",F392+H392)</f>
        <v/>
      </c>
      <c r="J392" s="36"/>
      <c r="K392" s="37"/>
      <c r="L392" s="38"/>
      <c r="M392" s="22" t="str">
        <f aca="true">IF(OR(A392="",J392="Paid",J392="Written off"),"",TODAY()-A392)</f>
        <v/>
      </c>
      <c r="N392" s="22" t="str">
        <f aca="false">IF(M392="","",IF(M392&gt;OVERDUE_DAYS,"OVERDUE",""))</f>
        <v/>
      </c>
      <c r="O392" s="40" t="str">
        <f aca="false">IF(A392="","",IF(A392&lt;FY_START,0,(YEAR(A392)-YEAR(FY_START))*12+MONTH(A392)-MONTH(FY_START)+1))</f>
        <v/>
      </c>
      <c r="P392" s="40" t="str">
        <f aca="false">IF(A392="","",IF(AND(A392&gt;=VP_START,A392&lt;=VP_END),1,0))</f>
        <v/>
      </c>
    </row>
    <row r="393" customFormat="false" ht="15" hidden="false" customHeight="false" outlineLevel="0" collapsed="false">
      <c r="A393" s="37"/>
      <c r="B393" s="36"/>
      <c r="C393" s="36"/>
      <c r="D393" s="36"/>
      <c r="E393" s="36"/>
      <c r="F393" s="38"/>
      <c r="G393" s="36"/>
      <c r="H393" s="39" t="str">
        <f aca="false">IF(F393="","",IF(G393="Standard 5%",F393*VAT_RATE,0))</f>
        <v/>
      </c>
      <c r="I393" s="39" t="str">
        <f aca="false">IF(F393="","",F393+H393)</f>
        <v/>
      </c>
      <c r="J393" s="36"/>
      <c r="K393" s="37"/>
      <c r="L393" s="38"/>
      <c r="M393" s="22" t="str">
        <f aca="true">IF(OR(A393="",J393="Paid",J393="Written off"),"",TODAY()-A393)</f>
        <v/>
      </c>
      <c r="N393" s="22" t="str">
        <f aca="false">IF(M393="","",IF(M393&gt;OVERDUE_DAYS,"OVERDUE",""))</f>
        <v/>
      </c>
      <c r="O393" s="40" t="str">
        <f aca="false">IF(A393="","",IF(A393&lt;FY_START,0,(YEAR(A393)-YEAR(FY_START))*12+MONTH(A393)-MONTH(FY_START)+1))</f>
        <v/>
      </c>
      <c r="P393" s="40" t="str">
        <f aca="false">IF(A393="","",IF(AND(A393&gt;=VP_START,A393&lt;=VP_END),1,0))</f>
        <v/>
      </c>
    </row>
    <row r="394" customFormat="false" ht="15" hidden="false" customHeight="false" outlineLevel="0" collapsed="false">
      <c r="A394" s="37"/>
      <c r="B394" s="36"/>
      <c r="C394" s="36"/>
      <c r="D394" s="36"/>
      <c r="E394" s="36"/>
      <c r="F394" s="38"/>
      <c r="G394" s="36"/>
      <c r="H394" s="39" t="str">
        <f aca="false">IF(F394="","",IF(G394="Standard 5%",F394*VAT_RATE,0))</f>
        <v/>
      </c>
      <c r="I394" s="39" t="str">
        <f aca="false">IF(F394="","",F394+H394)</f>
        <v/>
      </c>
      <c r="J394" s="36"/>
      <c r="K394" s="37"/>
      <c r="L394" s="38"/>
      <c r="M394" s="22" t="str">
        <f aca="true">IF(OR(A394="",J394="Paid",J394="Written off"),"",TODAY()-A394)</f>
        <v/>
      </c>
      <c r="N394" s="22" t="str">
        <f aca="false">IF(M394="","",IF(M394&gt;OVERDUE_DAYS,"OVERDUE",""))</f>
        <v/>
      </c>
      <c r="O394" s="40" t="str">
        <f aca="false">IF(A394="","",IF(A394&lt;FY_START,0,(YEAR(A394)-YEAR(FY_START))*12+MONTH(A394)-MONTH(FY_START)+1))</f>
        <v/>
      </c>
      <c r="P394" s="40" t="str">
        <f aca="false">IF(A394="","",IF(AND(A394&gt;=VP_START,A394&lt;=VP_END),1,0))</f>
        <v/>
      </c>
    </row>
    <row r="395" customFormat="false" ht="15" hidden="false" customHeight="false" outlineLevel="0" collapsed="false">
      <c r="A395" s="37"/>
      <c r="B395" s="36"/>
      <c r="C395" s="36"/>
      <c r="D395" s="36"/>
      <c r="E395" s="36"/>
      <c r="F395" s="38"/>
      <c r="G395" s="36"/>
      <c r="H395" s="39" t="str">
        <f aca="false">IF(F395="","",IF(G395="Standard 5%",F395*VAT_RATE,0))</f>
        <v/>
      </c>
      <c r="I395" s="39" t="str">
        <f aca="false">IF(F395="","",F395+H395)</f>
        <v/>
      </c>
      <c r="J395" s="36"/>
      <c r="K395" s="37"/>
      <c r="L395" s="38"/>
      <c r="M395" s="22" t="str">
        <f aca="true">IF(OR(A395="",J395="Paid",J395="Written off"),"",TODAY()-A395)</f>
        <v/>
      </c>
      <c r="N395" s="22" t="str">
        <f aca="false">IF(M395="","",IF(M395&gt;OVERDUE_DAYS,"OVERDUE",""))</f>
        <v/>
      </c>
      <c r="O395" s="40" t="str">
        <f aca="false">IF(A395="","",IF(A395&lt;FY_START,0,(YEAR(A395)-YEAR(FY_START))*12+MONTH(A395)-MONTH(FY_START)+1))</f>
        <v/>
      </c>
      <c r="P395" s="40" t="str">
        <f aca="false">IF(A395="","",IF(AND(A395&gt;=VP_START,A395&lt;=VP_END),1,0))</f>
        <v/>
      </c>
    </row>
    <row r="396" customFormat="false" ht="15" hidden="false" customHeight="false" outlineLevel="0" collapsed="false">
      <c r="A396" s="37"/>
      <c r="B396" s="36"/>
      <c r="C396" s="36"/>
      <c r="D396" s="36"/>
      <c r="E396" s="36"/>
      <c r="F396" s="38"/>
      <c r="G396" s="36"/>
      <c r="H396" s="39" t="str">
        <f aca="false">IF(F396="","",IF(G396="Standard 5%",F396*VAT_RATE,0))</f>
        <v/>
      </c>
      <c r="I396" s="39" t="str">
        <f aca="false">IF(F396="","",F396+H396)</f>
        <v/>
      </c>
      <c r="J396" s="36"/>
      <c r="K396" s="37"/>
      <c r="L396" s="38"/>
      <c r="M396" s="22" t="str">
        <f aca="true">IF(OR(A396="",J396="Paid",J396="Written off"),"",TODAY()-A396)</f>
        <v/>
      </c>
      <c r="N396" s="22" t="str">
        <f aca="false">IF(M396="","",IF(M396&gt;OVERDUE_DAYS,"OVERDUE",""))</f>
        <v/>
      </c>
      <c r="O396" s="40" t="str">
        <f aca="false">IF(A396="","",IF(A396&lt;FY_START,0,(YEAR(A396)-YEAR(FY_START))*12+MONTH(A396)-MONTH(FY_START)+1))</f>
        <v/>
      </c>
      <c r="P396" s="40" t="str">
        <f aca="false">IF(A396="","",IF(AND(A396&gt;=VP_START,A396&lt;=VP_END),1,0))</f>
        <v/>
      </c>
    </row>
    <row r="397" customFormat="false" ht="15" hidden="false" customHeight="false" outlineLevel="0" collapsed="false">
      <c r="A397" s="37"/>
      <c r="B397" s="36"/>
      <c r="C397" s="36"/>
      <c r="D397" s="36"/>
      <c r="E397" s="36"/>
      <c r="F397" s="38"/>
      <c r="G397" s="36"/>
      <c r="H397" s="39" t="str">
        <f aca="false">IF(F397="","",IF(G397="Standard 5%",F397*VAT_RATE,0))</f>
        <v/>
      </c>
      <c r="I397" s="39" t="str">
        <f aca="false">IF(F397="","",F397+H397)</f>
        <v/>
      </c>
      <c r="J397" s="36"/>
      <c r="K397" s="37"/>
      <c r="L397" s="38"/>
      <c r="M397" s="22" t="str">
        <f aca="true">IF(OR(A397="",J397="Paid",J397="Written off"),"",TODAY()-A397)</f>
        <v/>
      </c>
      <c r="N397" s="22" t="str">
        <f aca="false">IF(M397="","",IF(M397&gt;OVERDUE_DAYS,"OVERDUE",""))</f>
        <v/>
      </c>
      <c r="O397" s="40" t="str">
        <f aca="false">IF(A397="","",IF(A397&lt;FY_START,0,(YEAR(A397)-YEAR(FY_START))*12+MONTH(A397)-MONTH(FY_START)+1))</f>
        <v/>
      </c>
      <c r="P397" s="40" t="str">
        <f aca="false">IF(A397="","",IF(AND(A397&gt;=VP_START,A397&lt;=VP_END),1,0))</f>
        <v/>
      </c>
    </row>
    <row r="398" customFormat="false" ht="15" hidden="false" customHeight="false" outlineLevel="0" collapsed="false">
      <c r="A398" s="37"/>
      <c r="B398" s="36"/>
      <c r="C398" s="36"/>
      <c r="D398" s="36"/>
      <c r="E398" s="36"/>
      <c r="F398" s="38"/>
      <c r="G398" s="36"/>
      <c r="H398" s="39" t="str">
        <f aca="false">IF(F398="","",IF(G398="Standard 5%",F398*VAT_RATE,0))</f>
        <v/>
      </c>
      <c r="I398" s="39" t="str">
        <f aca="false">IF(F398="","",F398+H398)</f>
        <v/>
      </c>
      <c r="J398" s="36"/>
      <c r="K398" s="37"/>
      <c r="L398" s="38"/>
      <c r="M398" s="22" t="str">
        <f aca="true">IF(OR(A398="",J398="Paid",J398="Written off"),"",TODAY()-A398)</f>
        <v/>
      </c>
      <c r="N398" s="22" t="str">
        <f aca="false">IF(M398="","",IF(M398&gt;OVERDUE_DAYS,"OVERDUE",""))</f>
        <v/>
      </c>
      <c r="O398" s="40" t="str">
        <f aca="false">IF(A398="","",IF(A398&lt;FY_START,0,(YEAR(A398)-YEAR(FY_START))*12+MONTH(A398)-MONTH(FY_START)+1))</f>
        <v/>
      </c>
      <c r="P398" s="40" t="str">
        <f aca="false">IF(A398="","",IF(AND(A398&gt;=VP_START,A398&lt;=VP_END),1,0))</f>
        <v/>
      </c>
    </row>
    <row r="399" customFormat="false" ht="15" hidden="false" customHeight="false" outlineLevel="0" collapsed="false">
      <c r="A399" s="37"/>
      <c r="B399" s="36"/>
      <c r="C399" s="36"/>
      <c r="D399" s="36"/>
      <c r="E399" s="36"/>
      <c r="F399" s="38"/>
      <c r="G399" s="36"/>
      <c r="H399" s="39" t="str">
        <f aca="false">IF(F399="","",IF(G399="Standard 5%",F399*VAT_RATE,0))</f>
        <v/>
      </c>
      <c r="I399" s="39" t="str">
        <f aca="false">IF(F399="","",F399+H399)</f>
        <v/>
      </c>
      <c r="J399" s="36"/>
      <c r="K399" s="37"/>
      <c r="L399" s="38"/>
      <c r="M399" s="22" t="str">
        <f aca="true">IF(OR(A399="",J399="Paid",J399="Written off"),"",TODAY()-A399)</f>
        <v/>
      </c>
      <c r="N399" s="22" t="str">
        <f aca="false">IF(M399="","",IF(M399&gt;OVERDUE_DAYS,"OVERDUE",""))</f>
        <v/>
      </c>
      <c r="O399" s="40" t="str">
        <f aca="false">IF(A399="","",IF(A399&lt;FY_START,0,(YEAR(A399)-YEAR(FY_START))*12+MONTH(A399)-MONTH(FY_START)+1))</f>
        <v/>
      </c>
      <c r="P399" s="40" t="str">
        <f aca="false">IF(A399="","",IF(AND(A399&gt;=VP_START,A399&lt;=VP_END),1,0))</f>
        <v/>
      </c>
    </row>
    <row r="400" customFormat="false" ht="15" hidden="false" customHeight="false" outlineLevel="0" collapsed="false">
      <c r="A400" s="37"/>
      <c r="B400" s="36"/>
      <c r="C400" s="36"/>
      <c r="D400" s="36"/>
      <c r="E400" s="36"/>
      <c r="F400" s="38"/>
      <c r="G400" s="36"/>
      <c r="H400" s="39" t="str">
        <f aca="false">IF(F400="","",IF(G400="Standard 5%",F400*VAT_RATE,0))</f>
        <v/>
      </c>
      <c r="I400" s="39" t="str">
        <f aca="false">IF(F400="","",F400+H400)</f>
        <v/>
      </c>
      <c r="J400" s="36"/>
      <c r="K400" s="37"/>
      <c r="L400" s="38"/>
      <c r="M400" s="22" t="str">
        <f aca="true">IF(OR(A400="",J400="Paid",J400="Written off"),"",TODAY()-A400)</f>
        <v/>
      </c>
      <c r="N400" s="22" t="str">
        <f aca="false">IF(M400="","",IF(M400&gt;OVERDUE_DAYS,"OVERDUE",""))</f>
        <v/>
      </c>
      <c r="O400" s="40" t="str">
        <f aca="false">IF(A400="","",IF(A400&lt;FY_START,0,(YEAR(A400)-YEAR(FY_START))*12+MONTH(A400)-MONTH(FY_START)+1))</f>
        <v/>
      </c>
      <c r="P400" s="40" t="str">
        <f aca="false">IF(A400="","",IF(AND(A400&gt;=VP_START,A400&lt;=VP_END),1,0))</f>
        <v/>
      </c>
    </row>
    <row r="401" customFormat="false" ht="15" hidden="false" customHeight="false" outlineLevel="0" collapsed="false">
      <c r="A401" s="37"/>
      <c r="B401" s="36"/>
      <c r="C401" s="36"/>
      <c r="D401" s="36"/>
      <c r="E401" s="36"/>
      <c r="F401" s="38"/>
      <c r="G401" s="36"/>
      <c r="H401" s="39" t="str">
        <f aca="false">IF(F401="","",IF(G401="Standard 5%",F401*VAT_RATE,0))</f>
        <v/>
      </c>
      <c r="I401" s="39" t="str">
        <f aca="false">IF(F401="","",F401+H401)</f>
        <v/>
      </c>
      <c r="J401" s="36"/>
      <c r="K401" s="37"/>
      <c r="L401" s="38"/>
      <c r="M401" s="22" t="str">
        <f aca="true">IF(OR(A401="",J401="Paid",J401="Written off"),"",TODAY()-A401)</f>
        <v/>
      </c>
      <c r="N401" s="22" t="str">
        <f aca="false">IF(M401="","",IF(M401&gt;OVERDUE_DAYS,"OVERDUE",""))</f>
        <v/>
      </c>
      <c r="O401" s="40" t="str">
        <f aca="false">IF(A401="","",IF(A401&lt;FY_START,0,(YEAR(A401)-YEAR(FY_START))*12+MONTH(A401)-MONTH(FY_START)+1))</f>
        <v/>
      </c>
      <c r="P401" s="40" t="str">
        <f aca="false">IF(A401="","",IF(AND(A401&gt;=VP_START,A401&lt;=VP_END),1,0))</f>
        <v/>
      </c>
    </row>
    <row r="402" customFormat="false" ht="15" hidden="false" customHeight="false" outlineLevel="0" collapsed="false">
      <c r="A402" s="37"/>
      <c r="B402" s="36"/>
      <c r="C402" s="36"/>
      <c r="D402" s="36"/>
      <c r="E402" s="36"/>
      <c r="F402" s="38"/>
      <c r="G402" s="36"/>
      <c r="H402" s="39" t="str">
        <f aca="false">IF(F402="","",IF(G402="Standard 5%",F402*VAT_RATE,0))</f>
        <v/>
      </c>
      <c r="I402" s="39" t="str">
        <f aca="false">IF(F402="","",F402+H402)</f>
        <v/>
      </c>
      <c r="J402" s="36"/>
      <c r="K402" s="37"/>
      <c r="L402" s="38"/>
      <c r="M402" s="22" t="str">
        <f aca="true">IF(OR(A402="",J402="Paid",J402="Written off"),"",TODAY()-A402)</f>
        <v/>
      </c>
      <c r="N402" s="22" t="str">
        <f aca="false">IF(M402="","",IF(M402&gt;OVERDUE_DAYS,"OVERDUE",""))</f>
        <v/>
      </c>
      <c r="O402" s="40" t="str">
        <f aca="false">IF(A402="","",IF(A402&lt;FY_START,0,(YEAR(A402)-YEAR(FY_START))*12+MONTH(A402)-MONTH(FY_START)+1))</f>
        <v/>
      </c>
      <c r="P402" s="40" t="str">
        <f aca="false">IF(A402="","",IF(AND(A402&gt;=VP_START,A402&lt;=VP_END),1,0))</f>
        <v/>
      </c>
    </row>
    <row r="403" customFormat="false" ht="15" hidden="false" customHeight="false" outlineLevel="0" collapsed="false">
      <c r="A403" s="37"/>
      <c r="B403" s="36"/>
      <c r="C403" s="36"/>
      <c r="D403" s="36"/>
      <c r="E403" s="36"/>
      <c r="F403" s="38"/>
      <c r="G403" s="36"/>
      <c r="H403" s="39" t="str">
        <f aca="false">IF(F403="","",IF(G403="Standard 5%",F403*VAT_RATE,0))</f>
        <v/>
      </c>
      <c r="I403" s="39" t="str">
        <f aca="false">IF(F403="","",F403+H403)</f>
        <v/>
      </c>
      <c r="J403" s="36"/>
      <c r="K403" s="37"/>
      <c r="L403" s="38"/>
      <c r="M403" s="22" t="str">
        <f aca="true">IF(OR(A403="",J403="Paid",J403="Written off"),"",TODAY()-A403)</f>
        <v/>
      </c>
      <c r="N403" s="22" t="str">
        <f aca="false">IF(M403="","",IF(M403&gt;OVERDUE_DAYS,"OVERDUE",""))</f>
        <v/>
      </c>
      <c r="O403" s="40" t="str">
        <f aca="false">IF(A403="","",IF(A403&lt;FY_START,0,(YEAR(A403)-YEAR(FY_START))*12+MONTH(A403)-MONTH(FY_START)+1))</f>
        <v/>
      </c>
      <c r="P403" s="40" t="str">
        <f aca="false">IF(A403="","",IF(AND(A403&gt;=VP_START,A403&lt;=VP_END),1,0))</f>
        <v/>
      </c>
    </row>
    <row r="404" customFormat="false" ht="15" hidden="false" customHeight="false" outlineLevel="0" collapsed="false">
      <c r="A404" s="37"/>
      <c r="B404" s="36"/>
      <c r="C404" s="36"/>
      <c r="D404" s="36"/>
      <c r="E404" s="36"/>
      <c r="F404" s="38"/>
      <c r="G404" s="36"/>
      <c r="H404" s="39" t="str">
        <f aca="false">IF(F404="","",IF(G404="Standard 5%",F404*VAT_RATE,0))</f>
        <v/>
      </c>
      <c r="I404" s="39" t="str">
        <f aca="false">IF(F404="","",F404+H404)</f>
        <v/>
      </c>
      <c r="J404" s="36"/>
      <c r="K404" s="37"/>
      <c r="L404" s="38"/>
      <c r="M404" s="22" t="str">
        <f aca="true">IF(OR(A404="",J404="Paid",J404="Written off"),"",TODAY()-A404)</f>
        <v/>
      </c>
      <c r="N404" s="22" t="str">
        <f aca="false">IF(M404="","",IF(M404&gt;OVERDUE_DAYS,"OVERDUE",""))</f>
        <v/>
      </c>
      <c r="O404" s="40" t="str">
        <f aca="false">IF(A404="","",IF(A404&lt;FY_START,0,(YEAR(A404)-YEAR(FY_START))*12+MONTH(A404)-MONTH(FY_START)+1))</f>
        <v/>
      </c>
      <c r="P404" s="40" t="str">
        <f aca="false">IF(A404="","",IF(AND(A404&gt;=VP_START,A404&lt;=VP_END),1,0))</f>
        <v/>
      </c>
    </row>
    <row r="405" customFormat="false" ht="15" hidden="false" customHeight="false" outlineLevel="0" collapsed="false">
      <c r="A405" s="37"/>
      <c r="B405" s="36"/>
      <c r="C405" s="36"/>
      <c r="D405" s="36"/>
      <c r="E405" s="36"/>
      <c r="F405" s="38"/>
      <c r="G405" s="36"/>
      <c r="H405" s="39" t="str">
        <f aca="false">IF(F405="","",IF(G405="Standard 5%",F405*VAT_RATE,0))</f>
        <v/>
      </c>
      <c r="I405" s="39" t="str">
        <f aca="false">IF(F405="","",F405+H405)</f>
        <v/>
      </c>
      <c r="J405" s="36"/>
      <c r="K405" s="37"/>
      <c r="L405" s="38"/>
      <c r="M405" s="22" t="str">
        <f aca="true">IF(OR(A405="",J405="Paid",J405="Written off"),"",TODAY()-A405)</f>
        <v/>
      </c>
      <c r="N405" s="22" t="str">
        <f aca="false">IF(M405="","",IF(M405&gt;OVERDUE_DAYS,"OVERDUE",""))</f>
        <v/>
      </c>
      <c r="O405" s="40" t="str">
        <f aca="false">IF(A405="","",IF(A405&lt;FY_START,0,(YEAR(A405)-YEAR(FY_START))*12+MONTH(A405)-MONTH(FY_START)+1))</f>
        <v/>
      </c>
      <c r="P405" s="40" t="str">
        <f aca="false">IF(A405="","",IF(AND(A405&gt;=VP_START,A405&lt;=VP_END),1,0))</f>
        <v/>
      </c>
    </row>
    <row r="406" customFormat="false" ht="15" hidden="false" customHeight="false" outlineLevel="0" collapsed="false">
      <c r="A406" s="37"/>
      <c r="B406" s="36"/>
      <c r="C406" s="36"/>
      <c r="D406" s="36"/>
      <c r="E406" s="36"/>
      <c r="F406" s="38"/>
      <c r="G406" s="36"/>
      <c r="H406" s="39" t="str">
        <f aca="false">IF(F406="","",IF(G406="Standard 5%",F406*VAT_RATE,0))</f>
        <v/>
      </c>
      <c r="I406" s="39" t="str">
        <f aca="false">IF(F406="","",F406+H406)</f>
        <v/>
      </c>
      <c r="J406" s="36"/>
      <c r="K406" s="37"/>
      <c r="L406" s="38"/>
      <c r="M406" s="22" t="str">
        <f aca="true">IF(OR(A406="",J406="Paid",J406="Written off"),"",TODAY()-A406)</f>
        <v/>
      </c>
      <c r="N406" s="22" t="str">
        <f aca="false">IF(M406="","",IF(M406&gt;OVERDUE_DAYS,"OVERDUE",""))</f>
        <v/>
      </c>
      <c r="O406" s="40" t="str">
        <f aca="false">IF(A406="","",IF(A406&lt;FY_START,0,(YEAR(A406)-YEAR(FY_START))*12+MONTH(A406)-MONTH(FY_START)+1))</f>
        <v/>
      </c>
      <c r="P406" s="40" t="str">
        <f aca="false">IF(A406="","",IF(AND(A406&gt;=VP_START,A406&lt;=VP_END),1,0))</f>
        <v/>
      </c>
    </row>
    <row r="407" customFormat="false" ht="15" hidden="false" customHeight="false" outlineLevel="0" collapsed="false">
      <c r="A407" s="37"/>
      <c r="B407" s="36"/>
      <c r="C407" s="36"/>
      <c r="D407" s="36"/>
      <c r="E407" s="36"/>
      <c r="F407" s="38"/>
      <c r="G407" s="36"/>
      <c r="H407" s="39" t="str">
        <f aca="false">IF(F407="","",IF(G407="Standard 5%",F407*VAT_RATE,0))</f>
        <v/>
      </c>
      <c r="I407" s="39" t="str">
        <f aca="false">IF(F407="","",F407+H407)</f>
        <v/>
      </c>
      <c r="J407" s="36"/>
      <c r="K407" s="37"/>
      <c r="L407" s="38"/>
      <c r="M407" s="22" t="str">
        <f aca="true">IF(OR(A407="",J407="Paid",J407="Written off"),"",TODAY()-A407)</f>
        <v/>
      </c>
      <c r="N407" s="22" t="str">
        <f aca="false">IF(M407="","",IF(M407&gt;OVERDUE_DAYS,"OVERDUE",""))</f>
        <v/>
      </c>
      <c r="O407" s="40" t="str">
        <f aca="false">IF(A407="","",IF(A407&lt;FY_START,0,(YEAR(A407)-YEAR(FY_START))*12+MONTH(A407)-MONTH(FY_START)+1))</f>
        <v/>
      </c>
      <c r="P407" s="40" t="str">
        <f aca="false">IF(A407="","",IF(AND(A407&gt;=VP_START,A407&lt;=VP_END),1,0))</f>
        <v/>
      </c>
    </row>
    <row r="408" customFormat="false" ht="15" hidden="false" customHeight="false" outlineLevel="0" collapsed="false">
      <c r="A408" s="37"/>
      <c r="B408" s="36"/>
      <c r="C408" s="36"/>
      <c r="D408" s="36"/>
      <c r="E408" s="36"/>
      <c r="F408" s="38"/>
      <c r="G408" s="36"/>
      <c r="H408" s="39" t="str">
        <f aca="false">IF(F408="","",IF(G408="Standard 5%",F408*VAT_RATE,0))</f>
        <v/>
      </c>
      <c r="I408" s="39" t="str">
        <f aca="false">IF(F408="","",F408+H408)</f>
        <v/>
      </c>
      <c r="J408" s="36"/>
      <c r="K408" s="37"/>
      <c r="L408" s="38"/>
      <c r="M408" s="22" t="str">
        <f aca="true">IF(OR(A408="",J408="Paid",J408="Written off"),"",TODAY()-A408)</f>
        <v/>
      </c>
      <c r="N408" s="22" t="str">
        <f aca="false">IF(M408="","",IF(M408&gt;OVERDUE_DAYS,"OVERDUE",""))</f>
        <v/>
      </c>
      <c r="O408" s="40" t="str">
        <f aca="false">IF(A408="","",IF(A408&lt;FY_START,0,(YEAR(A408)-YEAR(FY_START))*12+MONTH(A408)-MONTH(FY_START)+1))</f>
        <v/>
      </c>
      <c r="P408" s="40" t="str">
        <f aca="false">IF(A408="","",IF(AND(A408&gt;=VP_START,A408&lt;=VP_END),1,0))</f>
        <v/>
      </c>
    </row>
    <row r="409" customFormat="false" ht="15" hidden="false" customHeight="false" outlineLevel="0" collapsed="false">
      <c r="A409" s="37"/>
      <c r="B409" s="36"/>
      <c r="C409" s="36"/>
      <c r="D409" s="36"/>
      <c r="E409" s="36"/>
      <c r="F409" s="38"/>
      <c r="G409" s="36"/>
      <c r="H409" s="39" t="str">
        <f aca="false">IF(F409="","",IF(G409="Standard 5%",F409*VAT_RATE,0))</f>
        <v/>
      </c>
      <c r="I409" s="39" t="str">
        <f aca="false">IF(F409="","",F409+H409)</f>
        <v/>
      </c>
      <c r="J409" s="36"/>
      <c r="K409" s="37"/>
      <c r="L409" s="38"/>
      <c r="M409" s="22" t="str">
        <f aca="true">IF(OR(A409="",J409="Paid",J409="Written off"),"",TODAY()-A409)</f>
        <v/>
      </c>
      <c r="N409" s="22" t="str">
        <f aca="false">IF(M409="","",IF(M409&gt;OVERDUE_DAYS,"OVERDUE",""))</f>
        <v/>
      </c>
      <c r="O409" s="40" t="str">
        <f aca="false">IF(A409="","",IF(A409&lt;FY_START,0,(YEAR(A409)-YEAR(FY_START))*12+MONTH(A409)-MONTH(FY_START)+1))</f>
        <v/>
      </c>
      <c r="P409" s="40" t="str">
        <f aca="false">IF(A409="","",IF(AND(A409&gt;=VP_START,A409&lt;=VP_END),1,0))</f>
        <v/>
      </c>
    </row>
    <row r="410" customFormat="false" ht="15" hidden="false" customHeight="false" outlineLevel="0" collapsed="false">
      <c r="A410" s="37"/>
      <c r="B410" s="36"/>
      <c r="C410" s="36"/>
      <c r="D410" s="36"/>
      <c r="E410" s="36"/>
      <c r="F410" s="38"/>
      <c r="G410" s="36"/>
      <c r="H410" s="39" t="str">
        <f aca="false">IF(F410="","",IF(G410="Standard 5%",F410*VAT_RATE,0))</f>
        <v/>
      </c>
      <c r="I410" s="39" t="str">
        <f aca="false">IF(F410="","",F410+H410)</f>
        <v/>
      </c>
      <c r="J410" s="36"/>
      <c r="K410" s="37"/>
      <c r="L410" s="38"/>
      <c r="M410" s="22" t="str">
        <f aca="true">IF(OR(A410="",J410="Paid",J410="Written off"),"",TODAY()-A410)</f>
        <v/>
      </c>
      <c r="N410" s="22" t="str">
        <f aca="false">IF(M410="","",IF(M410&gt;OVERDUE_DAYS,"OVERDUE",""))</f>
        <v/>
      </c>
      <c r="O410" s="40" t="str">
        <f aca="false">IF(A410="","",IF(A410&lt;FY_START,0,(YEAR(A410)-YEAR(FY_START))*12+MONTH(A410)-MONTH(FY_START)+1))</f>
        <v/>
      </c>
      <c r="P410" s="40" t="str">
        <f aca="false">IF(A410="","",IF(AND(A410&gt;=VP_START,A410&lt;=VP_END),1,0))</f>
        <v/>
      </c>
    </row>
    <row r="411" customFormat="false" ht="15" hidden="false" customHeight="false" outlineLevel="0" collapsed="false">
      <c r="A411" s="37"/>
      <c r="B411" s="36"/>
      <c r="C411" s="36"/>
      <c r="D411" s="36"/>
      <c r="E411" s="36"/>
      <c r="F411" s="38"/>
      <c r="G411" s="36"/>
      <c r="H411" s="39" t="str">
        <f aca="false">IF(F411="","",IF(G411="Standard 5%",F411*VAT_RATE,0))</f>
        <v/>
      </c>
      <c r="I411" s="39" t="str">
        <f aca="false">IF(F411="","",F411+H411)</f>
        <v/>
      </c>
      <c r="J411" s="36"/>
      <c r="K411" s="37"/>
      <c r="L411" s="38"/>
      <c r="M411" s="22" t="str">
        <f aca="true">IF(OR(A411="",J411="Paid",J411="Written off"),"",TODAY()-A411)</f>
        <v/>
      </c>
      <c r="N411" s="22" t="str">
        <f aca="false">IF(M411="","",IF(M411&gt;OVERDUE_DAYS,"OVERDUE",""))</f>
        <v/>
      </c>
      <c r="O411" s="40" t="str">
        <f aca="false">IF(A411="","",IF(A411&lt;FY_START,0,(YEAR(A411)-YEAR(FY_START))*12+MONTH(A411)-MONTH(FY_START)+1))</f>
        <v/>
      </c>
      <c r="P411" s="40" t="str">
        <f aca="false">IF(A411="","",IF(AND(A411&gt;=VP_START,A411&lt;=VP_END),1,0))</f>
        <v/>
      </c>
    </row>
    <row r="412" customFormat="false" ht="15" hidden="false" customHeight="false" outlineLevel="0" collapsed="false">
      <c r="A412" s="37"/>
      <c r="B412" s="36"/>
      <c r="C412" s="36"/>
      <c r="D412" s="36"/>
      <c r="E412" s="36"/>
      <c r="F412" s="38"/>
      <c r="G412" s="36"/>
      <c r="H412" s="39" t="str">
        <f aca="false">IF(F412="","",IF(G412="Standard 5%",F412*VAT_RATE,0))</f>
        <v/>
      </c>
      <c r="I412" s="39" t="str">
        <f aca="false">IF(F412="","",F412+H412)</f>
        <v/>
      </c>
      <c r="J412" s="36"/>
      <c r="K412" s="37"/>
      <c r="L412" s="38"/>
      <c r="M412" s="22" t="str">
        <f aca="true">IF(OR(A412="",J412="Paid",J412="Written off"),"",TODAY()-A412)</f>
        <v/>
      </c>
      <c r="N412" s="22" t="str">
        <f aca="false">IF(M412="","",IF(M412&gt;OVERDUE_DAYS,"OVERDUE",""))</f>
        <v/>
      </c>
      <c r="O412" s="40" t="str">
        <f aca="false">IF(A412="","",IF(A412&lt;FY_START,0,(YEAR(A412)-YEAR(FY_START))*12+MONTH(A412)-MONTH(FY_START)+1))</f>
        <v/>
      </c>
      <c r="P412" s="40" t="str">
        <f aca="false">IF(A412="","",IF(AND(A412&gt;=VP_START,A412&lt;=VP_END),1,0))</f>
        <v/>
      </c>
    </row>
    <row r="413" customFormat="false" ht="15" hidden="false" customHeight="false" outlineLevel="0" collapsed="false">
      <c r="A413" s="37"/>
      <c r="B413" s="36"/>
      <c r="C413" s="36"/>
      <c r="D413" s="36"/>
      <c r="E413" s="36"/>
      <c r="F413" s="38"/>
      <c r="G413" s="36"/>
      <c r="H413" s="39" t="str">
        <f aca="false">IF(F413="","",IF(G413="Standard 5%",F413*VAT_RATE,0))</f>
        <v/>
      </c>
      <c r="I413" s="39" t="str">
        <f aca="false">IF(F413="","",F413+H413)</f>
        <v/>
      </c>
      <c r="J413" s="36"/>
      <c r="K413" s="37"/>
      <c r="L413" s="38"/>
      <c r="M413" s="22" t="str">
        <f aca="true">IF(OR(A413="",J413="Paid",J413="Written off"),"",TODAY()-A413)</f>
        <v/>
      </c>
      <c r="N413" s="22" t="str">
        <f aca="false">IF(M413="","",IF(M413&gt;OVERDUE_DAYS,"OVERDUE",""))</f>
        <v/>
      </c>
      <c r="O413" s="40" t="str">
        <f aca="false">IF(A413="","",IF(A413&lt;FY_START,0,(YEAR(A413)-YEAR(FY_START))*12+MONTH(A413)-MONTH(FY_START)+1))</f>
        <v/>
      </c>
      <c r="P413" s="40" t="str">
        <f aca="false">IF(A413="","",IF(AND(A413&gt;=VP_START,A413&lt;=VP_END),1,0))</f>
        <v/>
      </c>
    </row>
    <row r="414" customFormat="false" ht="15" hidden="false" customHeight="false" outlineLevel="0" collapsed="false">
      <c r="A414" s="37"/>
      <c r="B414" s="36"/>
      <c r="C414" s="36"/>
      <c r="D414" s="36"/>
      <c r="E414" s="36"/>
      <c r="F414" s="38"/>
      <c r="G414" s="36"/>
      <c r="H414" s="39" t="str">
        <f aca="false">IF(F414="","",IF(G414="Standard 5%",F414*VAT_RATE,0))</f>
        <v/>
      </c>
      <c r="I414" s="39" t="str">
        <f aca="false">IF(F414="","",F414+H414)</f>
        <v/>
      </c>
      <c r="J414" s="36"/>
      <c r="K414" s="37"/>
      <c r="L414" s="38"/>
      <c r="M414" s="22" t="str">
        <f aca="true">IF(OR(A414="",J414="Paid",J414="Written off"),"",TODAY()-A414)</f>
        <v/>
      </c>
      <c r="N414" s="22" t="str">
        <f aca="false">IF(M414="","",IF(M414&gt;OVERDUE_DAYS,"OVERDUE",""))</f>
        <v/>
      </c>
      <c r="O414" s="40" t="str">
        <f aca="false">IF(A414="","",IF(A414&lt;FY_START,0,(YEAR(A414)-YEAR(FY_START))*12+MONTH(A414)-MONTH(FY_START)+1))</f>
        <v/>
      </c>
      <c r="P414" s="40" t="str">
        <f aca="false">IF(A414="","",IF(AND(A414&gt;=VP_START,A414&lt;=VP_END),1,0))</f>
        <v/>
      </c>
    </row>
    <row r="415" customFormat="false" ht="15" hidden="false" customHeight="false" outlineLevel="0" collapsed="false">
      <c r="A415" s="37"/>
      <c r="B415" s="36"/>
      <c r="C415" s="36"/>
      <c r="D415" s="36"/>
      <c r="E415" s="36"/>
      <c r="F415" s="38"/>
      <c r="G415" s="36"/>
      <c r="H415" s="39" t="str">
        <f aca="false">IF(F415="","",IF(G415="Standard 5%",F415*VAT_RATE,0))</f>
        <v/>
      </c>
      <c r="I415" s="39" t="str">
        <f aca="false">IF(F415="","",F415+H415)</f>
        <v/>
      </c>
      <c r="J415" s="36"/>
      <c r="K415" s="37"/>
      <c r="L415" s="38"/>
      <c r="M415" s="22" t="str">
        <f aca="true">IF(OR(A415="",J415="Paid",J415="Written off"),"",TODAY()-A415)</f>
        <v/>
      </c>
      <c r="N415" s="22" t="str">
        <f aca="false">IF(M415="","",IF(M415&gt;OVERDUE_DAYS,"OVERDUE",""))</f>
        <v/>
      </c>
      <c r="O415" s="40" t="str">
        <f aca="false">IF(A415="","",IF(A415&lt;FY_START,0,(YEAR(A415)-YEAR(FY_START))*12+MONTH(A415)-MONTH(FY_START)+1))</f>
        <v/>
      </c>
      <c r="P415" s="40" t="str">
        <f aca="false">IF(A415="","",IF(AND(A415&gt;=VP_START,A415&lt;=VP_END),1,0))</f>
        <v/>
      </c>
    </row>
    <row r="416" customFormat="false" ht="15" hidden="false" customHeight="false" outlineLevel="0" collapsed="false">
      <c r="A416" s="37"/>
      <c r="B416" s="36"/>
      <c r="C416" s="36"/>
      <c r="D416" s="36"/>
      <c r="E416" s="36"/>
      <c r="F416" s="38"/>
      <c r="G416" s="36"/>
      <c r="H416" s="39" t="str">
        <f aca="false">IF(F416="","",IF(G416="Standard 5%",F416*VAT_RATE,0))</f>
        <v/>
      </c>
      <c r="I416" s="39" t="str">
        <f aca="false">IF(F416="","",F416+H416)</f>
        <v/>
      </c>
      <c r="J416" s="36"/>
      <c r="K416" s="37"/>
      <c r="L416" s="38"/>
      <c r="M416" s="22" t="str">
        <f aca="true">IF(OR(A416="",J416="Paid",J416="Written off"),"",TODAY()-A416)</f>
        <v/>
      </c>
      <c r="N416" s="22" t="str">
        <f aca="false">IF(M416="","",IF(M416&gt;OVERDUE_DAYS,"OVERDUE",""))</f>
        <v/>
      </c>
      <c r="O416" s="40" t="str">
        <f aca="false">IF(A416="","",IF(A416&lt;FY_START,0,(YEAR(A416)-YEAR(FY_START))*12+MONTH(A416)-MONTH(FY_START)+1))</f>
        <v/>
      </c>
      <c r="P416" s="40" t="str">
        <f aca="false">IF(A416="","",IF(AND(A416&gt;=VP_START,A416&lt;=VP_END),1,0))</f>
        <v/>
      </c>
    </row>
    <row r="417" customFormat="false" ht="15" hidden="false" customHeight="false" outlineLevel="0" collapsed="false">
      <c r="A417" s="37"/>
      <c r="B417" s="36"/>
      <c r="C417" s="36"/>
      <c r="D417" s="36"/>
      <c r="E417" s="36"/>
      <c r="F417" s="38"/>
      <c r="G417" s="36"/>
      <c r="H417" s="39" t="str">
        <f aca="false">IF(F417="","",IF(G417="Standard 5%",F417*VAT_RATE,0))</f>
        <v/>
      </c>
      <c r="I417" s="39" t="str">
        <f aca="false">IF(F417="","",F417+H417)</f>
        <v/>
      </c>
      <c r="J417" s="36"/>
      <c r="K417" s="37"/>
      <c r="L417" s="38"/>
      <c r="M417" s="22" t="str">
        <f aca="true">IF(OR(A417="",J417="Paid",J417="Written off"),"",TODAY()-A417)</f>
        <v/>
      </c>
      <c r="N417" s="22" t="str">
        <f aca="false">IF(M417="","",IF(M417&gt;OVERDUE_DAYS,"OVERDUE",""))</f>
        <v/>
      </c>
      <c r="O417" s="40" t="str">
        <f aca="false">IF(A417="","",IF(A417&lt;FY_START,0,(YEAR(A417)-YEAR(FY_START))*12+MONTH(A417)-MONTH(FY_START)+1))</f>
        <v/>
      </c>
      <c r="P417" s="40" t="str">
        <f aca="false">IF(A417="","",IF(AND(A417&gt;=VP_START,A417&lt;=VP_END),1,0))</f>
        <v/>
      </c>
    </row>
    <row r="418" customFormat="false" ht="15" hidden="false" customHeight="false" outlineLevel="0" collapsed="false">
      <c r="A418" s="37"/>
      <c r="B418" s="36"/>
      <c r="C418" s="36"/>
      <c r="D418" s="36"/>
      <c r="E418" s="36"/>
      <c r="F418" s="38"/>
      <c r="G418" s="36"/>
      <c r="H418" s="39" t="str">
        <f aca="false">IF(F418="","",IF(G418="Standard 5%",F418*VAT_RATE,0))</f>
        <v/>
      </c>
      <c r="I418" s="39" t="str">
        <f aca="false">IF(F418="","",F418+H418)</f>
        <v/>
      </c>
      <c r="J418" s="36"/>
      <c r="K418" s="37"/>
      <c r="L418" s="38"/>
      <c r="M418" s="22" t="str">
        <f aca="true">IF(OR(A418="",J418="Paid",J418="Written off"),"",TODAY()-A418)</f>
        <v/>
      </c>
      <c r="N418" s="22" t="str">
        <f aca="false">IF(M418="","",IF(M418&gt;OVERDUE_DAYS,"OVERDUE",""))</f>
        <v/>
      </c>
      <c r="O418" s="40" t="str">
        <f aca="false">IF(A418="","",IF(A418&lt;FY_START,0,(YEAR(A418)-YEAR(FY_START))*12+MONTH(A418)-MONTH(FY_START)+1))</f>
        <v/>
      </c>
      <c r="P418" s="40" t="str">
        <f aca="false">IF(A418="","",IF(AND(A418&gt;=VP_START,A418&lt;=VP_END),1,0))</f>
        <v/>
      </c>
    </row>
    <row r="419" customFormat="false" ht="15" hidden="false" customHeight="false" outlineLevel="0" collapsed="false">
      <c r="A419" s="37"/>
      <c r="B419" s="36"/>
      <c r="C419" s="36"/>
      <c r="D419" s="36"/>
      <c r="E419" s="36"/>
      <c r="F419" s="38"/>
      <c r="G419" s="36"/>
      <c r="H419" s="39" t="str">
        <f aca="false">IF(F419="","",IF(G419="Standard 5%",F419*VAT_RATE,0))</f>
        <v/>
      </c>
      <c r="I419" s="39" t="str">
        <f aca="false">IF(F419="","",F419+H419)</f>
        <v/>
      </c>
      <c r="J419" s="36"/>
      <c r="K419" s="37"/>
      <c r="L419" s="38"/>
      <c r="M419" s="22" t="str">
        <f aca="true">IF(OR(A419="",J419="Paid",J419="Written off"),"",TODAY()-A419)</f>
        <v/>
      </c>
      <c r="N419" s="22" t="str">
        <f aca="false">IF(M419="","",IF(M419&gt;OVERDUE_DAYS,"OVERDUE",""))</f>
        <v/>
      </c>
      <c r="O419" s="40" t="str">
        <f aca="false">IF(A419="","",IF(A419&lt;FY_START,0,(YEAR(A419)-YEAR(FY_START))*12+MONTH(A419)-MONTH(FY_START)+1))</f>
        <v/>
      </c>
      <c r="P419" s="40" t="str">
        <f aca="false">IF(A419="","",IF(AND(A419&gt;=VP_START,A419&lt;=VP_END),1,0))</f>
        <v/>
      </c>
    </row>
    <row r="420" customFormat="false" ht="15" hidden="false" customHeight="false" outlineLevel="0" collapsed="false">
      <c r="A420" s="37"/>
      <c r="B420" s="36"/>
      <c r="C420" s="36"/>
      <c r="D420" s="36"/>
      <c r="E420" s="36"/>
      <c r="F420" s="38"/>
      <c r="G420" s="36"/>
      <c r="H420" s="39" t="str">
        <f aca="false">IF(F420="","",IF(G420="Standard 5%",F420*VAT_RATE,0))</f>
        <v/>
      </c>
      <c r="I420" s="39" t="str">
        <f aca="false">IF(F420="","",F420+H420)</f>
        <v/>
      </c>
      <c r="J420" s="36"/>
      <c r="K420" s="37"/>
      <c r="L420" s="38"/>
      <c r="M420" s="22" t="str">
        <f aca="true">IF(OR(A420="",J420="Paid",J420="Written off"),"",TODAY()-A420)</f>
        <v/>
      </c>
      <c r="N420" s="22" t="str">
        <f aca="false">IF(M420="","",IF(M420&gt;OVERDUE_DAYS,"OVERDUE",""))</f>
        <v/>
      </c>
      <c r="O420" s="40" t="str">
        <f aca="false">IF(A420="","",IF(A420&lt;FY_START,0,(YEAR(A420)-YEAR(FY_START))*12+MONTH(A420)-MONTH(FY_START)+1))</f>
        <v/>
      </c>
      <c r="P420" s="40" t="str">
        <f aca="false">IF(A420="","",IF(AND(A420&gt;=VP_START,A420&lt;=VP_END),1,0))</f>
        <v/>
      </c>
    </row>
    <row r="421" customFormat="false" ht="15" hidden="false" customHeight="false" outlineLevel="0" collapsed="false">
      <c r="A421" s="37"/>
      <c r="B421" s="36"/>
      <c r="C421" s="36"/>
      <c r="D421" s="36"/>
      <c r="E421" s="36"/>
      <c r="F421" s="38"/>
      <c r="G421" s="36"/>
      <c r="H421" s="39" t="str">
        <f aca="false">IF(F421="","",IF(G421="Standard 5%",F421*VAT_RATE,0))</f>
        <v/>
      </c>
      <c r="I421" s="39" t="str">
        <f aca="false">IF(F421="","",F421+H421)</f>
        <v/>
      </c>
      <c r="J421" s="36"/>
      <c r="K421" s="37"/>
      <c r="L421" s="38"/>
      <c r="M421" s="22" t="str">
        <f aca="true">IF(OR(A421="",J421="Paid",J421="Written off"),"",TODAY()-A421)</f>
        <v/>
      </c>
      <c r="N421" s="22" t="str">
        <f aca="false">IF(M421="","",IF(M421&gt;OVERDUE_DAYS,"OVERDUE",""))</f>
        <v/>
      </c>
      <c r="O421" s="40" t="str">
        <f aca="false">IF(A421="","",IF(A421&lt;FY_START,0,(YEAR(A421)-YEAR(FY_START))*12+MONTH(A421)-MONTH(FY_START)+1))</f>
        <v/>
      </c>
      <c r="P421" s="40" t="str">
        <f aca="false">IF(A421="","",IF(AND(A421&gt;=VP_START,A421&lt;=VP_END),1,0))</f>
        <v/>
      </c>
    </row>
    <row r="422" customFormat="false" ht="15" hidden="false" customHeight="false" outlineLevel="0" collapsed="false">
      <c r="A422" s="37"/>
      <c r="B422" s="36"/>
      <c r="C422" s="36"/>
      <c r="D422" s="36"/>
      <c r="E422" s="36"/>
      <c r="F422" s="38"/>
      <c r="G422" s="36"/>
      <c r="H422" s="39" t="str">
        <f aca="false">IF(F422="","",IF(G422="Standard 5%",F422*VAT_RATE,0))</f>
        <v/>
      </c>
      <c r="I422" s="39" t="str">
        <f aca="false">IF(F422="","",F422+H422)</f>
        <v/>
      </c>
      <c r="J422" s="36"/>
      <c r="K422" s="37"/>
      <c r="L422" s="38"/>
      <c r="M422" s="22" t="str">
        <f aca="true">IF(OR(A422="",J422="Paid",J422="Written off"),"",TODAY()-A422)</f>
        <v/>
      </c>
      <c r="N422" s="22" t="str">
        <f aca="false">IF(M422="","",IF(M422&gt;OVERDUE_DAYS,"OVERDUE",""))</f>
        <v/>
      </c>
      <c r="O422" s="40" t="str">
        <f aca="false">IF(A422="","",IF(A422&lt;FY_START,0,(YEAR(A422)-YEAR(FY_START))*12+MONTH(A422)-MONTH(FY_START)+1))</f>
        <v/>
      </c>
      <c r="P422" s="40" t="str">
        <f aca="false">IF(A422="","",IF(AND(A422&gt;=VP_START,A422&lt;=VP_END),1,0))</f>
        <v/>
      </c>
    </row>
    <row r="423" customFormat="false" ht="15" hidden="false" customHeight="false" outlineLevel="0" collapsed="false">
      <c r="A423" s="37"/>
      <c r="B423" s="36"/>
      <c r="C423" s="36"/>
      <c r="D423" s="36"/>
      <c r="E423" s="36"/>
      <c r="F423" s="38"/>
      <c r="G423" s="36"/>
      <c r="H423" s="39" t="str">
        <f aca="false">IF(F423="","",IF(G423="Standard 5%",F423*VAT_RATE,0))</f>
        <v/>
      </c>
      <c r="I423" s="39" t="str">
        <f aca="false">IF(F423="","",F423+H423)</f>
        <v/>
      </c>
      <c r="J423" s="36"/>
      <c r="K423" s="37"/>
      <c r="L423" s="38"/>
      <c r="M423" s="22" t="str">
        <f aca="true">IF(OR(A423="",J423="Paid",J423="Written off"),"",TODAY()-A423)</f>
        <v/>
      </c>
      <c r="N423" s="22" t="str">
        <f aca="false">IF(M423="","",IF(M423&gt;OVERDUE_DAYS,"OVERDUE",""))</f>
        <v/>
      </c>
      <c r="O423" s="40" t="str">
        <f aca="false">IF(A423="","",IF(A423&lt;FY_START,0,(YEAR(A423)-YEAR(FY_START))*12+MONTH(A423)-MONTH(FY_START)+1))</f>
        <v/>
      </c>
      <c r="P423" s="40" t="str">
        <f aca="false">IF(A423="","",IF(AND(A423&gt;=VP_START,A423&lt;=VP_END),1,0))</f>
        <v/>
      </c>
    </row>
    <row r="424" customFormat="false" ht="15" hidden="false" customHeight="false" outlineLevel="0" collapsed="false">
      <c r="A424" s="37"/>
      <c r="B424" s="36"/>
      <c r="C424" s="36"/>
      <c r="D424" s="36"/>
      <c r="E424" s="36"/>
      <c r="F424" s="38"/>
      <c r="G424" s="36"/>
      <c r="H424" s="39" t="str">
        <f aca="false">IF(F424="","",IF(G424="Standard 5%",F424*VAT_RATE,0))</f>
        <v/>
      </c>
      <c r="I424" s="39" t="str">
        <f aca="false">IF(F424="","",F424+H424)</f>
        <v/>
      </c>
      <c r="J424" s="36"/>
      <c r="K424" s="37"/>
      <c r="L424" s="38"/>
      <c r="M424" s="22" t="str">
        <f aca="true">IF(OR(A424="",J424="Paid",J424="Written off"),"",TODAY()-A424)</f>
        <v/>
      </c>
      <c r="N424" s="22" t="str">
        <f aca="false">IF(M424="","",IF(M424&gt;OVERDUE_DAYS,"OVERDUE",""))</f>
        <v/>
      </c>
      <c r="O424" s="40" t="str">
        <f aca="false">IF(A424="","",IF(A424&lt;FY_START,0,(YEAR(A424)-YEAR(FY_START))*12+MONTH(A424)-MONTH(FY_START)+1))</f>
        <v/>
      </c>
      <c r="P424" s="40" t="str">
        <f aca="false">IF(A424="","",IF(AND(A424&gt;=VP_START,A424&lt;=VP_END),1,0))</f>
        <v/>
      </c>
    </row>
    <row r="425" customFormat="false" ht="15" hidden="false" customHeight="false" outlineLevel="0" collapsed="false">
      <c r="A425" s="37"/>
      <c r="B425" s="36"/>
      <c r="C425" s="36"/>
      <c r="D425" s="36"/>
      <c r="E425" s="36"/>
      <c r="F425" s="38"/>
      <c r="G425" s="36"/>
      <c r="H425" s="39" t="str">
        <f aca="false">IF(F425="","",IF(G425="Standard 5%",F425*VAT_RATE,0))</f>
        <v/>
      </c>
      <c r="I425" s="39" t="str">
        <f aca="false">IF(F425="","",F425+H425)</f>
        <v/>
      </c>
      <c r="J425" s="36"/>
      <c r="K425" s="37"/>
      <c r="L425" s="38"/>
      <c r="M425" s="22" t="str">
        <f aca="true">IF(OR(A425="",J425="Paid",J425="Written off"),"",TODAY()-A425)</f>
        <v/>
      </c>
      <c r="N425" s="22" t="str">
        <f aca="false">IF(M425="","",IF(M425&gt;OVERDUE_DAYS,"OVERDUE",""))</f>
        <v/>
      </c>
      <c r="O425" s="40" t="str">
        <f aca="false">IF(A425="","",IF(A425&lt;FY_START,0,(YEAR(A425)-YEAR(FY_START))*12+MONTH(A425)-MONTH(FY_START)+1))</f>
        <v/>
      </c>
      <c r="P425" s="40" t="str">
        <f aca="false">IF(A425="","",IF(AND(A425&gt;=VP_START,A425&lt;=VP_END),1,0))</f>
        <v/>
      </c>
    </row>
    <row r="426" customFormat="false" ht="15" hidden="false" customHeight="false" outlineLevel="0" collapsed="false">
      <c r="A426" s="37"/>
      <c r="B426" s="36"/>
      <c r="C426" s="36"/>
      <c r="D426" s="36"/>
      <c r="E426" s="36"/>
      <c r="F426" s="38"/>
      <c r="G426" s="36"/>
      <c r="H426" s="39" t="str">
        <f aca="false">IF(F426="","",IF(G426="Standard 5%",F426*VAT_RATE,0))</f>
        <v/>
      </c>
      <c r="I426" s="39" t="str">
        <f aca="false">IF(F426="","",F426+H426)</f>
        <v/>
      </c>
      <c r="J426" s="36"/>
      <c r="K426" s="37"/>
      <c r="L426" s="38"/>
      <c r="M426" s="22" t="str">
        <f aca="true">IF(OR(A426="",J426="Paid",J426="Written off"),"",TODAY()-A426)</f>
        <v/>
      </c>
      <c r="N426" s="22" t="str">
        <f aca="false">IF(M426="","",IF(M426&gt;OVERDUE_DAYS,"OVERDUE",""))</f>
        <v/>
      </c>
      <c r="O426" s="40" t="str">
        <f aca="false">IF(A426="","",IF(A426&lt;FY_START,0,(YEAR(A426)-YEAR(FY_START))*12+MONTH(A426)-MONTH(FY_START)+1))</f>
        <v/>
      </c>
      <c r="P426" s="40" t="str">
        <f aca="false">IF(A426="","",IF(AND(A426&gt;=VP_START,A426&lt;=VP_END),1,0))</f>
        <v/>
      </c>
    </row>
    <row r="427" customFormat="false" ht="15" hidden="false" customHeight="false" outlineLevel="0" collapsed="false">
      <c r="A427" s="37"/>
      <c r="B427" s="36"/>
      <c r="C427" s="36"/>
      <c r="D427" s="36"/>
      <c r="E427" s="36"/>
      <c r="F427" s="38"/>
      <c r="G427" s="36"/>
      <c r="H427" s="39" t="str">
        <f aca="false">IF(F427="","",IF(G427="Standard 5%",F427*VAT_RATE,0))</f>
        <v/>
      </c>
      <c r="I427" s="39" t="str">
        <f aca="false">IF(F427="","",F427+H427)</f>
        <v/>
      </c>
      <c r="J427" s="36"/>
      <c r="K427" s="37"/>
      <c r="L427" s="38"/>
      <c r="M427" s="22" t="str">
        <f aca="true">IF(OR(A427="",J427="Paid",J427="Written off"),"",TODAY()-A427)</f>
        <v/>
      </c>
      <c r="N427" s="22" t="str">
        <f aca="false">IF(M427="","",IF(M427&gt;OVERDUE_DAYS,"OVERDUE",""))</f>
        <v/>
      </c>
      <c r="O427" s="40" t="str">
        <f aca="false">IF(A427="","",IF(A427&lt;FY_START,0,(YEAR(A427)-YEAR(FY_START))*12+MONTH(A427)-MONTH(FY_START)+1))</f>
        <v/>
      </c>
      <c r="P427" s="40" t="str">
        <f aca="false">IF(A427="","",IF(AND(A427&gt;=VP_START,A427&lt;=VP_END),1,0))</f>
        <v/>
      </c>
    </row>
    <row r="428" customFormat="false" ht="15" hidden="false" customHeight="false" outlineLevel="0" collapsed="false">
      <c r="A428" s="37"/>
      <c r="B428" s="36"/>
      <c r="C428" s="36"/>
      <c r="D428" s="36"/>
      <c r="E428" s="36"/>
      <c r="F428" s="38"/>
      <c r="G428" s="36"/>
      <c r="H428" s="39" t="str">
        <f aca="false">IF(F428="","",IF(G428="Standard 5%",F428*VAT_RATE,0))</f>
        <v/>
      </c>
      <c r="I428" s="39" t="str">
        <f aca="false">IF(F428="","",F428+H428)</f>
        <v/>
      </c>
      <c r="J428" s="36"/>
      <c r="K428" s="37"/>
      <c r="L428" s="38"/>
      <c r="M428" s="22" t="str">
        <f aca="true">IF(OR(A428="",J428="Paid",J428="Written off"),"",TODAY()-A428)</f>
        <v/>
      </c>
      <c r="N428" s="22" t="str">
        <f aca="false">IF(M428="","",IF(M428&gt;OVERDUE_DAYS,"OVERDUE",""))</f>
        <v/>
      </c>
      <c r="O428" s="40" t="str">
        <f aca="false">IF(A428="","",IF(A428&lt;FY_START,0,(YEAR(A428)-YEAR(FY_START))*12+MONTH(A428)-MONTH(FY_START)+1))</f>
        <v/>
      </c>
      <c r="P428" s="40" t="str">
        <f aca="false">IF(A428="","",IF(AND(A428&gt;=VP_START,A428&lt;=VP_END),1,0))</f>
        <v/>
      </c>
    </row>
    <row r="429" customFormat="false" ht="15" hidden="false" customHeight="false" outlineLevel="0" collapsed="false">
      <c r="A429" s="37"/>
      <c r="B429" s="36"/>
      <c r="C429" s="36"/>
      <c r="D429" s="36"/>
      <c r="E429" s="36"/>
      <c r="F429" s="38"/>
      <c r="G429" s="36"/>
      <c r="H429" s="39" t="str">
        <f aca="false">IF(F429="","",IF(G429="Standard 5%",F429*VAT_RATE,0))</f>
        <v/>
      </c>
      <c r="I429" s="39" t="str">
        <f aca="false">IF(F429="","",F429+H429)</f>
        <v/>
      </c>
      <c r="J429" s="36"/>
      <c r="K429" s="37"/>
      <c r="L429" s="38"/>
      <c r="M429" s="22" t="str">
        <f aca="true">IF(OR(A429="",J429="Paid",J429="Written off"),"",TODAY()-A429)</f>
        <v/>
      </c>
      <c r="N429" s="22" t="str">
        <f aca="false">IF(M429="","",IF(M429&gt;OVERDUE_DAYS,"OVERDUE",""))</f>
        <v/>
      </c>
      <c r="O429" s="40" t="str">
        <f aca="false">IF(A429="","",IF(A429&lt;FY_START,0,(YEAR(A429)-YEAR(FY_START))*12+MONTH(A429)-MONTH(FY_START)+1))</f>
        <v/>
      </c>
      <c r="P429" s="40" t="str">
        <f aca="false">IF(A429="","",IF(AND(A429&gt;=VP_START,A429&lt;=VP_END),1,0))</f>
        <v/>
      </c>
    </row>
    <row r="430" customFormat="false" ht="15" hidden="false" customHeight="false" outlineLevel="0" collapsed="false">
      <c r="A430" s="37"/>
      <c r="B430" s="36"/>
      <c r="C430" s="36"/>
      <c r="D430" s="36"/>
      <c r="E430" s="36"/>
      <c r="F430" s="38"/>
      <c r="G430" s="36"/>
      <c r="H430" s="39" t="str">
        <f aca="false">IF(F430="","",IF(G430="Standard 5%",F430*VAT_RATE,0))</f>
        <v/>
      </c>
      <c r="I430" s="39" t="str">
        <f aca="false">IF(F430="","",F430+H430)</f>
        <v/>
      </c>
      <c r="J430" s="36"/>
      <c r="K430" s="37"/>
      <c r="L430" s="38"/>
      <c r="M430" s="22" t="str">
        <f aca="true">IF(OR(A430="",J430="Paid",J430="Written off"),"",TODAY()-A430)</f>
        <v/>
      </c>
      <c r="N430" s="22" t="str">
        <f aca="false">IF(M430="","",IF(M430&gt;OVERDUE_DAYS,"OVERDUE",""))</f>
        <v/>
      </c>
      <c r="O430" s="40" t="str">
        <f aca="false">IF(A430="","",IF(A430&lt;FY_START,0,(YEAR(A430)-YEAR(FY_START))*12+MONTH(A430)-MONTH(FY_START)+1))</f>
        <v/>
      </c>
      <c r="P430" s="40" t="str">
        <f aca="false">IF(A430="","",IF(AND(A430&gt;=VP_START,A430&lt;=VP_END),1,0))</f>
        <v/>
      </c>
    </row>
    <row r="431" customFormat="false" ht="15" hidden="false" customHeight="false" outlineLevel="0" collapsed="false">
      <c r="A431" s="37"/>
      <c r="B431" s="36"/>
      <c r="C431" s="36"/>
      <c r="D431" s="36"/>
      <c r="E431" s="36"/>
      <c r="F431" s="38"/>
      <c r="G431" s="36"/>
      <c r="H431" s="39" t="str">
        <f aca="false">IF(F431="","",IF(G431="Standard 5%",F431*VAT_RATE,0))</f>
        <v/>
      </c>
      <c r="I431" s="39" t="str">
        <f aca="false">IF(F431="","",F431+H431)</f>
        <v/>
      </c>
      <c r="J431" s="36"/>
      <c r="K431" s="37"/>
      <c r="L431" s="38"/>
      <c r="M431" s="22" t="str">
        <f aca="true">IF(OR(A431="",J431="Paid",J431="Written off"),"",TODAY()-A431)</f>
        <v/>
      </c>
      <c r="N431" s="22" t="str">
        <f aca="false">IF(M431="","",IF(M431&gt;OVERDUE_DAYS,"OVERDUE",""))</f>
        <v/>
      </c>
      <c r="O431" s="40" t="str">
        <f aca="false">IF(A431="","",IF(A431&lt;FY_START,0,(YEAR(A431)-YEAR(FY_START))*12+MONTH(A431)-MONTH(FY_START)+1))</f>
        <v/>
      </c>
      <c r="P431" s="40" t="str">
        <f aca="false">IF(A431="","",IF(AND(A431&gt;=VP_START,A431&lt;=VP_END),1,0))</f>
        <v/>
      </c>
    </row>
    <row r="432" customFormat="false" ht="15" hidden="false" customHeight="false" outlineLevel="0" collapsed="false">
      <c r="A432" s="37"/>
      <c r="B432" s="36"/>
      <c r="C432" s="36"/>
      <c r="D432" s="36"/>
      <c r="E432" s="36"/>
      <c r="F432" s="38"/>
      <c r="G432" s="36"/>
      <c r="H432" s="39" t="str">
        <f aca="false">IF(F432="","",IF(G432="Standard 5%",F432*VAT_RATE,0))</f>
        <v/>
      </c>
      <c r="I432" s="39" t="str">
        <f aca="false">IF(F432="","",F432+H432)</f>
        <v/>
      </c>
      <c r="J432" s="36"/>
      <c r="K432" s="37"/>
      <c r="L432" s="38"/>
      <c r="M432" s="22" t="str">
        <f aca="true">IF(OR(A432="",J432="Paid",J432="Written off"),"",TODAY()-A432)</f>
        <v/>
      </c>
      <c r="N432" s="22" t="str">
        <f aca="false">IF(M432="","",IF(M432&gt;OVERDUE_DAYS,"OVERDUE",""))</f>
        <v/>
      </c>
      <c r="O432" s="40" t="str">
        <f aca="false">IF(A432="","",IF(A432&lt;FY_START,0,(YEAR(A432)-YEAR(FY_START))*12+MONTH(A432)-MONTH(FY_START)+1))</f>
        <v/>
      </c>
      <c r="P432" s="40" t="str">
        <f aca="false">IF(A432="","",IF(AND(A432&gt;=VP_START,A432&lt;=VP_END),1,0))</f>
        <v/>
      </c>
    </row>
    <row r="433" customFormat="false" ht="15" hidden="false" customHeight="false" outlineLevel="0" collapsed="false">
      <c r="A433" s="37"/>
      <c r="B433" s="36"/>
      <c r="C433" s="36"/>
      <c r="D433" s="36"/>
      <c r="E433" s="36"/>
      <c r="F433" s="38"/>
      <c r="G433" s="36"/>
      <c r="H433" s="39" t="str">
        <f aca="false">IF(F433="","",IF(G433="Standard 5%",F433*VAT_RATE,0))</f>
        <v/>
      </c>
      <c r="I433" s="39" t="str">
        <f aca="false">IF(F433="","",F433+H433)</f>
        <v/>
      </c>
      <c r="J433" s="36"/>
      <c r="K433" s="37"/>
      <c r="L433" s="38"/>
      <c r="M433" s="22" t="str">
        <f aca="true">IF(OR(A433="",J433="Paid",J433="Written off"),"",TODAY()-A433)</f>
        <v/>
      </c>
      <c r="N433" s="22" t="str">
        <f aca="false">IF(M433="","",IF(M433&gt;OVERDUE_DAYS,"OVERDUE",""))</f>
        <v/>
      </c>
      <c r="O433" s="40" t="str">
        <f aca="false">IF(A433="","",IF(A433&lt;FY_START,0,(YEAR(A433)-YEAR(FY_START))*12+MONTH(A433)-MONTH(FY_START)+1))</f>
        <v/>
      </c>
      <c r="P433" s="40" t="str">
        <f aca="false">IF(A433="","",IF(AND(A433&gt;=VP_START,A433&lt;=VP_END),1,0))</f>
        <v/>
      </c>
    </row>
    <row r="434" customFormat="false" ht="15" hidden="false" customHeight="false" outlineLevel="0" collapsed="false">
      <c r="A434" s="37"/>
      <c r="B434" s="36"/>
      <c r="C434" s="36"/>
      <c r="D434" s="36"/>
      <c r="E434" s="36"/>
      <c r="F434" s="38"/>
      <c r="G434" s="36"/>
      <c r="H434" s="39" t="str">
        <f aca="false">IF(F434="","",IF(G434="Standard 5%",F434*VAT_RATE,0))</f>
        <v/>
      </c>
      <c r="I434" s="39" t="str">
        <f aca="false">IF(F434="","",F434+H434)</f>
        <v/>
      </c>
      <c r="J434" s="36"/>
      <c r="K434" s="37"/>
      <c r="L434" s="38"/>
      <c r="M434" s="22" t="str">
        <f aca="true">IF(OR(A434="",J434="Paid",J434="Written off"),"",TODAY()-A434)</f>
        <v/>
      </c>
      <c r="N434" s="22" t="str">
        <f aca="false">IF(M434="","",IF(M434&gt;OVERDUE_DAYS,"OVERDUE",""))</f>
        <v/>
      </c>
      <c r="O434" s="40" t="str">
        <f aca="false">IF(A434="","",IF(A434&lt;FY_START,0,(YEAR(A434)-YEAR(FY_START))*12+MONTH(A434)-MONTH(FY_START)+1))</f>
        <v/>
      </c>
      <c r="P434" s="40" t="str">
        <f aca="false">IF(A434="","",IF(AND(A434&gt;=VP_START,A434&lt;=VP_END),1,0))</f>
        <v/>
      </c>
    </row>
    <row r="435" customFormat="false" ht="15" hidden="false" customHeight="false" outlineLevel="0" collapsed="false">
      <c r="A435" s="37"/>
      <c r="B435" s="36"/>
      <c r="C435" s="36"/>
      <c r="D435" s="36"/>
      <c r="E435" s="36"/>
      <c r="F435" s="38"/>
      <c r="G435" s="36"/>
      <c r="H435" s="39" t="str">
        <f aca="false">IF(F435="","",IF(G435="Standard 5%",F435*VAT_RATE,0))</f>
        <v/>
      </c>
      <c r="I435" s="39" t="str">
        <f aca="false">IF(F435="","",F435+H435)</f>
        <v/>
      </c>
      <c r="J435" s="36"/>
      <c r="K435" s="37"/>
      <c r="L435" s="38"/>
      <c r="M435" s="22" t="str">
        <f aca="true">IF(OR(A435="",J435="Paid",J435="Written off"),"",TODAY()-A435)</f>
        <v/>
      </c>
      <c r="N435" s="22" t="str">
        <f aca="false">IF(M435="","",IF(M435&gt;OVERDUE_DAYS,"OVERDUE",""))</f>
        <v/>
      </c>
      <c r="O435" s="40" t="str">
        <f aca="false">IF(A435="","",IF(A435&lt;FY_START,0,(YEAR(A435)-YEAR(FY_START))*12+MONTH(A435)-MONTH(FY_START)+1))</f>
        <v/>
      </c>
      <c r="P435" s="40" t="str">
        <f aca="false">IF(A435="","",IF(AND(A435&gt;=VP_START,A435&lt;=VP_END),1,0))</f>
        <v/>
      </c>
    </row>
    <row r="436" customFormat="false" ht="15" hidden="false" customHeight="false" outlineLevel="0" collapsed="false">
      <c r="A436" s="37"/>
      <c r="B436" s="36"/>
      <c r="C436" s="36"/>
      <c r="D436" s="36"/>
      <c r="E436" s="36"/>
      <c r="F436" s="38"/>
      <c r="G436" s="36"/>
      <c r="H436" s="39" t="str">
        <f aca="false">IF(F436="","",IF(G436="Standard 5%",F436*VAT_RATE,0))</f>
        <v/>
      </c>
      <c r="I436" s="39" t="str">
        <f aca="false">IF(F436="","",F436+H436)</f>
        <v/>
      </c>
      <c r="J436" s="36"/>
      <c r="K436" s="37"/>
      <c r="L436" s="38"/>
      <c r="M436" s="22" t="str">
        <f aca="true">IF(OR(A436="",J436="Paid",J436="Written off"),"",TODAY()-A436)</f>
        <v/>
      </c>
      <c r="N436" s="22" t="str">
        <f aca="false">IF(M436="","",IF(M436&gt;OVERDUE_DAYS,"OVERDUE",""))</f>
        <v/>
      </c>
      <c r="O436" s="40" t="str">
        <f aca="false">IF(A436="","",IF(A436&lt;FY_START,0,(YEAR(A436)-YEAR(FY_START))*12+MONTH(A436)-MONTH(FY_START)+1))</f>
        <v/>
      </c>
      <c r="P436" s="40" t="str">
        <f aca="false">IF(A436="","",IF(AND(A436&gt;=VP_START,A436&lt;=VP_END),1,0))</f>
        <v/>
      </c>
    </row>
    <row r="437" customFormat="false" ht="15" hidden="false" customHeight="false" outlineLevel="0" collapsed="false">
      <c r="A437" s="37"/>
      <c r="B437" s="36"/>
      <c r="C437" s="36"/>
      <c r="D437" s="36"/>
      <c r="E437" s="36"/>
      <c r="F437" s="38"/>
      <c r="G437" s="36"/>
      <c r="H437" s="39" t="str">
        <f aca="false">IF(F437="","",IF(G437="Standard 5%",F437*VAT_RATE,0))</f>
        <v/>
      </c>
      <c r="I437" s="39" t="str">
        <f aca="false">IF(F437="","",F437+H437)</f>
        <v/>
      </c>
      <c r="J437" s="36"/>
      <c r="K437" s="37"/>
      <c r="L437" s="38"/>
      <c r="M437" s="22" t="str">
        <f aca="true">IF(OR(A437="",J437="Paid",J437="Written off"),"",TODAY()-A437)</f>
        <v/>
      </c>
      <c r="N437" s="22" t="str">
        <f aca="false">IF(M437="","",IF(M437&gt;OVERDUE_DAYS,"OVERDUE",""))</f>
        <v/>
      </c>
      <c r="O437" s="40" t="str">
        <f aca="false">IF(A437="","",IF(A437&lt;FY_START,0,(YEAR(A437)-YEAR(FY_START))*12+MONTH(A437)-MONTH(FY_START)+1))</f>
        <v/>
      </c>
      <c r="P437" s="40" t="str">
        <f aca="false">IF(A437="","",IF(AND(A437&gt;=VP_START,A437&lt;=VP_END),1,0))</f>
        <v/>
      </c>
    </row>
    <row r="438" customFormat="false" ht="15" hidden="false" customHeight="false" outlineLevel="0" collapsed="false">
      <c r="A438" s="37"/>
      <c r="B438" s="36"/>
      <c r="C438" s="36"/>
      <c r="D438" s="36"/>
      <c r="E438" s="36"/>
      <c r="F438" s="38"/>
      <c r="G438" s="36"/>
      <c r="H438" s="39" t="str">
        <f aca="false">IF(F438="","",IF(G438="Standard 5%",F438*VAT_RATE,0))</f>
        <v/>
      </c>
      <c r="I438" s="39" t="str">
        <f aca="false">IF(F438="","",F438+H438)</f>
        <v/>
      </c>
      <c r="J438" s="36"/>
      <c r="K438" s="37"/>
      <c r="L438" s="38"/>
      <c r="M438" s="22" t="str">
        <f aca="true">IF(OR(A438="",J438="Paid",J438="Written off"),"",TODAY()-A438)</f>
        <v/>
      </c>
      <c r="N438" s="22" t="str">
        <f aca="false">IF(M438="","",IF(M438&gt;OVERDUE_DAYS,"OVERDUE",""))</f>
        <v/>
      </c>
      <c r="O438" s="40" t="str">
        <f aca="false">IF(A438="","",IF(A438&lt;FY_START,0,(YEAR(A438)-YEAR(FY_START))*12+MONTH(A438)-MONTH(FY_START)+1))</f>
        <v/>
      </c>
      <c r="P438" s="40" t="str">
        <f aca="false">IF(A438="","",IF(AND(A438&gt;=VP_START,A438&lt;=VP_END),1,0))</f>
        <v/>
      </c>
    </row>
    <row r="439" customFormat="false" ht="15" hidden="false" customHeight="false" outlineLevel="0" collapsed="false">
      <c r="A439" s="37"/>
      <c r="B439" s="36"/>
      <c r="C439" s="36"/>
      <c r="D439" s="36"/>
      <c r="E439" s="36"/>
      <c r="F439" s="38"/>
      <c r="G439" s="36"/>
      <c r="H439" s="39" t="str">
        <f aca="false">IF(F439="","",IF(G439="Standard 5%",F439*VAT_RATE,0))</f>
        <v/>
      </c>
      <c r="I439" s="39" t="str">
        <f aca="false">IF(F439="","",F439+H439)</f>
        <v/>
      </c>
      <c r="J439" s="36"/>
      <c r="K439" s="37"/>
      <c r="L439" s="38"/>
      <c r="M439" s="22" t="str">
        <f aca="true">IF(OR(A439="",J439="Paid",J439="Written off"),"",TODAY()-A439)</f>
        <v/>
      </c>
      <c r="N439" s="22" t="str">
        <f aca="false">IF(M439="","",IF(M439&gt;OVERDUE_DAYS,"OVERDUE",""))</f>
        <v/>
      </c>
      <c r="O439" s="40" t="str">
        <f aca="false">IF(A439="","",IF(A439&lt;FY_START,0,(YEAR(A439)-YEAR(FY_START))*12+MONTH(A439)-MONTH(FY_START)+1))</f>
        <v/>
      </c>
      <c r="P439" s="40" t="str">
        <f aca="false">IF(A439="","",IF(AND(A439&gt;=VP_START,A439&lt;=VP_END),1,0))</f>
        <v/>
      </c>
    </row>
    <row r="440" customFormat="false" ht="15" hidden="false" customHeight="false" outlineLevel="0" collapsed="false">
      <c r="A440" s="37"/>
      <c r="B440" s="36"/>
      <c r="C440" s="36"/>
      <c r="D440" s="36"/>
      <c r="E440" s="36"/>
      <c r="F440" s="38"/>
      <c r="G440" s="36"/>
      <c r="H440" s="39" t="str">
        <f aca="false">IF(F440="","",IF(G440="Standard 5%",F440*VAT_RATE,0))</f>
        <v/>
      </c>
      <c r="I440" s="39" t="str">
        <f aca="false">IF(F440="","",F440+H440)</f>
        <v/>
      </c>
      <c r="J440" s="36"/>
      <c r="K440" s="37"/>
      <c r="L440" s="38"/>
      <c r="M440" s="22" t="str">
        <f aca="true">IF(OR(A440="",J440="Paid",J440="Written off"),"",TODAY()-A440)</f>
        <v/>
      </c>
      <c r="N440" s="22" t="str">
        <f aca="false">IF(M440="","",IF(M440&gt;OVERDUE_DAYS,"OVERDUE",""))</f>
        <v/>
      </c>
      <c r="O440" s="40" t="str">
        <f aca="false">IF(A440="","",IF(A440&lt;FY_START,0,(YEAR(A440)-YEAR(FY_START))*12+MONTH(A440)-MONTH(FY_START)+1))</f>
        <v/>
      </c>
      <c r="P440" s="40" t="str">
        <f aca="false">IF(A440="","",IF(AND(A440&gt;=VP_START,A440&lt;=VP_END),1,0))</f>
        <v/>
      </c>
    </row>
    <row r="441" customFormat="false" ht="15" hidden="false" customHeight="false" outlineLevel="0" collapsed="false">
      <c r="A441" s="37"/>
      <c r="B441" s="36"/>
      <c r="C441" s="36"/>
      <c r="D441" s="36"/>
      <c r="E441" s="36"/>
      <c r="F441" s="38"/>
      <c r="G441" s="36"/>
      <c r="H441" s="39" t="str">
        <f aca="false">IF(F441="","",IF(G441="Standard 5%",F441*VAT_RATE,0))</f>
        <v/>
      </c>
      <c r="I441" s="39" t="str">
        <f aca="false">IF(F441="","",F441+H441)</f>
        <v/>
      </c>
      <c r="J441" s="36"/>
      <c r="K441" s="37"/>
      <c r="L441" s="38"/>
      <c r="M441" s="22" t="str">
        <f aca="true">IF(OR(A441="",J441="Paid",J441="Written off"),"",TODAY()-A441)</f>
        <v/>
      </c>
      <c r="N441" s="22" t="str">
        <f aca="false">IF(M441="","",IF(M441&gt;OVERDUE_DAYS,"OVERDUE",""))</f>
        <v/>
      </c>
      <c r="O441" s="40" t="str">
        <f aca="false">IF(A441="","",IF(A441&lt;FY_START,0,(YEAR(A441)-YEAR(FY_START))*12+MONTH(A441)-MONTH(FY_START)+1))</f>
        <v/>
      </c>
      <c r="P441" s="40" t="str">
        <f aca="false">IF(A441="","",IF(AND(A441&gt;=VP_START,A441&lt;=VP_END),1,0))</f>
        <v/>
      </c>
    </row>
    <row r="442" customFormat="false" ht="15" hidden="false" customHeight="false" outlineLevel="0" collapsed="false">
      <c r="A442" s="37"/>
      <c r="B442" s="36"/>
      <c r="C442" s="36"/>
      <c r="D442" s="36"/>
      <c r="E442" s="36"/>
      <c r="F442" s="38"/>
      <c r="G442" s="36"/>
      <c r="H442" s="39" t="str">
        <f aca="false">IF(F442="","",IF(G442="Standard 5%",F442*VAT_RATE,0))</f>
        <v/>
      </c>
      <c r="I442" s="39" t="str">
        <f aca="false">IF(F442="","",F442+H442)</f>
        <v/>
      </c>
      <c r="J442" s="36"/>
      <c r="K442" s="37"/>
      <c r="L442" s="38"/>
      <c r="M442" s="22" t="str">
        <f aca="true">IF(OR(A442="",J442="Paid",J442="Written off"),"",TODAY()-A442)</f>
        <v/>
      </c>
      <c r="N442" s="22" t="str">
        <f aca="false">IF(M442="","",IF(M442&gt;OVERDUE_DAYS,"OVERDUE",""))</f>
        <v/>
      </c>
      <c r="O442" s="40" t="str">
        <f aca="false">IF(A442="","",IF(A442&lt;FY_START,0,(YEAR(A442)-YEAR(FY_START))*12+MONTH(A442)-MONTH(FY_START)+1))</f>
        <v/>
      </c>
      <c r="P442" s="40" t="str">
        <f aca="false">IF(A442="","",IF(AND(A442&gt;=VP_START,A442&lt;=VP_END),1,0))</f>
        <v/>
      </c>
    </row>
    <row r="443" customFormat="false" ht="15" hidden="false" customHeight="false" outlineLevel="0" collapsed="false">
      <c r="A443" s="37"/>
      <c r="B443" s="36"/>
      <c r="C443" s="36"/>
      <c r="D443" s="36"/>
      <c r="E443" s="36"/>
      <c r="F443" s="38"/>
      <c r="G443" s="36"/>
      <c r="H443" s="39" t="str">
        <f aca="false">IF(F443="","",IF(G443="Standard 5%",F443*VAT_RATE,0))</f>
        <v/>
      </c>
      <c r="I443" s="39" t="str">
        <f aca="false">IF(F443="","",F443+H443)</f>
        <v/>
      </c>
      <c r="J443" s="36"/>
      <c r="K443" s="37"/>
      <c r="L443" s="38"/>
      <c r="M443" s="22" t="str">
        <f aca="true">IF(OR(A443="",J443="Paid",J443="Written off"),"",TODAY()-A443)</f>
        <v/>
      </c>
      <c r="N443" s="22" t="str">
        <f aca="false">IF(M443="","",IF(M443&gt;OVERDUE_DAYS,"OVERDUE",""))</f>
        <v/>
      </c>
      <c r="O443" s="40" t="str">
        <f aca="false">IF(A443="","",IF(A443&lt;FY_START,0,(YEAR(A443)-YEAR(FY_START))*12+MONTH(A443)-MONTH(FY_START)+1))</f>
        <v/>
      </c>
      <c r="P443" s="40" t="str">
        <f aca="false">IF(A443="","",IF(AND(A443&gt;=VP_START,A443&lt;=VP_END),1,0))</f>
        <v/>
      </c>
    </row>
    <row r="444" customFormat="false" ht="15" hidden="false" customHeight="false" outlineLevel="0" collapsed="false">
      <c r="A444" s="37"/>
      <c r="B444" s="36"/>
      <c r="C444" s="36"/>
      <c r="D444" s="36"/>
      <c r="E444" s="36"/>
      <c r="F444" s="38"/>
      <c r="G444" s="36"/>
      <c r="H444" s="39" t="str">
        <f aca="false">IF(F444="","",IF(G444="Standard 5%",F444*VAT_RATE,0))</f>
        <v/>
      </c>
      <c r="I444" s="39" t="str">
        <f aca="false">IF(F444="","",F444+H444)</f>
        <v/>
      </c>
      <c r="J444" s="36"/>
      <c r="K444" s="37"/>
      <c r="L444" s="38"/>
      <c r="M444" s="22" t="str">
        <f aca="true">IF(OR(A444="",J444="Paid",J444="Written off"),"",TODAY()-A444)</f>
        <v/>
      </c>
      <c r="N444" s="22" t="str">
        <f aca="false">IF(M444="","",IF(M444&gt;OVERDUE_DAYS,"OVERDUE",""))</f>
        <v/>
      </c>
      <c r="O444" s="40" t="str">
        <f aca="false">IF(A444="","",IF(A444&lt;FY_START,0,(YEAR(A444)-YEAR(FY_START))*12+MONTH(A444)-MONTH(FY_START)+1))</f>
        <v/>
      </c>
      <c r="P444" s="40" t="str">
        <f aca="false">IF(A444="","",IF(AND(A444&gt;=VP_START,A444&lt;=VP_END),1,0))</f>
        <v/>
      </c>
    </row>
    <row r="445" customFormat="false" ht="15" hidden="false" customHeight="false" outlineLevel="0" collapsed="false">
      <c r="A445" s="37"/>
      <c r="B445" s="36"/>
      <c r="C445" s="36"/>
      <c r="D445" s="36"/>
      <c r="E445" s="36"/>
      <c r="F445" s="38"/>
      <c r="G445" s="36"/>
      <c r="H445" s="39" t="str">
        <f aca="false">IF(F445="","",IF(G445="Standard 5%",F445*VAT_RATE,0))</f>
        <v/>
      </c>
      <c r="I445" s="39" t="str">
        <f aca="false">IF(F445="","",F445+H445)</f>
        <v/>
      </c>
      <c r="J445" s="36"/>
      <c r="K445" s="37"/>
      <c r="L445" s="38"/>
      <c r="M445" s="22" t="str">
        <f aca="true">IF(OR(A445="",J445="Paid",J445="Written off"),"",TODAY()-A445)</f>
        <v/>
      </c>
      <c r="N445" s="22" t="str">
        <f aca="false">IF(M445="","",IF(M445&gt;OVERDUE_DAYS,"OVERDUE",""))</f>
        <v/>
      </c>
      <c r="O445" s="40" t="str">
        <f aca="false">IF(A445="","",IF(A445&lt;FY_START,0,(YEAR(A445)-YEAR(FY_START))*12+MONTH(A445)-MONTH(FY_START)+1))</f>
        <v/>
      </c>
      <c r="P445" s="40" t="str">
        <f aca="false">IF(A445="","",IF(AND(A445&gt;=VP_START,A445&lt;=VP_END),1,0))</f>
        <v/>
      </c>
    </row>
    <row r="446" customFormat="false" ht="15" hidden="false" customHeight="false" outlineLevel="0" collapsed="false">
      <c r="A446" s="37"/>
      <c r="B446" s="36"/>
      <c r="C446" s="36"/>
      <c r="D446" s="36"/>
      <c r="E446" s="36"/>
      <c r="F446" s="38"/>
      <c r="G446" s="36"/>
      <c r="H446" s="39" t="str">
        <f aca="false">IF(F446="","",IF(G446="Standard 5%",F446*VAT_RATE,0))</f>
        <v/>
      </c>
      <c r="I446" s="39" t="str">
        <f aca="false">IF(F446="","",F446+H446)</f>
        <v/>
      </c>
      <c r="J446" s="36"/>
      <c r="K446" s="37"/>
      <c r="L446" s="38"/>
      <c r="M446" s="22" t="str">
        <f aca="true">IF(OR(A446="",J446="Paid",J446="Written off"),"",TODAY()-A446)</f>
        <v/>
      </c>
      <c r="N446" s="22" t="str">
        <f aca="false">IF(M446="","",IF(M446&gt;OVERDUE_DAYS,"OVERDUE",""))</f>
        <v/>
      </c>
      <c r="O446" s="40" t="str">
        <f aca="false">IF(A446="","",IF(A446&lt;FY_START,0,(YEAR(A446)-YEAR(FY_START))*12+MONTH(A446)-MONTH(FY_START)+1))</f>
        <v/>
      </c>
      <c r="P446" s="40" t="str">
        <f aca="false">IF(A446="","",IF(AND(A446&gt;=VP_START,A446&lt;=VP_END),1,0))</f>
        <v/>
      </c>
    </row>
    <row r="447" customFormat="false" ht="15" hidden="false" customHeight="false" outlineLevel="0" collapsed="false">
      <c r="A447" s="37"/>
      <c r="B447" s="36"/>
      <c r="C447" s="36"/>
      <c r="D447" s="36"/>
      <c r="E447" s="36"/>
      <c r="F447" s="38"/>
      <c r="G447" s="36"/>
      <c r="H447" s="39" t="str">
        <f aca="false">IF(F447="","",IF(G447="Standard 5%",F447*VAT_RATE,0))</f>
        <v/>
      </c>
      <c r="I447" s="39" t="str">
        <f aca="false">IF(F447="","",F447+H447)</f>
        <v/>
      </c>
      <c r="J447" s="36"/>
      <c r="K447" s="37"/>
      <c r="L447" s="38"/>
      <c r="M447" s="22" t="str">
        <f aca="true">IF(OR(A447="",J447="Paid",J447="Written off"),"",TODAY()-A447)</f>
        <v/>
      </c>
      <c r="N447" s="22" t="str">
        <f aca="false">IF(M447="","",IF(M447&gt;OVERDUE_DAYS,"OVERDUE",""))</f>
        <v/>
      </c>
      <c r="O447" s="40" t="str">
        <f aca="false">IF(A447="","",IF(A447&lt;FY_START,0,(YEAR(A447)-YEAR(FY_START))*12+MONTH(A447)-MONTH(FY_START)+1))</f>
        <v/>
      </c>
      <c r="P447" s="40" t="str">
        <f aca="false">IF(A447="","",IF(AND(A447&gt;=VP_START,A447&lt;=VP_END),1,0))</f>
        <v/>
      </c>
    </row>
    <row r="448" customFormat="false" ht="15" hidden="false" customHeight="false" outlineLevel="0" collapsed="false">
      <c r="A448" s="37"/>
      <c r="B448" s="36"/>
      <c r="C448" s="36"/>
      <c r="D448" s="36"/>
      <c r="E448" s="36"/>
      <c r="F448" s="38"/>
      <c r="G448" s="36"/>
      <c r="H448" s="39" t="str">
        <f aca="false">IF(F448="","",IF(G448="Standard 5%",F448*VAT_RATE,0))</f>
        <v/>
      </c>
      <c r="I448" s="39" t="str">
        <f aca="false">IF(F448="","",F448+H448)</f>
        <v/>
      </c>
      <c r="J448" s="36"/>
      <c r="K448" s="37"/>
      <c r="L448" s="38"/>
      <c r="M448" s="22" t="str">
        <f aca="true">IF(OR(A448="",J448="Paid",J448="Written off"),"",TODAY()-A448)</f>
        <v/>
      </c>
      <c r="N448" s="22" t="str">
        <f aca="false">IF(M448="","",IF(M448&gt;OVERDUE_DAYS,"OVERDUE",""))</f>
        <v/>
      </c>
      <c r="O448" s="40" t="str">
        <f aca="false">IF(A448="","",IF(A448&lt;FY_START,0,(YEAR(A448)-YEAR(FY_START))*12+MONTH(A448)-MONTH(FY_START)+1))</f>
        <v/>
      </c>
      <c r="P448" s="40" t="str">
        <f aca="false">IF(A448="","",IF(AND(A448&gt;=VP_START,A448&lt;=VP_END),1,0))</f>
        <v/>
      </c>
    </row>
    <row r="449" customFormat="false" ht="15" hidden="false" customHeight="false" outlineLevel="0" collapsed="false">
      <c r="A449" s="37"/>
      <c r="B449" s="36"/>
      <c r="C449" s="36"/>
      <c r="D449" s="36"/>
      <c r="E449" s="36"/>
      <c r="F449" s="38"/>
      <c r="G449" s="36"/>
      <c r="H449" s="39" t="str">
        <f aca="false">IF(F449="","",IF(G449="Standard 5%",F449*VAT_RATE,0))</f>
        <v/>
      </c>
      <c r="I449" s="39" t="str">
        <f aca="false">IF(F449="","",F449+H449)</f>
        <v/>
      </c>
      <c r="J449" s="36"/>
      <c r="K449" s="37"/>
      <c r="L449" s="38"/>
      <c r="M449" s="22" t="str">
        <f aca="true">IF(OR(A449="",J449="Paid",J449="Written off"),"",TODAY()-A449)</f>
        <v/>
      </c>
      <c r="N449" s="22" t="str">
        <f aca="false">IF(M449="","",IF(M449&gt;OVERDUE_DAYS,"OVERDUE",""))</f>
        <v/>
      </c>
      <c r="O449" s="40" t="str">
        <f aca="false">IF(A449="","",IF(A449&lt;FY_START,0,(YEAR(A449)-YEAR(FY_START))*12+MONTH(A449)-MONTH(FY_START)+1))</f>
        <v/>
      </c>
      <c r="P449" s="40" t="str">
        <f aca="false">IF(A449="","",IF(AND(A449&gt;=VP_START,A449&lt;=VP_END),1,0))</f>
        <v/>
      </c>
    </row>
    <row r="450" customFormat="false" ht="15" hidden="false" customHeight="false" outlineLevel="0" collapsed="false">
      <c r="A450" s="37"/>
      <c r="B450" s="36"/>
      <c r="C450" s="36"/>
      <c r="D450" s="36"/>
      <c r="E450" s="36"/>
      <c r="F450" s="38"/>
      <c r="G450" s="36"/>
      <c r="H450" s="39" t="str">
        <f aca="false">IF(F450="","",IF(G450="Standard 5%",F450*VAT_RATE,0))</f>
        <v/>
      </c>
      <c r="I450" s="39" t="str">
        <f aca="false">IF(F450="","",F450+H450)</f>
        <v/>
      </c>
      <c r="J450" s="36"/>
      <c r="K450" s="37"/>
      <c r="L450" s="38"/>
      <c r="M450" s="22" t="str">
        <f aca="true">IF(OR(A450="",J450="Paid",J450="Written off"),"",TODAY()-A450)</f>
        <v/>
      </c>
      <c r="N450" s="22" t="str">
        <f aca="false">IF(M450="","",IF(M450&gt;OVERDUE_DAYS,"OVERDUE",""))</f>
        <v/>
      </c>
      <c r="O450" s="40" t="str">
        <f aca="false">IF(A450="","",IF(A450&lt;FY_START,0,(YEAR(A450)-YEAR(FY_START))*12+MONTH(A450)-MONTH(FY_START)+1))</f>
        <v/>
      </c>
      <c r="P450" s="40" t="str">
        <f aca="false">IF(A450="","",IF(AND(A450&gt;=VP_START,A450&lt;=VP_END),1,0))</f>
        <v/>
      </c>
    </row>
    <row r="451" customFormat="false" ht="15" hidden="false" customHeight="false" outlineLevel="0" collapsed="false">
      <c r="A451" s="37"/>
      <c r="B451" s="36"/>
      <c r="C451" s="36"/>
      <c r="D451" s="36"/>
      <c r="E451" s="36"/>
      <c r="F451" s="38"/>
      <c r="G451" s="36"/>
      <c r="H451" s="39" t="str">
        <f aca="false">IF(F451="","",IF(G451="Standard 5%",F451*VAT_RATE,0))</f>
        <v/>
      </c>
      <c r="I451" s="39" t="str">
        <f aca="false">IF(F451="","",F451+H451)</f>
        <v/>
      </c>
      <c r="J451" s="36"/>
      <c r="K451" s="37"/>
      <c r="L451" s="38"/>
      <c r="M451" s="22" t="str">
        <f aca="true">IF(OR(A451="",J451="Paid",J451="Written off"),"",TODAY()-A451)</f>
        <v/>
      </c>
      <c r="N451" s="22" t="str">
        <f aca="false">IF(M451="","",IF(M451&gt;OVERDUE_DAYS,"OVERDUE",""))</f>
        <v/>
      </c>
      <c r="O451" s="40" t="str">
        <f aca="false">IF(A451="","",IF(A451&lt;FY_START,0,(YEAR(A451)-YEAR(FY_START))*12+MONTH(A451)-MONTH(FY_START)+1))</f>
        <v/>
      </c>
      <c r="P451" s="40" t="str">
        <f aca="false">IF(A451="","",IF(AND(A451&gt;=VP_START,A451&lt;=VP_END),1,0))</f>
        <v/>
      </c>
    </row>
    <row r="452" customFormat="false" ht="15" hidden="false" customHeight="false" outlineLevel="0" collapsed="false">
      <c r="A452" s="37"/>
      <c r="B452" s="36"/>
      <c r="C452" s="36"/>
      <c r="D452" s="36"/>
      <c r="E452" s="36"/>
      <c r="F452" s="38"/>
      <c r="G452" s="36"/>
      <c r="H452" s="39" t="str">
        <f aca="false">IF(F452="","",IF(G452="Standard 5%",F452*VAT_RATE,0))</f>
        <v/>
      </c>
      <c r="I452" s="39" t="str">
        <f aca="false">IF(F452="","",F452+H452)</f>
        <v/>
      </c>
      <c r="J452" s="36"/>
      <c r="K452" s="37"/>
      <c r="L452" s="38"/>
      <c r="M452" s="22" t="str">
        <f aca="true">IF(OR(A452="",J452="Paid",J452="Written off"),"",TODAY()-A452)</f>
        <v/>
      </c>
      <c r="N452" s="22" t="str">
        <f aca="false">IF(M452="","",IF(M452&gt;OVERDUE_DAYS,"OVERDUE",""))</f>
        <v/>
      </c>
      <c r="O452" s="40" t="str">
        <f aca="false">IF(A452="","",IF(A452&lt;FY_START,0,(YEAR(A452)-YEAR(FY_START))*12+MONTH(A452)-MONTH(FY_START)+1))</f>
        <v/>
      </c>
      <c r="P452" s="40" t="str">
        <f aca="false">IF(A452="","",IF(AND(A452&gt;=VP_START,A452&lt;=VP_END),1,0))</f>
        <v/>
      </c>
    </row>
    <row r="453" customFormat="false" ht="15" hidden="false" customHeight="false" outlineLevel="0" collapsed="false">
      <c r="A453" s="37"/>
      <c r="B453" s="36"/>
      <c r="C453" s="36"/>
      <c r="D453" s="36"/>
      <c r="E453" s="36"/>
      <c r="F453" s="38"/>
      <c r="G453" s="36"/>
      <c r="H453" s="39" t="str">
        <f aca="false">IF(F453="","",IF(G453="Standard 5%",F453*VAT_RATE,0))</f>
        <v/>
      </c>
      <c r="I453" s="39" t="str">
        <f aca="false">IF(F453="","",F453+H453)</f>
        <v/>
      </c>
      <c r="J453" s="36"/>
      <c r="K453" s="37"/>
      <c r="L453" s="38"/>
      <c r="M453" s="22" t="str">
        <f aca="true">IF(OR(A453="",J453="Paid",J453="Written off"),"",TODAY()-A453)</f>
        <v/>
      </c>
      <c r="N453" s="22" t="str">
        <f aca="false">IF(M453="","",IF(M453&gt;OVERDUE_DAYS,"OVERDUE",""))</f>
        <v/>
      </c>
      <c r="O453" s="40" t="str">
        <f aca="false">IF(A453="","",IF(A453&lt;FY_START,0,(YEAR(A453)-YEAR(FY_START))*12+MONTH(A453)-MONTH(FY_START)+1))</f>
        <v/>
      </c>
      <c r="P453" s="40" t="str">
        <f aca="false">IF(A453="","",IF(AND(A453&gt;=VP_START,A453&lt;=VP_END),1,0))</f>
        <v/>
      </c>
    </row>
    <row r="454" customFormat="false" ht="15" hidden="false" customHeight="false" outlineLevel="0" collapsed="false">
      <c r="A454" s="37"/>
      <c r="B454" s="36"/>
      <c r="C454" s="36"/>
      <c r="D454" s="36"/>
      <c r="E454" s="36"/>
      <c r="F454" s="38"/>
      <c r="G454" s="36"/>
      <c r="H454" s="39" t="str">
        <f aca="false">IF(F454="","",IF(G454="Standard 5%",F454*VAT_RATE,0))</f>
        <v/>
      </c>
      <c r="I454" s="39" t="str">
        <f aca="false">IF(F454="","",F454+H454)</f>
        <v/>
      </c>
      <c r="J454" s="36"/>
      <c r="K454" s="37"/>
      <c r="L454" s="38"/>
      <c r="M454" s="22" t="str">
        <f aca="true">IF(OR(A454="",J454="Paid",J454="Written off"),"",TODAY()-A454)</f>
        <v/>
      </c>
      <c r="N454" s="22" t="str">
        <f aca="false">IF(M454="","",IF(M454&gt;OVERDUE_DAYS,"OVERDUE",""))</f>
        <v/>
      </c>
      <c r="O454" s="40" t="str">
        <f aca="false">IF(A454="","",IF(A454&lt;FY_START,0,(YEAR(A454)-YEAR(FY_START))*12+MONTH(A454)-MONTH(FY_START)+1))</f>
        <v/>
      </c>
      <c r="P454" s="40" t="str">
        <f aca="false">IF(A454="","",IF(AND(A454&gt;=VP_START,A454&lt;=VP_END),1,0))</f>
        <v/>
      </c>
    </row>
    <row r="455" customFormat="false" ht="15" hidden="false" customHeight="false" outlineLevel="0" collapsed="false">
      <c r="A455" s="37"/>
      <c r="B455" s="36"/>
      <c r="C455" s="36"/>
      <c r="D455" s="36"/>
      <c r="E455" s="36"/>
      <c r="F455" s="38"/>
      <c r="G455" s="36"/>
      <c r="H455" s="39" t="str">
        <f aca="false">IF(F455="","",IF(G455="Standard 5%",F455*VAT_RATE,0))</f>
        <v/>
      </c>
      <c r="I455" s="39" t="str">
        <f aca="false">IF(F455="","",F455+H455)</f>
        <v/>
      </c>
      <c r="J455" s="36"/>
      <c r="K455" s="37"/>
      <c r="L455" s="38"/>
      <c r="M455" s="22" t="str">
        <f aca="true">IF(OR(A455="",J455="Paid",J455="Written off"),"",TODAY()-A455)</f>
        <v/>
      </c>
      <c r="N455" s="22" t="str">
        <f aca="false">IF(M455="","",IF(M455&gt;OVERDUE_DAYS,"OVERDUE",""))</f>
        <v/>
      </c>
      <c r="O455" s="40" t="str">
        <f aca="false">IF(A455="","",IF(A455&lt;FY_START,0,(YEAR(A455)-YEAR(FY_START))*12+MONTH(A455)-MONTH(FY_START)+1))</f>
        <v/>
      </c>
      <c r="P455" s="40" t="str">
        <f aca="false">IF(A455="","",IF(AND(A455&gt;=VP_START,A455&lt;=VP_END),1,0))</f>
        <v/>
      </c>
    </row>
    <row r="456" customFormat="false" ht="15" hidden="false" customHeight="false" outlineLevel="0" collapsed="false">
      <c r="A456" s="37"/>
      <c r="B456" s="36"/>
      <c r="C456" s="36"/>
      <c r="D456" s="36"/>
      <c r="E456" s="36"/>
      <c r="F456" s="38"/>
      <c r="G456" s="36"/>
      <c r="H456" s="39" t="str">
        <f aca="false">IF(F456="","",IF(G456="Standard 5%",F456*VAT_RATE,0))</f>
        <v/>
      </c>
      <c r="I456" s="39" t="str">
        <f aca="false">IF(F456="","",F456+H456)</f>
        <v/>
      </c>
      <c r="J456" s="36"/>
      <c r="K456" s="37"/>
      <c r="L456" s="38"/>
      <c r="M456" s="22" t="str">
        <f aca="true">IF(OR(A456="",J456="Paid",J456="Written off"),"",TODAY()-A456)</f>
        <v/>
      </c>
      <c r="N456" s="22" t="str">
        <f aca="false">IF(M456="","",IF(M456&gt;OVERDUE_DAYS,"OVERDUE",""))</f>
        <v/>
      </c>
      <c r="O456" s="40" t="str">
        <f aca="false">IF(A456="","",IF(A456&lt;FY_START,0,(YEAR(A456)-YEAR(FY_START))*12+MONTH(A456)-MONTH(FY_START)+1))</f>
        <v/>
      </c>
      <c r="P456" s="40" t="str">
        <f aca="false">IF(A456="","",IF(AND(A456&gt;=VP_START,A456&lt;=VP_END),1,0))</f>
        <v/>
      </c>
    </row>
    <row r="457" customFormat="false" ht="15" hidden="false" customHeight="false" outlineLevel="0" collapsed="false">
      <c r="A457" s="37"/>
      <c r="B457" s="36"/>
      <c r="C457" s="36"/>
      <c r="D457" s="36"/>
      <c r="E457" s="36"/>
      <c r="F457" s="38"/>
      <c r="G457" s="36"/>
      <c r="H457" s="39" t="str">
        <f aca="false">IF(F457="","",IF(G457="Standard 5%",F457*VAT_RATE,0))</f>
        <v/>
      </c>
      <c r="I457" s="39" t="str">
        <f aca="false">IF(F457="","",F457+H457)</f>
        <v/>
      </c>
      <c r="J457" s="36"/>
      <c r="K457" s="37"/>
      <c r="L457" s="38"/>
      <c r="M457" s="22" t="str">
        <f aca="true">IF(OR(A457="",J457="Paid",J457="Written off"),"",TODAY()-A457)</f>
        <v/>
      </c>
      <c r="N457" s="22" t="str">
        <f aca="false">IF(M457="","",IF(M457&gt;OVERDUE_DAYS,"OVERDUE",""))</f>
        <v/>
      </c>
      <c r="O457" s="40" t="str">
        <f aca="false">IF(A457="","",IF(A457&lt;FY_START,0,(YEAR(A457)-YEAR(FY_START))*12+MONTH(A457)-MONTH(FY_START)+1))</f>
        <v/>
      </c>
      <c r="P457" s="40" t="str">
        <f aca="false">IF(A457="","",IF(AND(A457&gt;=VP_START,A457&lt;=VP_END),1,0))</f>
        <v/>
      </c>
    </row>
    <row r="458" customFormat="false" ht="15" hidden="false" customHeight="false" outlineLevel="0" collapsed="false">
      <c r="A458" s="37"/>
      <c r="B458" s="36"/>
      <c r="C458" s="36"/>
      <c r="D458" s="36"/>
      <c r="E458" s="36"/>
      <c r="F458" s="38"/>
      <c r="G458" s="36"/>
      <c r="H458" s="39" t="str">
        <f aca="false">IF(F458="","",IF(G458="Standard 5%",F458*VAT_RATE,0))</f>
        <v/>
      </c>
      <c r="I458" s="39" t="str">
        <f aca="false">IF(F458="","",F458+H458)</f>
        <v/>
      </c>
      <c r="J458" s="36"/>
      <c r="K458" s="37"/>
      <c r="L458" s="38"/>
      <c r="M458" s="22" t="str">
        <f aca="true">IF(OR(A458="",J458="Paid",J458="Written off"),"",TODAY()-A458)</f>
        <v/>
      </c>
      <c r="N458" s="22" t="str">
        <f aca="false">IF(M458="","",IF(M458&gt;OVERDUE_DAYS,"OVERDUE",""))</f>
        <v/>
      </c>
      <c r="O458" s="40" t="str">
        <f aca="false">IF(A458="","",IF(A458&lt;FY_START,0,(YEAR(A458)-YEAR(FY_START))*12+MONTH(A458)-MONTH(FY_START)+1))</f>
        <v/>
      </c>
      <c r="P458" s="40" t="str">
        <f aca="false">IF(A458="","",IF(AND(A458&gt;=VP_START,A458&lt;=VP_END),1,0))</f>
        <v/>
      </c>
    </row>
    <row r="459" customFormat="false" ht="15" hidden="false" customHeight="false" outlineLevel="0" collapsed="false">
      <c r="A459" s="37"/>
      <c r="B459" s="36"/>
      <c r="C459" s="36"/>
      <c r="D459" s="36"/>
      <c r="E459" s="36"/>
      <c r="F459" s="38"/>
      <c r="G459" s="36"/>
      <c r="H459" s="39" t="str">
        <f aca="false">IF(F459="","",IF(G459="Standard 5%",F459*VAT_RATE,0))</f>
        <v/>
      </c>
      <c r="I459" s="39" t="str">
        <f aca="false">IF(F459="","",F459+H459)</f>
        <v/>
      </c>
      <c r="J459" s="36"/>
      <c r="K459" s="37"/>
      <c r="L459" s="38"/>
      <c r="M459" s="22" t="str">
        <f aca="true">IF(OR(A459="",J459="Paid",J459="Written off"),"",TODAY()-A459)</f>
        <v/>
      </c>
      <c r="N459" s="22" t="str">
        <f aca="false">IF(M459="","",IF(M459&gt;OVERDUE_DAYS,"OVERDUE",""))</f>
        <v/>
      </c>
      <c r="O459" s="40" t="str">
        <f aca="false">IF(A459="","",IF(A459&lt;FY_START,0,(YEAR(A459)-YEAR(FY_START))*12+MONTH(A459)-MONTH(FY_START)+1))</f>
        <v/>
      </c>
      <c r="P459" s="40" t="str">
        <f aca="false">IF(A459="","",IF(AND(A459&gt;=VP_START,A459&lt;=VP_END),1,0))</f>
        <v/>
      </c>
    </row>
    <row r="460" customFormat="false" ht="15" hidden="false" customHeight="false" outlineLevel="0" collapsed="false">
      <c r="A460" s="37"/>
      <c r="B460" s="36"/>
      <c r="C460" s="36"/>
      <c r="D460" s="36"/>
      <c r="E460" s="36"/>
      <c r="F460" s="38"/>
      <c r="G460" s="36"/>
      <c r="H460" s="39" t="str">
        <f aca="false">IF(F460="","",IF(G460="Standard 5%",F460*VAT_RATE,0))</f>
        <v/>
      </c>
      <c r="I460" s="39" t="str">
        <f aca="false">IF(F460="","",F460+H460)</f>
        <v/>
      </c>
      <c r="J460" s="36"/>
      <c r="K460" s="37"/>
      <c r="L460" s="38"/>
      <c r="M460" s="22" t="str">
        <f aca="true">IF(OR(A460="",J460="Paid",J460="Written off"),"",TODAY()-A460)</f>
        <v/>
      </c>
      <c r="N460" s="22" t="str">
        <f aca="false">IF(M460="","",IF(M460&gt;OVERDUE_DAYS,"OVERDUE",""))</f>
        <v/>
      </c>
      <c r="O460" s="40" t="str">
        <f aca="false">IF(A460="","",IF(A460&lt;FY_START,0,(YEAR(A460)-YEAR(FY_START))*12+MONTH(A460)-MONTH(FY_START)+1))</f>
        <v/>
      </c>
      <c r="P460" s="40" t="str">
        <f aca="false">IF(A460="","",IF(AND(A460&gt;=VP_START,A460&lt;=VP_END),1,0))</f>
        <v/>
      </c>
    </row>
    <row r="461" customFormat="false" ht="15" hidden="false" customHeight="false" outlineLevel="0" collapsed="false">
      <c r="A461" s="37"/>
      <c r="B461" s="36"/>
      <c r="C461" s="36"/>
      <c r="D461" s="36"/>
      <c r="E461" s="36"/>
      <c r="F461" s="38"/>
      <c r="G461" s="36"/>
      <c r="H461" s="39" t="str">
        <f aca="false">IF(F461="","",IF(G461="Standard 5%",F461*VAT_RATE,0))</f>
        <v/>
      </c>
      <c r="I461" s="39" t="str">
        <f aca="false">IF(F461="","",F461+H461)</f>
        <v/>
      </c>
      <c r="J461" s="36"/>
      <c r="K461" s="37"/>
      <c r="L461" s="38"/>
      <c r="M461" s="22" t="str">
        <f aca="true">IF(OR(A461="",J461="Paid",J461="Written off"),"",TODAY()-A461)</f>
        <v/>
      </c>
      <c r="N461" s="22" t="str">
        <f aca="false">IF(M461="","",IF(M461&gt;OVERDUE_DAYS,"OVERDUE",""))</f>
        <v/>
      </c>
      <c r="O461" s="40" t="str">
        <f aca="false">IF(A461="","",IF(A461&lt;FY_START,0,(YEAR(A461)-YEAR(FY_START))*12+MONTH(A461)-MONTH(FY_START)+1))</f>
        <v/>
      </c>
      <c r="P461" s="40" t="str">
        <f aca="false">IF(A461="","",IF(AND(A461&gt;=VP_START,A461&lt;=VP_END),1,0))</f>
        <v/>
      </c>
    </row>
    <row r="462" customFormat="false" ht="15" hidden="false" customHeight="false" outlineLevel="0" collapsed="false">
      <c r="A462" s="37"/>
      <c r="B462" s="36"/>
      <c r="C462" s="36"/>
      <c r="D462" s="36"/>
      <c r="E462" s="36"/>
      <c r="F462" s="38"/>
      <c r="G462" s="36"/>
      <c r="H462" s="39" t="str">
        <f aca="false">IF(F462="","",IF(G462="Standard 5%",F462*VAT_RATE,0))</f>
        <v/>
      </c>
      <c r="I462" s="39" t="str">
        <f aca="false">IF(F462="","",F462+H462)</f>
        <v/>
      </c>
      <c r="J462" s="36"/>
      <c r="K462" s="37"/>
      <c r="L462" s="38"/>
      <c r="M462" s="22" t="str">
        <f aca="true">IF(OR(A462="",J462="Paid",J462="Written off"),"",TODAY()-A462)</f>
        <v/>
      </c>
      <c r="N462" s="22" t="str">
        <f aca="false">IF(M462="","",IF(M462&gt;OVERDUE_DAYS,"OVERDUE",""))</f>
        <v/>
      </c>
      <c r="O462" s="40" t="str">
        <f aca="false">IF(A462="","",IF(A462&lt;FY_START,0,(YEAR(A462)-YEAR(FY_START))*12+MONTH(A462)-MONTH(FY_START)+1))</f>
        <v/>
      </c>
      <c r="P462" s="40" t="str">
        <f aca="false">IF(A462="","",IF(AND(A462&gt;=VP_START,A462&lt;=VP_END),1,0))</f>
        <v/>
      </c>
    </row>
    <row r="463" customFormat="false" ht="15" hidden="false" customHeight="false" outlineLevel="0" collapsed="false">
      <c r="A463" s="37"/>
      <c r="B463" s="36"/>
      <c r="C463" s="36"/>
      <c r="D463" s="36"/>
      <c r="E463" s="36"/>
      <c r="F463" s="38"/>
      <c r="G463" s="36"/>
      <c r="H463" s="39" t="str">
        <f aca="false">IF(F463="","",IF(G463="Standard 5%",F463*VAT_RATE,0))</f>
        <v/>
      </c>
      <c r="I463" s="39" t="str">
        <f aca="false">IF(F463="","",F463+H463)</f>
        <v/>
      </c>
      <c r="J463" s="36"/>
      <c r="K463" s="37"/>
      <c r="L463" s="38"/>
      <c r="M463" s="22" t="str">
        <f aca="true">IF(OR(A463="",J463="Paid",J463="Written off"),"",TODAY()-A463)</f>
        <v/>
      </c>
      <c r="N463" s="22" t="str">
        <f aca="false">IF(M463="","",IF(M463&gt;OVERDUE_DAYS,"OVERDUE",""))</f>
        <v/>
      </c>
      <c r="O463" s="40" t="str">
        <f aca="false">IF(A463="","",IF(A463&lt;FY_START,0,(YEAR(A463)-YEAR(FY_START))*12+MONTH(A463)-MONTH(FY_START)+1))</f>
        <v/>
      </c>
      <c r="P463" s="40" t="str">
        <f aca="false">IF(A463="","",IF(AND(A463&gt;=VP_START,A463&lt;=VP_END),1,0))</f>
        <v/>
      </c>
    </row>
    <row r="464" customFormat="false" ht="15" hidden="false" customHeight="false" outlineLevel="0" collapsed="false">
      <c r="A464" s="37"/>
      <c r="B464" s="36"/>
      <c r="C464" s="36"/>
      <c r="D464" s="36"/>
      <c r="E464" s="36"/>
      <c r="F464" s="38"/>
      <c r="G464" s="36"/>
      <c r="H464" s="39" t="str">
        <f aca="false">IF(F464="","",IF(G464="Standard 5%",F464*VAT_RATE,0))</f>
        <v/>
      </c>
      <c r="I464" s="39" t="str">
        <f aca="false">IF(F464="","",F464+H464)</f>
        <v/>
      </c>
      <c r="J464" s="36"/>
      <c r="K464" s="37"/>
      <c r="L464" s="38"/>
      <c r="M464" s="22" t="str">
        <f aca="true">IF(OR(A464="",J464="Paid",J464="Written off"),"",TODAY()-A464)</f>
        <v/>
      </c>
      <c r="N464" s="22" t="str">
        <f aca="false">IF(M464="","",IF(M464&gt;OVERDUE_DAYS,"OVERDUE",""))</f>
        <v/>
      </c>
      <c r="O464" s="40" t="str">
        <f aca="false">IF(A464="","",IF(A464&lt;FY_START,0,(YEAR(A464)-YEAR(FY_START))*12+MONTH(A464)-MONTH(FY_START)+1))</f>
        <v/>
      </c>
      <c r="P464" s="40" t="str">
        <f aca="false">IF(A464="","",IF(AND(A464&gt;=VP_START,A464&lt;=VP_END),1,0))</f>
        <v/>
      </c>
    </row>
    <row r="465" customFormat="false" ht="15" hidden="false" customHeight="false" outlineLevel="0" collapsed="false">
      <c r="A465" s="37"/>
      <c r="B465" s="36"/>
      <c r="C465" s="36"/>
      <c r="D465" s="36"/>
      <c r="E465" s="36"/>
      <c r="F465" s="38"/>
      <c r="G465" s="36"/>
      <c r="H465" s="39" t="str">
        <f aca="false">IF(F465="","",IF(G465="Standard 5%",F465*VAT_RATE,0))</f>
        <v/>
      </c>
      <c r="I465" s="39" t="str">
        <f aca="false">IF(F465="","",F465+H465)</f>
        <v/>
      </c>
      <c r="J465" s="36"/>
      <c r="K465" s="37"/>
      <c r="L465" s="38"/>
      <c r="M465" s="22" t="str">
        <f aca="true">IF(OR(A465="",J465="Paid",J465="Written off"),"",TODAY()-A465)</f>
        <v/>
      </c>
      <c r="N465" s="22" t="str">
        <f aca="false">IF(M465="","",IF(M465&gt;OVERDUE_DAYS,"OVERDUE",""))</f>
        <v/>
      </c>
      <c r="O465" s="40" t="str">
        <f aca="false">IF(A465="","",IF(A465&lt;FY_START,0,(YEAR(A465)-YEAR(FY_START))*12+MONTH(A465)-MONTH(FY_START)+1))</f>
        <v/>
      </c>
      <c r="P465" s="40" t="str">
        <f aca="false">IF(A465="","",IF(AND(A465&gt;=VP_START,A465&lt;=VP_END),1,0))</f>
        <v/>
      </c>
    </row>
    <row r="466" customFormat="false" ht="15" hidden="false" customHeight="false" outlineLevel="0" collapsed="false">
      <c r="A466" s="37"/>
      <c r="B466" s="36"/>
      <c r="C466" s="36"/>
      <c r="D466" s="36"/>
      <c r="E466" s="36"/>
      <c r="F466" s="38"/>
      <c r="G466" s="36"/>
      <c r="H466" s="39" t="str">
        <f aca="false">IF(F466="","",IF(G466="Standard 5%",F466*VAT_RATE,0))</f>
        <v/>
      </c>
      <c r="I466" s="39" t="str">
        <f aca="false">IF(F466="","",F466+H466)</f>
        <v/>
      </c>
      <c r="J466" s="36"/>
      <c r="K466" s="37"/>
      <c r="L466" s="38"/>
      <c r="M466" s="22" t="str">
        <f aca="true">IF(OR(A466="",J466="Paid",J466="Written off"),"",TODAY()-A466)</f>
        <v/>
      </c>
      <c r="N466" s="22" t="str">
        <f aca="false">IF(M466="","",IF(M466&gt;OVERDUE_DAYS,"OVERDUE",""))</f>
        <v/>
      </c>
      <c r="O466" s="40" t="str">
        <f aca="false">IF(A466="","",IF(A466&lt;FY_START,0,(YEAR(A466)-YEAR(FY_START))*12+MONTH(A466)-MONTH(FY_START)+1))</f>
        <v/>
      </c>
      <c r="P466" s="40" t="str">
        <f aca="false">IF(A466="","",IF(AND(A466&gt;=VP_START,A466&lt;=VP_END),1,0))</f>
        <v/>
      </c>
    </row>
    <row r="467" customFormat="false" ht="15" hidden="false" customHeight="false" outlineLevel="0" collapsed="false">
      <c r="A467" s="37"/>
      <c r="B467" s="36"/>
      <c r="C467" s="36"/>
      <c r="D467" s="36"/>
      <c r="E467" s="36"/>
      <c r="F467" s="38"/>
      <c r="G467" s="36"/>
      <c r="H467" s="39" t="str">
        <f aca="false">IF(F467="","",IF(G467="Standard 5%",F467*VAT_RATE,0))</f>
        <v/>
      </c>
      <c r="I467" s="39" t="str">
        <f aca="false">IF(F467="","",F467+H467)</f>
        <v/>
      </c>
      <c r="J467" s="36"/>
      <c r="K467" s="37"/>
      <c r="L467" s="38"/>
      <c r="M467" s="22" t="str">
        <f aca="true">IF(OR(A467="",J467="Paid",J467="Written off"),"",TODAY()-A467)</f>
        <v/>
      </c>
      <c r="N467" s="22" t="str">
        <f aca="false">IF(M467="","",IF(M467&gt;OVERDUE_DAYS,"OVERDUE",""))</f>
        <v/>
      </c>
      <c r="O467" s="40" t="str">
        <f aca="false">IF(A467="","",IF(A467&lt;FY_START,0,(YEAR(A467)-YEAR(FY_START))*12+MONTH(A467)-MONTH(FY_START)+1))</f>
        <v/>
      </c>
      <c r="P467" s="40" t="str">
        <f aca="false">IF(A467="","",IF(AND(A467&gt;=VP_START,A467&lt;=VP_END),1,0))</f>
        <v/>
      </c>
    </row>
    <row r="468" customFormat="false" ht="15" hidden="false" customHeight="false" outlineLevel="0" collapsed="false">
      <c r="A468" s="37"/>
      <c r="B468" s="36"/>
      <c r="C468" s="36"/>
      <c r="D468" s="36"/>
      <c r="E468" s="36"/>
      <c r="F468" s="38"/>
      <c r="G468" s="36"/>
      <c r="H468" s="39" t="str">
        <f aca="false">IF(F468="","",IF(G468="Standard 5%",F468*VAT_RATE,0))</f>
        <v/>
      </c>
      <c r="I468" s="39" t="str">
        <f aca="false">IF(F468="","",F468+H468)</f>
        <v/>
      </c>
      <c r="J468" s="36"/>
      <c r="K468" s="37"/>
      <c r="L468" s="38"/>
      <c r="M468" s="22" t="str">
        <f aca="true">IF(OR(A468="",J468="Paid",J468="Written off"),"",TODAY()-A468)</f>
        <v/>
      </c>
      <c r="N468" s="22" t="str">
        <f aca="false">IF(M468="","",IF(M468&gt;OVERDUE_DAYS,"OVERDUE",""))</f>
        <v/>
      </c>
      <c r="O468" s="40" t="str">
        <f aca="false">IF(A468="","",IF(A468&lt;FY_START,0,(YEAR(A468)-YEAR(FY_START))*12+MONTH(A468)-MONTH(FY_START)+1))</f>
        <v/>
      </c>
      <c r="P468" s="40" t="str">
        <f aca="false">IF(A468="","",IF(AND(A468&gt;=VP_START,A468&lt;=VP_END),1,0))</f>
        <v/>
      </c>
    </row>
    <row r="469" customFormat="false" ht="15" hidden="false" customHeight="false" outlineLevel="0" collapsed="false">
      <c r="A469" s="37"/>
      <c r="B469" s="36"/>
      <c r="C469" s="36"/>
      <c r="D469" s="36"/>
      <c r="E469" s="36"/>
      <c r="F469" s="38"/>
      <c r="G469" s="36"/>
      <c r="H469" s="39" t="str">
        <f aca="false">IF(F469="","",IF(G469="Standard 5%",F469*VAT_RATE,0))</f>
        <v/>
      </c>
      <c r="I469" s="39" t="str">
        <f aca="false">IF(F469="","",F469+H469)</f>
        <v/>
      </c>
      <c r="J469" s="36"/>
      <c r="K469" s="37"/>
      <c r="L469" s="38"/>
      <c r="M469" s="22" t="str">
        <f aca="true">IF(OR(A469="",J469="Paid",J469="Written off"),"",TODAY()-A469)</f>
        <v/>
      </c>
      <c r="N469" s="22" t="str">
        <f aca="false">IF(M469="","",IF(M469&gt;OVERDUE_DAYS,"OVERDUE",""))</f>
        <v/>
      </c>
      <c r="O469" s="40" t="str">
        <f aca="false">IF(A469="","",IF(A469&lt;FY_START,0,(YEAR(A469)-YEAR(FY_START))*12+MONTH(A469)-MONTH(FY_START)+1))</f>
        <v/>
      </c>
      <c r="P469" s="40" t="str">
        <f aca="false">IF(A469="","",IF(AND(A469&gt;=VP_START,A469&lt;=VP_END),1,0))</f>
        <v/>
      </c>
    </row>
    <row r="470" customFormat="false" ht="15" hidden="false" customHeight="false" outlineLevel="0" collapsed="false">
      <c r="A470" s="37"/>
      <c r="B470" s="36"/>
      <c r="C470" s="36"/>
      <c r="D470" s="36"/>
      <c r="E470" s="36"/>
      <c r="F470" s="38"/>
      <c r="G470" s="36"/>
      <c r="H470" s="39" t="str">
        <f aca="false">IF(F470="","",IF(G470="Standard 5%",F470*VAT_RATE,0))</f>
        <v/>
      </c>
      <c r="I470" s="39" t="str">
        <f aca="false">IF(F470="","",F470+H470)</f>
        <v/>
      </c>
      <c r="J470" s="36"/>
      <c r="K470" s="37"/>
      <c r="L470" s="38"/>
      <c r="M470" s="22" t="str">
        <f aca="true">IF(OR(A470="",J470="Paid",J470="Written off"),"",TODAY()-A470)</f>
        <v/>
      </c>
      <c r="N470" s="22" t="str">
        <f aca="false">IF(M470="","",IF(M470&gt;OVERDUE_DAYS,"OVERDUE",""))</f>
        <v/>
      </c>
      <c r="O470" s="40" t="str">
        <f aca="false">IF(A470="","",IF(A470&lt;FY_START,0,(YEAR(A470)-YEAR(FY_START))*12+MONTH(A470)-MONTH(FY_START)+1))</f>
        <v/>
      </c>
      <c r="P470" s="40" t="str">
        <f aca="false">IF(A470="","",IF(AND(A470&gt;=VP_START,A470&lt;=VP_END),1,0))</f>
        <v/>
      </c>
    </row>
    <row r="471" customFormat="false" ht="15" hidden="false" customHeight="false" outlineLevel="0" collapsed="false">
      <c r="A471" s="37"/>
      <c r="B471" s="36"/>
      <c r="C471" s="36"/>
      <c r="D471" s="36"/>
      <c r="E471" s="36"/>
      <c r="F471" s="38"/>
      <c r="G471" s="36"/>
      <c r="H471" s="39" t="str">
        <f aca="false">IF(F471="","",IF(G471="Standard 5%",F471*VAT_RATE,0))</f>
        <v/>
      </c>
      <c r="I471" s="39" t="str">
        <f aca="false">IF(F471="","",F471+H471)</f>
        <v/>
      </c>
      <c r="J471" s="36"/>
      <c r="K471" s="37"/>
      <c r="L471" s="38"/>
      <c r="M471" s="22" t="str">
        <f aca="true">IF(OR(A471="",J471="Paid",J471="Written off"),"",TODAY()-A471)</f>
        <v/>
      </c>
      <c r="N471" s="22" t="str">
        <f aca="false">IF(M471="","",IF(M471&gt;OVERDUE_DAYS,"OVERDUE",""))</f>
        <v/>
      </c>
      <c r="O471" s="40" t="str">
        <f aca="false">IF(A471="","",IF(A471&lt;FY_START,0,(YEAR(A471)-YEAR(FY_START))*12+MONTH(A471)-MONTH(FY_START)+1))</f>
        <v/>
      </c>
      <c r="P471" s="40" t="str">
        <f aca="false">IF(A471="","",IF(AND(A471&gt;=VP_START,A471&lt;=VP_END),1,0))</f>
        <v/>
      </c>
    </row>
    <row r="472" customFormat="false" ht="15" hidden="false" customHeight="false" outlineLevel="0" collapsed="false">
      <c r="A472" s="37"/>
      <c r="B472" s="36"/>
      <c r="C472" s="36"/>
      <c r="D472" s="36"/>
      <c r="E472" s="36"/>
      <c r="F472" s="38"/>
      <c r="G472" s="36"/>
      <c r="H472" s="39" t="str">
        <f aca="false">IF(F472="","",IF(G472="Standard 5%",F472*VAT_RATE,0))</f>
        <v/>
      </c>
      <c r="I472" s="39" t="str">
        <f aca="false">IF(F472="","",F472+H472)</f>
        <v/>
      </c>
      <c r="J472" s="36"/>
      <c r="K472" s="37"/>
      <c r="L472" s="38"/>
      <c r="M472" s="22" t="str">
        <f aca="true">IF(OR(A472="",J472="Paid",J472="Written off"),"",TODAY()-A472)</f>
        <v/>
      </c>
      <c r="N472" s="22" t="str">
        <f aca="false">IF(M472="","",IF(M472&gt;OVERDUE_DAYS,"OVERDUE",""))</f>
        <v/>
      </c>
      <c r="O472" s="40" t="str">
        <f aca="false">IF(A472="","",IF(A472&lt;FY_START,0,(YEAR(A472)-YEAR(FY_START))*12+MONTH(A472)-MONTH(FY_START)+1))</f>
        <v/>
      </c>
      <c r="P472" s="40" t="str">
        <f aca="false">IF(A472="","",IF(AND(A472&gt;=VP_START,A472&lt;=VP_END),1,0))</f>
        <v/>
      </c>
    </row>
    <row r="473" customFormat="false" ht="15" hidden="false" customHeight="false" outlineLevel="0" collapsed="false">
      <c r="A473" s="37"/>
      <c r="B473" s="36"/>
      <c r="C473" s="36"/>
      <c r="D473" s="36"/>
      <c r="E473" s="36"/>
      <c r="F473" s="38"/>
      <c r="G473" s="36"/>
      <c r="H473" s="39" t="str">
        <f aca="false">IF(F473="","",IF(G473="Standard 5%",F473*VAT_RATE,0))</f>
        <v/>
      </c>
      <c r="I473" s="39" t="str">
        <f aca="false">IF(F473="","",F473+H473)</f>
        <v/>
      </c>
      <c r="J473" s="36"/>
      <c r="K473" s="37"/>
      <c r="L473" s="38"/>
      <c r="M473" s="22" t="str">
        <f aca="true">IF(OR(A473="",J473="Paid",J473="Written off"),"",TODAY()-A473)</f>
        <v/>
      </c>
      <c r="N473" s="22" t="str">
        <f aca="false">IF(M473="","",IF(M473&gt;OVERDUE_DAYS,"OVERDUE",""))</f>
        <v/>
      </c>
      <c r="O473" s="40" t="str">
        <f aca="false">IF(A473="","",IF(A473&lt;FY_START,0,(YEAR(A473)-YEAR(FY_START))*12+MONTH(A473)-MONTH(FY_START)+1))</f>
        <v/>
      </c>
      <c r="P473" s="40" t="str">
        <f aca="false">IF(A473="","",IF(AND(A473&gt;=VP_START,A473&lt;=VP_END),1,0))</f>
        <v/>
      </c>
    </row>
    <row r="474" customFormat="false" ht="15" hidden="false" customHeight="false" outlineLevel="0" collapsed="false">
      <c r="A474" s="37"/>
      <c r="B474" s="36"/>
      <c r="C474" s="36"/>
      <c r="D474" s="36"/>
      <c r="E474" s="36"/>
      <c r="F474" s="38"/>
      <c r="G474" s="36"/>
      <c r="H474" s="39" t="str">
        <f aca="false">IF(F474="","",IF(G474="Standard 5%",F474*VAT_RATE,0))</f>
        <v/>
      </c>
      <c r="I474" s="39" t="str">
        <f aca="false">IF(F474="","",F474+H474)</f>
        <v/>
      </c>
      <c r="J474" s="36"/>
      <c r="K474" s="37"/>
      <c r="L474" s="38"/>
      <c r="M474" s="22" t="str">
        <f aca="true">IF(OR(A474="",J474="Paid",J474="Written off"),"",TODAY()-A474)</f>
        <v/>
      </c>
      <c r="N474" s="22" t="str">
        <f aca="false">IF(M474="","",IF(M474&gt;OVERDUE_DAYS,"OVERDUE",""))</f>
        <v/>
      </c>
      <c r="O474" s="40" t="str">
        <f aca="false">IF(A474="","",IF(A474&lt;FY_START,0,(YEAR(A474)-YEAR(FY_START))*12+MONTH(A474)-MONTH(FY_START)+1))</f>
        <v/>
      </c>
      <c r="P474" s="40" t="str">
        <f aca="false">IF(A474="","",IF(AND(A474&gt;=VP_START,A474&lt;=VP_END),1,0))</f>
        <v/>
      </c>
    </row>
    <row r="475" customFormat="false" ht="15" hidden="false" customHeight="false" outlineLevel="0" collapsed="false">
      <c r="A475" s="37"/>
      <c r="B475" s="36"/>
      <c r="C475" s="36"/>
      <c r="D475" s="36"/>
      <c r="E475" s="36"/>
      <c r="F475" s="38"/>
      <c r="G475" s="36"/>
      <c r="H475" s="39" t="str">
        <f aca="false">IF(F475="","",IF(G475="Standard 5%",F475*VAT_RATE,0))</f>
        <v/>
      </c>
      <c r="I475" s="39" t="str">
        <f aca="false">IF(F475="","",F475+H475)</f>
        <v/>
      </c>
      <c r="J475" s="36"/>
      <c r="K475" s="37"/>
      <c r="L475" s="38"/>
      <c r="M475" s="22" t="str">
        <f aca="true">IF(OR(A475="",J475="Paid",J475="Written off"),"",TODAY()-A475)</f>
        <v/>
      </c>
      <c r="N475" s="22" t="str">
        <f aca="false">IF(M475="","",IF(M475&gt;OVERDUE_DAYS,"OVERDUE",""))</f>
        <v/>
      </c>
      <c r="O475" s="40" t="str">
        <f aca="false">IF(A475="","",IF(A475&lt;FY_START,0,(YEAR(A475)-YEAR(FY_START))*12+MONTH(A475)-MONTH(FY_START)+1))</f>
        <v/>
      </c>
      <c r="P475" s="40" t="str">
        <f aca="false">IF(A475="","",IF(AND(A475&gt;=VP_START,A475&lt;=VP_END),1,0))</f>
        <v/>
      </c>
    </row>
    <row r="476" customFormat="false" ht="15" hidden="false" customHeight="false" outlineLevel="0" collapsed="false">
      <c r="A476" s="37"/>
      <c r="B476" s="36"/>
      <c r="C476" s="36"/>
      <c r="D476" s="36"/>
      <c r="E476" s="36"/>
      <c r="F476" s="38"/>
      <c r="G476" s="36"/>
      <c r="H476" s="39" t="str">
        <f aca="false">IF(F476="","",IF(G476="Standard 5%",F476*VAT_RATE,0))</f>
        <v/>
      </c>
      <c r="I476" s="39" t="str">
        <f aca="false">IF(F476="","",F476+H476)</f>
        <v/>
      </c>
      <c r="J476" s="36"/>
      <c r="K476" s="37"/>
      <c r="L476" s="38"/>
      <c r="M476" s="22" t="str">
        <f aca="true">IF(OR(A476="",J476="Paid",J476="Written off"),"",TODAY()-A476)</f>
        <v/>
      </c>
      <c r="N476" s="22" t="str">
        <f aca="false">IF(M476="","",IF(M476&gt;OVERDUE_DAYS,"OVERDUE",""))</f>
        <v/>
      </c>
      <c r="O476" s="40" t="str">
        <f aca="false">IF(A476="","",IF(A476&lt;FY_START,0,(YEAR(A476)-YEAR(FY_START))*12+MONTH(A476)-MONTH(FY_START)+1))</f>
        <v/>
      </c>
      <c r="P476" s="40" t="str">
        <f aca="false">IF(A476="","",IF(AND(A476&gt;=VP_START,A476&lt;=VP_END),1,0))</f>
        <v/>
      </c>
    </row>
    <row r="477" customFormat="false" ht="15" hidden="false" customHeight="false" outlineLevel="0" collapsed="false">
      <c r="A477" s="37"/>
      <c r="B477" s="36"/>
      <c r="C477" s="36"/>
      <c r="D477" s="36"/>
      <c r="E477" s="36"/>
      <c r="F477" s="38"/>
      <c r="G477" s="36"/>
      <c r="H477" s="39" t="str">
        <f aca="false">IF(F477="","",IF(G477="Standard 5%",F477*VAT_RATE,0))</f>
        <v/>
      </c>
      <c r="I477" s="39" t="str">
        <f aca="false">IF(F477="","",F477+H477)</f>
        <v/>
      </c>
      <c r="J477" s="36"/>
      <c r="K477" s="37"/>
      <c r="L477" s="38"/>
      <c r="M477" s="22" t="str">
        <f aca="true">IF(OR(A477="",J477="Paid",J477="Written off"),"",TODAY()-A477)</f>
        <v/>
      </c>
      <c r="N477" s="22" t="str">
        <f aca="false">IF(M477="","",IF(M477&gt;OVERDUE_DAYS,"OVERDUE",""))</f>
        <v/>
      </c>
      <c r="O477" s="40" t="str">
        <f aca="false">IF(A477="","",IF(A477&lt;FY_START,0,(YEAR(A477)-YEAR(FY_START))*12+MONTH(A477)-MONTH(FY_START)+1))</f>
        <v/>
      </c>
      <c r="P477" s="40" t="str">
        <f aca="false">IF(A477="","",IF(AND(A477&gt;=VP_START,A477&lt;=VP_END),1,0))</f>
        <v/>
      </c>
    </row>
    <row r="478" customFormat="false" ht="15" hidden="false" customHeight="false" outlineLevel="0" collapsed="false">
      <c r="A478" s="37"/>
      <c r="B478" s="36"/>
      <c r="C478" s="36"/>
      <c r="D478" s="36"/>
      <c r="E478" s="36"/>
      <c r="F478" s="38"/>
      <c r="G478" s="36"/>
      <c r="H478" s="39" t="str">
        <f aca="false">IF(F478="","",IF(G478="Standard 5%",F478*VAT_RATE,0))</f>
        <v/>
      </c>
      <c r="I478" s="39" t="str">
        <f aca="false">IF(F478="","",F478+H478)</f>
        <v/>
      </c>
      <c r="J478" s="36"/>
      <c r="K478" s="37"/>
      <c r="L478" s="38"/>
      <c r="M478" s="22" t="str">
        <f aca="true">IF(OR(A478="",J478="Paid",J478="Written off"),"",TODAY()-A478)</f>
        <v/>
      </c>
      <c r="N478" s="22" t="str">
        <f aca="false">IF(M478="","",IF(M478&gt;OVERDUE_DAYS,"OVERDUE",""))</f>
        <v/>
      </c>
      <c r="O478" s="40" t="str">
        <f aca="false">IF(A478="","",IF(A478&lt;FY_START,0,(YEAR(A478)-YEAR(FY_START))*12+MONTH(A478)-MONTH(FY_START)+1))</f>
        <v/>
      </c>
      <c r="P478" s="40" t="str">
        <f aca="false">IF(A478="","",IF(AND(A478&gt;=VP_START,A478&lt;=VP_END),1,0))</f>
        <v/>
      </c>
    </row>
    <row r="479" customFormat="false" ht="15" hidden="false" customHeight="false" outlineLevel="0" collapsed="false">
      <c r="A479" s="37"/>
      <c r="B479" s="36"/>
      <c r="C479" s="36"/>
      <c r="D479" s="36"/>
      <c r="E479" s="36"/>
      <c r="F479" s="38"/>
      <c r="G479" s="36"/>
      <c r="H479" s="39" t="str">
        <f aca="false">IF(F479="","",IF(G479="Standard 5%",F479*VAT_RATE,0))</f>
        <v/>
      </c>
      <c r="I479" s="39" t="str">
        <f aca="false">IF(F479="","",F479+H479)</f>
        <v/>
      </c>
      <c r="J479" s="36"/>
      <c r="K479" s="37"/>
      <c r="L479" s="38"/>
      <c r="M479" s="22" t="str">
        <f aca="true">IF(OR(A479="",J479="Paid",J479="Written off"),"",TODAY()-A479)</f>
        <v/>
      </c>
      <c r="N479" s="22" t="str">
        <f aca="false">IF(M479="","",IF(M479&gt;OVERDUE_DAYS,"OVERDUE",""))</f>
        <v/>
      </c>
      <c r="O479" s="40" t="str">
        <f aca="false">IF(A479="","",IF(A479&lt;FY_START,0,(YEAR(A479)-YEAR(FY_START))*12+MONTH(A479)-MONTH(FY_START)+1))</f>
        <v/>
      </c>
      <c r="P479" s="40" t="str">
        <f aca="false">IF(A479="","",IF(AND(A479&gt;=VP_START,A479&lt;=VP_END),1,0))</f>
        <v/>
      </c>
    </row>
    <row r="480" customFormat="false" ht="15" hidden="false" customHeight="false" outlineLevel="0" collapsed="false">
      <c r="A480" s="37"/>
      <c r="B480" s="36"/>
      <c r="C480" s="36"/>
      <c r="D480" s="36"/>
      <c r="E480" s="36"/>
      <c r="F480" s="38"/>
      <c r="G480" s="36"/>
      <c r="H480" s="39" t="str">
        <f aca="false">IF(F480="","",IF(G480="Standard 5%",F480*VAT_RATE,0))</f>
        <v/>
      </c>
      <c r="I480" s="39" t="str">
        <f aca="false">IF(F480="","",F480+H480)</f>
        <v/>
      </c>
      <c r="J480" s="36"/>
      <c r="K480" s="37"/>
      <c r="L480" s="38"/>
      <c r="M480" s="22" t="str">
        <f aca="true">IF(OR(A480="",J480="Paid",J480="Written off"),"",TODAY()-A480)</f>
        <v/>
      </c>
      <c r="N480" s="22" t="str">
        <f aca="false">IF(M480="","",IF(M480&gt;OVERDUE_DAYS,"OVERDUE",""))</f>
        <v/>
      </c>
      <c r="O480" s="40" t="str">
        <f aca="false">IF(A480="","",IF(A480&lt;FY_START,0,(YEAR(A480)-YEAR(FY_START))*12+MONTH(A480)-MONTH(FY_START)+1))</f>
        <v/>
      </c>
      <c r="P480" s="40" t="str">
        <f aca="false">IF(A480="","",IF(AND(A480&gt;=VP_START,A480&lt;=VP_END),1,0))</f>
        <v/>
      </c>
    </row>
    <row r="481" customFormat="false" ht="15" hidden="false" customHeight="false" outlineLevel="0" collapsed="false">
      <c r="A481" s="37"/>
      <c r="B481" s="36"/>
      <c r="C481" s="36"/>
      <c r="D481" s="36"/>
      <c r="E481" s="36"/>
      <c r="F481" s="38"/>
      <c r="G481" s="36"/>
      <c r="H481" s="39" t="str">
        <f aca="false">IF(F481="","",IF(G481="Standard 5%",F481*VAT_RATE,0))</f>
        <v/>
      </c>
      <c r="I481" s="39" t="str">
        <f aca="false">IF(F481="","",F481+H481)</f>
        <v/>
      </c>
      <c r="J481" s="36"/>
      <c r="K481" s="37"/>
      <c r="L481" s="38"/>
      <c r="M481" s="22" t="str">
        <f aca="true">IF(OR(A481="",J481="Paid",J481="Written off"),"",TODAY()-A481)</f>
        <v/>
      </c>
      <c r="N481" s="22" t="str">
        <f aca="false">IF(M481="","",IF(M481&gt;OVERDUE_DAYS,"OVERDUE",""))</f>
        <v/>
      </c>
      <c r="O481" s="40" t="str">
        <f aca="false">IF(A481="","",IF(A481&lt;FY_START,0,(YEAR(A481)-YEAR(FY_START))*12+MONTH(A481)-MONTH(FY_START)+1))</f>
        <v/>
      </c>
      <c r="P481" s="40" t="str">
        <f aca="false">IF(A481="","",IF(AND(A481&gt;=VP_START,A481&lt;=VP_END),1,0))</f>
        <v/>
      </c>
    </row>
    <row r="482" customFormat="false" ht="15" hidden="false" customHeight="false" outlineLevel="0" collapsed="false">
      <c r="A482" s="37"/>
      <c r="B482" s="36"/>
      <c r="C482" s="36"/>
      <c r="D482" s="36"/>
      <c r="E482" s="36"/>
      <c r="F482" s="38"/>
      <c r="G482" s="36"/>
      <c r="H482" s="39" t="str">
        <f aca="false">IF(F482="","",IF(G482="Standard 5%",F482*VAT_RATE,0))</f>
        <v/>
      </c>
      <c r="I482" s="39" t="str">
        <f aca="false">IF(F482="","",F482+H482)</f>
        <v/>
      </c>
      <c r="J482" s="36"/>
      <c r="K482" s="37"/>
      <c r="L482" s="38"/>
      <c r="M482" s="22" t="str">
        <f aca="true">IF(OR(A482="",J482="Paid",J482="Written off"),"",TODAY()-A482)</f>
        <v/>
      </c>
      <c r="N482" s="22" t="str">
        <f aca="false">IF(M482="","",IF(M482&gt;OVERDUE_DAYS,"OVERDUE",""))</f>
        <v/>
      </c>
      <c r="O482" s="40" t="str">
        <f aca="false">IF(A482="","",IF(A482&lt;FY_START,0,(YEAR(A482)-YEAR(FY_START))*12+MONTH(A482)-MONTH(FY_START)+1))</f>
        <v/>
      </c>
      <c r="P482" s="40" t="str">
        <f aca="false">IF(A482="","",IF(AND(A482&gt;=VP_START,A482&lt;=VP_END),1,0))</f>
        <v/>
      </c>
    </row>
    <row r="483" customFormat="false" ht="15" hidden="false" customHeight="false" outlineLevel="0" collapsed="false">
      <c r="A483" s="37"/>
      <c r="B483" s="36"/>
      <c r="C483" s="36"/>
      <c r="D483" s="36"/>
      <c r="E483" s="36"/>
      <c r="F483" s="38"/>
      <c r="G483" s="36"/>
      <c r="H483" s="39" t="str">
        <f aca="false">IF(F483="","",IF(G483="Standard 5%",F483*VAT_RATE,0))</f>
        <v/>
      </c>
      <c r="I483" s="39" t="str">
        <f aca="false">IF(F483="","",F483+H483)</f>
        <v/>
      </c>
      <c r="J483" s="36"/>
      <c r="K483" s="37"/>
      <c r="L483" s="38"/>
      <c r="M483" s="22" t="str">
        <f aca="true">IF(OR(A483="",J483="Paid",J483="Written off"),"",TODAY()-A483)</f>
        <v/>
      </c>
      <c r="N483" s="22" t="str">
        <f aca="false">IF(M483="","",IF(M483&gt;OVERDUE_DAYS,"OVERDUE",""))</f>
        <v/>
      </c>
      <c r="O483" s="40" t="str">
        <f aca="false">IF(A483="","",IF(A483&lt;FY_START,0,(YEAR(A483)-YEAR(FY_START))*12+MONTH(A483)-MONTH(FY_START)+1))</f>
        <v/>
      </c>
      <c r="P483" s="40" t="str">
        <f aca="false">IF(A483="","",IF(AND(A483&gt;=VP_START,A483&lt;=VP_END),1,0))</f>
        <v/>
      </c>
    </row>
    <row r="484" customFormat="false" ht="15" hidden="false" customHeight="false" outlineLevel="0" collapsed="false">
      <c r="A484" s="37"/>
      <c r="B484" s="36"/>
      <c r="C484" s="36"/>
      <c r="D484" s="36"/>
      <c r="E484" s="36"/>
      <c r="F484" s="38"/>
      <c r="G484" s="36"/>
      <c r="H484" s="39" t="str">
        <f aca="false">IF(F484="","",IF(G484="Standard 5%",F484*VAT_RATE,0))</f>
        <v/>
      </c>
      <c r="I484" s="39" t="str">
        <f aca="false">IF(F484="","",F484+H484)</f>
        <v/>
      </c>
      <c r="J484" s="36"/>
      <c r="K484" s="37"/>
      <c r="L484" s="38"/>
      <c r="M484" s="22" t="str">
        <f aca="true">IF(OR(A484="",J484="Paid",J484="Written off"),"",TODAY()-A484)</f>
        <v/>
      </c>
      <c r="N484" s="22" t="str">
        <f aca="false">IF(M484="","",IF(M484&gt;OVERDUE_DAYS,"OVERDUE",""))</f>
        <v/>
      </c>
      <c r="O484" s="40" t="str">
        <f aca="false">IF(A484="","",IF(A484&lt;FY_START,0,(YEAR(A484)-YEAR(FY_START))*12+MONTH(A484)-MONTH(FY_START)+1))</f>
        <v/>
      </c>
      <c r="P484" s="40" t="str">
        <f aca="false">IF(A484="","",IF(AND(A484&gt;=VP_START,A484&lt;=VP_END),1,0))</f>
        <v/>
      </c>
    </row>
    <row r="485" customFormat="false" ht="15" hidden="false" customHeight="false" outlineLevel="0" collapsed="false">
      <c r="A485" s="37"/>
      <c r="B485" s="36"/>
      <c r="C485" s="36"/>
      <c r="D485" s="36"/>
      <c r="E485" s="36"/>
      <c r="F485" s="38"/>
      <c r="G485" s="36"/>
      <c r="H485" s="39" t="str">
        <f aca="false">IF(F485="","",IF(G485="Standard 5%",F485*VAT_RATE,0))</f>
        <v/>
      </c>
      <c r="I485" s="39" t="str">
        <f aca="false">IF(F485="","",F485+H485)</f>
        <v/>
      </c>
      <c r="J485" s="36"/>
      <c r="K485" s="37"/>
      <c r="L485" s="38"/>
      <c r="M485" s="22" t="str">
        <f aca="true">IF(OR(A485="",J485="Paid",J485="Written off"),"",TODAY()-A485)</f>
        <v/>
      </c>
      <c r="N485" s="22" t="str">
        <f aca="false">IF(M485="","",IF(M485&gt;OVERDUE_DAYS,"OVERDUE",""))</f>
        <v/>
      </c>
      <c r="O485" s="40" t="str">
        <f aca="false">IF(A485="","",IF(A485&lt;FY_START,0,(YEAR(A485)-YEAR(FY_START))*12+MONTH(A485)-MONTH(FY_START)+1))</f>
        <v/>
      </c>
      <c r="P485" s="40" t="str">
        <f aca="false">IF(A485="","",IF(AND(A485&gt;=VP_START,A485&lt;=VP_END),1,0))</f>
        <v/>
      </c>
    </row>
    <row r="486" customFormat="false" ht="15" hidden="false" customHeight="false" outlineLevel="0" collapsed="false">
      <c r="A486" s="37"/>
      <c r="B486" s="36"/>
      <c r="C486" s="36"/>
      <c r="D486" s="36"/>
      <c r="E486" s="36"/>
      <c r="F486" s="38"/>
      <c r="G486" s="36"/>
      <c r="H486" s="39" t="str">
        <f aca="false">IF(F486="","",IF(G486="Standard 5%",F486*VAT_RATE,0))</f>
        <v/>
      </c>
      <c r="I486" s="39" t="str">
        <f aca="false">IF(F486="","",F486+H486)</f>
        <v/>
      </c>
      <c r="J486" s="36"/>
      <c r="K486" s="37"/>
      <c r="L486" s="38"/>
      <c r="M486" s="22" t="str">
        <f aca="true">IF(OR(A486="",J486="Paid",J486="Written off"),"",TODAY()-A486)</f>
        <v/>
      </c>
      <c r="N486" s="22" t="str">
        <f aca="false">IF(M486="","",IF(M486&gt;OVERDUE_DAYS,"OVERDUE",""))</f>
        <v/>
      </c>
      <c r="O486" s="40" t="str">
        <f aca="false">IF(A486="","",IF(A486&lt;FY_START,0,(YEAR(A486)-YEAR(FY_START))*12+MONTH(A486)-MONTH(FY_START)+1))</f>
        <v/>
      </c>
      <c r="P486" s="40" t="str">
        <f aca="false">IF(A486="","",IF(AND(A486&gt;=VP_START,A486&lt;=VP_END),1,0))</f>
        <v/>
      </c>
    </row>
    <row r="487" customFormat="false" ht="15" hidden="false" customHeight="false" outlineLevel="0" collapsed="false">
      <c r="A487" s="37"/>
      <c r="B487" s="36"/>
      <c r="C487" s="36"/>
      <c r="D487" s="36"/>
      <c r="E487" s="36"/>
      <c r="F487" s="38"/>
      <c r="G487" s="36"/>
      <c r="H487" s="39" t="str">
        <f aca="false">IF(F487="","",IF(G487="Standard 5%",F487*VAT_RATE,0))</f>
        <v/>
      </c>
      <c r="I487" s="39" t="str">
        <f aca="false">IF(F487="","",F487+H487)</f>
        <v/>
      </c>
      <c r="J487" s="36"/>
      <c r="K487" s="37"/>
      <c r="L487" s="38"/>
      <c r="M487" s="22" t="str">
        <f aca="true">IF(OR(A487="",J487="Paid",J487="Written off"),"",TODAY()-A487)</f>
        <v/>
      </c>
      <c r="N487" s="22" t="str">
        <f aca="false">IF(M487="","",IF(M487&gt;OVERDUE_DAYS,"OVERDUE",""))</f>
        <v/>
      </c>
      <c r="O487" s="40" t="str">
        <f aca="false">IF(A487="","",IF(A487&lt;FY_START,0,(YEAR(A487)-YEAR(FY_START))*12+MONTH(A487)-MONTH(FY_START)+1))</f>
        <v/>
      </c>
      <c r="P487" s="40" t="str">
        <f aca="false">IF(A487="","",IF(AND(A487&gt;=VP_START,A487&lt;=VP_END),1,0))</f>
        <v/>
      </c>
    </row>
    <row r="488" customFormat="false" ht="15" hidden="false" customHeight="false" outlineLevel="0" collapsed="false">
      <c r="A488" s="37"/>
      <c r="B488" s="36"/>
      <c r="C488" s="36"/>
      <c r="D488" s="36"/>
      <c r="E488" s="36"/>
      <c r="F488" s="38"/>
      <c r="G488" s="36"/>
      <c r="H488" s="39" t="str">
        <f aca="false">IF(F488="","",IF(G488="Standard 5%",F488*VAT_RATE,0))</f>
        <v/>
      </c>
      <c r="I488" s="39" t="str">
        <f aca="false">IF(F488="","",F488+H488)</f>
        <v/>
      </c>
      <c r="J488" s="36"/>
      <c r="K488" s="37"/>
      <c r="L488" s="38"/>
      <c r="M488" s="22" t="str">
        <f aca="true">IF(OR(A488="",J488="Paid",J488="Written off"),"",TODAY()-A488)</f>
        <v/>
      </c>
      <c r="N488" s="22" t="str">
        <f aca="false">IF(M488="","",IF(M488&gt;OVERDUE_DAYS,"OVERDUE",""))</f>
        <v/>
      </c>
      <c r="O488" s="40" t="str">
        <f aca="false">IF(A488="","",IF(A488&lt;FY_START,0,(YEAR(A488)-YEAR(FY_START))*12+MONTH(A488)-MONTH(FY_START)+1))</f>
        <v/>
      </c>
      <c r="P488" s="40" t="str">
        <f aca="false">IF(A488="","",IF(AND(A488&gt;=VP_START,A488&lt;=VP_END),1,0))</f>
        <v/>
      </c>
    </row>
    <row r="489" customFormat="false" ht="15" hidden="false" customHeight="false" outlineLevel="0" collapsed="false">
      <c r="A489" s="37"/>
      <c r="B489" s="36"/>
      <c r="C489" s="36"/>
      <c r="D489" s="36"/>
      <c r="E489" s="36"/>
      <c r="F489" s="38"/>
      <c r="G489" s="36"/>
      <c r="H489" s="39" t="str">
        <f aca="false">IF(F489="","",IF(G489="Standard 5%",F489*VAT_RATE,0))</f>
        <v/>
      </c>
      <c r="I489" s="39" t="str">
        <f aca="false">IF(F489="","",F489+H489)</f>
        <v/>
      </c>
      <c r="J489" s="36"/>
      <c r="K489" s="37"/>
      <c r="L489" s="38"/>
      <c r="M489" s="22" t="str">
        <f aca="true">IF(OR(A489="",J489="Paid",J489="Written off"),"",TODAY()-A489)</f>
        <v/>
      </c>
      <c r="N489" s="22" t="str">
        <f aca="false">IF(M489="","",IF(M489&gt;OVERDUE_DAYS,"OVERDUE",""))</f>
        <v/>
      </c>
      <c r="O489" s="40" t="str">
        <f aca="false">IF(A489="","",IF(A489&lt;FY_START,0,(YEAR(A489)-YEAR(FY_START))*12+MONTH(A489)-MONTH(FY_START)+1))</f>
        <v/>
      </c>
      <c r="P489" s="40" t="str">
        <f aca="false">IF(A489="","",IF(AND(A489&gt;=VP_START,A489&lt;=VP_END),1,0))</f>
        <v/>
      </c>
    </row>
    <row r="490" customFormat="false" ht="15" hidden="false" customHeight="false" outlineLevel="0" collapsed="false">
      <c r="A490" s="37"/>
      <c r="B490" s="36"/>
      <c r="C490" s="36"/>
      <c r="D490" s="36"/>
      <c r="E490" s="36"/>
      <c r="F490" s="38"/>
      <c r="G490" s="36"/>
      <c r="H490" s="39" t="str">
        <f aca="false">IF(F490="","",IF(G490="Standard 5%",F490*VAT_RATE,0))</f>
        <v/>
      </c>
      <c r="I490" s="39" t="str">
        <f aca="false">IF(F490="","",F490+H490)</f>
        <v/>
      </c>
      <c r="J490" s="36"/>
      <c r="K490" s="37"/>
      <c r="L490" s="38"/>
      <c r="M490" s="22" t="str">
        <f aca="true">IF(OR(A490="",J490="Paid",J490="Written off"),"",TODAY()-A490)</f>
        <v/>
      </c>
      <c r="N490" s="22" t="str">
        <f aca="false">IF(M490="","",IF(M490&gt;OVERDUE_DAYS,"OVERDUE",""))</f>
        <v/>
      </c>
      <c r="O490" s="40" t="str">
        <f aca="false">IF(A490="","",IF(A490&lt;FY_START,0,(YEAR(A490)-YEAR(FY_START))*12+MONTH(A490)-MONTH(FY_START)+1))</f>
        <v/>
      </c>
      <c r="P490" s="40" t="str">
        <f aca="false">IF(A490="","",IF(AND(A490&gt;=VP_START,A490&lt;=VP_END),1,0))</f>
        <v/>
      </c>
    </row>
    <row r="491" customFormat="false" ht="15" hidden="false" customHeight="false" outlineLevel="0" collapsed="false">
      <c r="A491" s="37"/>
      <c r="B491" s="36"/>
      <c r="C491" s="36"/>
      <c r="D491" s="36"/>
      <c r="E491" s="36"/>
      <c r="F491" s="38"/>
      <c r="G491" s="36"/>
      <c r="H491" s="39" t="str">
        <f aca="false">IF(F491="","",IF(G491="Standard 5%",F491*VAT_RATE,0))</f>
        <v/>
      </c>
      <c r="I491" s="39" t="str">
        <f aca="false">IF(F491="","",F491+H491)</f>
        <v/>
      </c>
      <c r="J491" s="36"/>
      <c r="K491" s="37"/>
      <c r="L491" s="38"/>
      <c r="M491" s="22" t="str">
        <f aca="true">IF(OR(A491="",J491="Paid",J491="Written off"),"",TODAY()-A491)</f>
        <v/>
      </c>
      <c r="N491" s="22" t="str">
        <f aca="false">IF(M491="","",IF(M491&gt;OVERDUE_DAYS,"OVERDUE",""))</f>
        <v/>
      </c>
      <c r="O491" s="40" t="str">
        <f aca="false">IF(A491="","",IF(A491&lt;FY_START,0,(YEAR(A491)-YEAR(FY_START))*12+MONTH(A491)-MONTH(FY_START)+1))</f>
        <v/>
      </c>
      <c r="P491" s="40" t="str">
        <f aca="false">IF(A491="","",IF(AND(A491&gt;=VP_START,A491&lt;=VP_END),1,0))</f>
        <v/>
      </c>
    </row>
    <row r="492" customFormat="false" ht="15" hidden="false" customHeight="false" outlineLevel="0" collapsed="false">
      <c r="A492" s="37"/>
      <c r="B492" s="36"/>
      <c r="C492" s="36"/>
      <c r="D492" s="36"/>
      <c r="E492" s="36"/>
      <c r="F492" s="38"/>
      <c r="G492" s="36"/>
      <c r="H492" s="39" t="str">
        <f aca="false">IF(F492="","",IF(G492="Standard 5%",F492*VAT_RATE,0))</f>
        <v/>
      </c>
      <c r="I492" s="39" t="str">
        <f aca="false">IF(F492="","",F492+H492)</f>
        <v/>
      </c>
      <c r="J492" s="36"/>
      <c r="K492" s="37"/>
      <c r="L492" s="38"/>
      <c r="M492" s="22" t="str">
        <f aca="true">IF(OR(A492="",J492="Paid",J492="Written off"),"",TODAY()-A492)</f>
        <v/>
      </c>
      <c r="N492" s="22" t="str">
        <f aca="false">IF(M492="","",IF(M492&gt;OVERDUE_DAYS,"OVERDUE",""))</f>
        <v/>
      </c>
      <c r="O492" s="40" t="str">
        <f aca="false">IF(A492="","",IF(A492&lt;FY_START,0,(YEAR(A492)-YEAR(FY_START))*12+MONTH(A492)-MONTH(FY_START)+1))</f>
        <v/>
      </c>
      <c r="P492" s="40" t="str">
        <f aca="false">IF(A492="","",IF(AND(A492&gt;=VP_START,A492&lt;=VP_END),1,0))</f>
        <v/>
      </c>
    </row>
    <row r="493" customFormat="false" ht="15" hidden="false" customHeight="false" outlineLevel="0" collapsed="false">
      <c r="A493" s="37"/>
      <c r="B493" s="36"/>
      <c r="C493" s="36"/>
      <c r="D493" s="36"/>
      <c r="E493" s="36"/>
      <c r="F493" s="38"/>
      <c r="G493" s="36"/>
      <c r="H493" s="39" t="str">
        <f aca="false">IF(F493="","",IF(G493="Standard 5%",F493*VAT_RATE,0))</f>
        <v/>
      </c>
      <c r="I493" s="39" t="str">
        <f aca="false">IF(F493="","",F493+H493)</f>
        <v/>
      </c>
      <c r="J493" s="36"/>
      <c r="K493" s="37"/>
      <c r="L493" s="38"/>
      <c r="M493" s="22" t="str">
        <f aca="true">IF(OR(A493="",J493="Paid",J493="Written off"),"",TODAY()-A493)</f>
        <v/>
      </c>
      <c r="N493" s="22" t="str">
        <f aca="false">IF(M493="","",IF(M493&gt;OVERDUE_DAYS,"OVERDUE",""))</f>
        <v/>
      </c>
      <c r="O493" s="40" t="str">
        <f aca="false">IF(A493="","",IF(A493&lt;FY_START,0,(YEAR(A493)-YEAR(FY_START))*12+MONTH(A493)-MONTH(FY_START)+1))</f>
        <v/>
      </c>
      <c r="P493" s="40" t="str">
        <f aca="false">IF(A493="","",IF(AND(A493&gt;=VP_START,A493&lt;=VP_END),1,0))</f>
        <v/>
      </c>
    </row>
    <row r="494" customFormat="false" ht="15" hidden="false" customHeight="false" outlineLevel="0" collapsed="false">
      <c r="A494" s="37"/>
      <c r="B494" s="36"/>
      <c r="C494" s="36"/>
      <c r="D494" s="36"/>
      <c r="E494" s="36"/>
      <c r="F494" s="38"/>
      <c r="G494" s="36"/>
      <c r="H494" s="39" t="str">
        <f aca="false">IF(F494="","",IF(G494="Standard 5%",F494*VAT_RATE,0))</f>
        <v/>
      </c>
      <c r="I494" s="39" t="str">
        <f aca="false">IF(F494="","",F494+H494)</f>
        <v/>
      </c>
      <c r="J494" s="36"/>
      <c r="K494" s="37"/>
      <c r="L494" s="38"/>
      <c r="M494" s="22" t="str">
        <f aca="true">IF(OR(A494="",J494="Paid",J494="Written off"),"",TODAY()-A494)</f>
        <v/>
      </c>
      <c r="N494" s="22" t="str">
        <f aca="false">IF(M494="","",IF(M494&gt;OVERDUE_DAYS,"OVERDUE",""))</f>
        <v/>
      </c>
      <c r="O494" s="40" t="str">
        <f aca="false">IF(A494="","",IF(A494&lt;FY_START,0,(YEAR(A494)-YEAR(FY_START))*12+MONTH(A494)-MONTH(FY_START)+1))</f>
        <v/>
      </c>
      <c r="P494" s="40" t="str">
        <f aca="false">IF(A494="","",IF(AND(A494&gt;=VP_START,A494&lt;=VP_END),1,0))</f>
        <v/>
      </c>
    </row>
    <row r="495" customFormat="false" ht="15" hidden="false" customHeight="false" outlineLevel="0" collapsed="false">
      <c r="A495" s="37"/>
      <c r="B495" s="36"/>
      <c r="C495" s="36"/>
      <c r="D495" s="36"/>
      <c r="E495" s="36"/>
      <c r="F495" s="38"/>
      <c r="G495" s="36"/>
      <c r="H495" s="39" t="str">
        <f aca="false">IF(F495="","",IF(G495="Standard 5%",F495*VAT_RATE,0))</f>
        <v/>
      </c>
      <c r="I495" s="39" t="str">
        <f aca="false">IF(F495="","",F495+H495)</f>
        <v/>
      </c>
      <c r="J495" s="36"/>
      <c r="K495" s="37"/>
      <c r="L495" s="38"/>
      <c r="M495" s="22" t="str">
        <f aca="true">IF(OR(A495="",J495="Paid",J495="Written off"),"",TODAY()-A495)</f>
        <v/>
      </c>
      <c r="N495" s="22" t="str">
        <f aca="false">IF(M495="","",IF(M495&gt;OVERDUE_DAYS,"OVERDUE",""))</f>
        <v/>
      </c>
      <c r="O495" s="40" t="str">
        <f aca="false">IF(A495="","",IF(A495&lt;FY_START,0,(YEAR(A495)-YEAR(FY_START))*12+MONTH(A495)-MONTH(FY_START)+1))</f>
        <v/>
      </c>
      <c r="P495" s="40" t="str">
        <f aca="false">IF(A495="","",IF(AND(A495&gt;=VP_START,A495&lt;=VP_END),1,0))</f>
        <v/>
      </c>
    </row>
    <row r="496" customFormat="false" ht="15" hidden="false" customHeight="false" outlineLevel="0" collapsed="false">
      <c r="A496" s="37"/>
      <c r="B496" s="36"/>
      <c r="C496" s="36"/>
      <c r="D496" s="36"/>
      <c r="E496" s="36"/>
      <c r="F496" s="38"/>
      <c r="G496" s="36"/>
      <c r="H496" s="39" t="str">
        <f aca="false">IF(F496="","",IF(G496="Standard 5%",F496*VAT_RATE,0))</f>
        <v/>
      </c>
      <c r="I496" s="39" t="str">
        <f aca="false">IF(F496="","",F496+H496)</f>
        <v/>
      </c>
      <c r="J496" s="36"/>
      <c r="K496" s="37"/>
      <c r="L496" s="38"/>
      <c r="M496" s="22" t="str">
        <f aca="true">IF(OR(A496="",J496="Paid",J496="Written off"),"",TODAY()-A496)</f>
        <v/>
      </c>
      <c r="N496" s="22" t="str">
        <f aca="false">IF(M496="","",IF(M496&gt;OVERDUE_DAYS,"OVERDUE",""))</f>
        <v/>
      </c>
      <c r="O496" s="40" t="str">
        <f aca="false">IF(A496="","",IF(A496&lt;FY_START,0,(YEAR(A496)-YEAR(FY_START))*12+MONTH(A496)-MONTH(FY_START)+1))</f>
        <v/>
      </c>
      <c r="P496" s="40" t="str">
        <f aca="false">IF(A496="","",IF(AND(A496&gt;=VP_START,A496&lt;=VP_END),1,0))</f>
        <v/>
      </c>
    </row>
    <row r="497" customFormat="false" ht="15" hidden="false" customHeight="false" outlineLevel="0" collapsed="false">
      <c r="A497" s="37"/>
      <c r="B497" s="36"/>
      <c r="C497" s="36"/>
      <c r="D497" s="36"/>
      <c r="E497" s="36"/>
      <c r="F497" s="38"/>
      <c r="G497" s="36"/>
      <c r="H497" s="39" t="str">
        <f aca="false">IF(F497="","",IF(G497="Standard 5%",F497*VAT_RATE,0))</f>
        <v/>
      </c>
      <c r="I497" s="39" t="str">
        <f aca="false">IF(F497="","",F497+H497)</f>
        <v/>
      </c>
      <c r="J497" s="36"/>
      <c r="K497" s="37"/>
      <c r="L497" s="38"/>
      <c r="M497" s="22" t="str">
        <f aca="true">IF(OR(A497="",J497="Paid",J497="Written off"),"",TODAY()-A497)</f>
        <v/>
      </c>
      <c r="N497" s="22" t="str">
        <f aca="false">IF(M497="","",IF(M497&gt;OVERDUE_DAYS,"OVERDUE",""))</f>
        <v/>
      </c>
      <c r="O497" s="40" t="str">
        <f aca="false">IF(A497="","",IF(A497&lt;FY_START,0,(YEAR(A497)-YEAR(FY_START))*12+MONTH(A497)-MONTH(FY_START)+1))</f>
        <v/>
      </c>
      <c r="P497" s="40" t="str">
        <f aca="false">IF(A497="","",IF(AND(A497&gt;=VP_START,A497&lt;=VP_END),1,0))</f>
        <v/>
      </c>
    </row>
    <row r="498" customFormat="false" ht="15" hidden="false" customHeight="false" outlineLevel="0" collapsed="false">
      <c r="A498" s="37"/>
      <c r="B498" s="36"/>
      <c r="C498" s="36"/>
      <c r="D498" s="36"/>
      <c r="E498" s="36"/>
      <c r="F498" s="38"/>
      <c r="G498" s="36"/>
      <c r="H498" s="39" t="str">
        <f aca="false">IF(F498="","",IF(G498="Standard 5%",F498*VAT_RATE,0))</f>
        <v/>
      </c>
      <c r="I498" s="39" t="str">
        <f aca="false">IF(F498="","",F498+H498)</f>
        <v/>
      </c>
      <c r="J498" s="36"/>
      <c r="K498" s="37"/>
      <c r="L498" s="38"/>
      <c r="M498" s="22" t="str">
        <f aca="true">IF(OR(A498="",J498="Paid",J498="Written off"),"",TODAY()-A498)</f>
        <v/>
      </c>
      <c r="N498" s="22" t="str">
        <f aca="false">IF(M498="","",IF(M498&gt;OVERDUE_DAYS,"OVERDUE",""))</f>
        <v/>
      </c>
      <c r="O498" s="40" t="str">
        <f aca="false">IF(A498="","",IF(A498&lt;FY_START,0,(YEAR(A498)-YEAR(FY_START))*12+MONTH(A498)-MONTH(FY_START)+1))</f>
        <v/>
      </c>
      <c r="P498" s="40" t="str">
        <f aca="false">IF(A498="","",IF(AND(A498&gt;=VP_START,A498&lt;=VP_END),1,0))</f>
        <v/>
      </c>
    </row>
    <row r="499" customFormat="false" ht="15" hidden="false" customHeight="false" outlineLevel="0" collapsed="false">
      <c r="A499" s="37"/>
      <c r="B499" s="36"/>
      <c r="C499" s="36"/>
      <c r="D499" s="36"/>
      <c r="E499" s="36"/>
      <c r="F499" s="38"/>
      <c r="G499" s="36"/>
      <c r="H499" s="39" t="str">
        <f aca="false">IF(F499="","",IF(G499="Standard 5%",F499*VAT_RATE,0))</f>
        <v/>
      </c>
      <c r="I499" s="39" t="str">
        <f aca="false">IF(F499="","",F499+H499)</f>
        <v/>
      </c>
      <c r="J499" s="36"/>
      <c r="K499" s="37"/>
      <c r="L499" s="38"/>
      <c r="M499" s="22" t="str">
        <f aca="true">IF(OR(A499="",J499="Paid",J499="Written off"),"",TODAY()-A499)</f>
        <v/>
      </c>
      <c r="N499" s="22" t="str">
        <f aca="false">IF(M499="","",IF(M499&gt;OVERDUE_DAYS,"OVERDUE",""))</f>
        <v/>
      </c>
      <c r="O499" s="40" t="str">
        <f aca="false">IF(A499="","",IF(A499&lt;FY_START,0,(YEAR(A499)-YEAR(FY_START))*12+MONTH(A499)-MONTH(FY_START)+1))</f>
        <v/>
      </c>
      <c r="P499" s="40" t="str">
        <f aca="false">IF(A499="","",IF(AND(A499&gt;=VP_START,A499&lt;=VP_END),1,0))</f>
        <v/>
      </c>
    </row>
    <row r="500" customFormat="false" ht="15" hidden="false" customHeight="false" outlineLevel="0" collapsed="false">
      <c r="A500" s="37"/>
      <c r="B500" s="36"/>
      <c r="C500" s="36"/>
      <c r="D500" s="36"/>
      <c r="E500" s="36"/>
      <c r="F500" s="38"/>
      <c r="G500" s="36"/>
      <c r="H500" s="39" t="str">
        <f aca="false">IF(F500="","",IF(G500="Standard 5%",F500*VAT_RATE,0))</f>
        <v/>
      </c>
      <c r="I500" s="39" t="str">
        <f aca="false">IF(F500="","",F500+H500)</f>
        <v/>
      </c>
      <c r="J500" s="36"/>
      <c r="K500" s="37"/>
      <c r="L500" s="38"/>
      <c r="M500" s="22" t="str">
        <f aca="true">IF(OR(A500="",J500="Paid",J500="Written off"),"",TODAY()-A500)</f>
        <v/>
      </c>
      <c r="N500" s="22" t="str">
        <f aca="false">IF(M500="","",IF(M500&gt;OVERDUE_DAYS,"OVERDUE",""))</f>
        <v/>
      </c>
      <c r="O500" s="40" t="str">
        <f aca="false">IF(A500="","",IF(A500&lt;FY_START,0,(YEAR(A500)-YEAR(FY_START))*12+MONTH(A500)-MONTH(FY_START)+1))</f>
        <v/>
      </c>
      <c r="P500" s="40" t="str">
        <f aca="false">IF(A500="","",IF(AND(A500&gt;=VP_START,A500&lt;=VP_END),1,0))</f>
        <v/>
      </c>
    </row>
    <row r="501" customFormat="false" ht="15" hidden="false" customHeight="false" outlineLevel="0" collapsed="false">
      <c r="A501" s="37"/>
      <c r="B501" s="36"/>
      <c r="C501" s="36"/>
      <c r="D501" s="36"/>
      <c r="E501" s="36"/>
      <c r="F501" s="38"/>
      <c r="G501" s="36"/>
      <c r="H501" s="39" t="str">
        <f aca="false">IF(F501="","",IF(G501="Standard 5%",F501*VAT_RATE,0))</f>
        <v/>
      </c>
      <c r="I501" s="39" t="str">
        <f aca="false">IF(F501="","",F501+H501)</f>
        <v/>
      </c>
      <c r="J501" s="36"/>
      <c r="K501" s="37"/>
      <c r="L501" s="38"/>
      <c r="M501" s="22" t="str">
        <f aca="true">IF(OR(A501="",J501="Paid",J501="Written off"),"",TODAY()-A501)</f>
        <v/>
      </c>
      <c r="N501" s="22" t="str">
        <f aca="false">IF(M501="","",IF(M501&gt;OVERDUE_DAYS,"OVERDUE",""))</f>
        <v/>
      </c>
      <c r="O501" s="40" t="str">
        <f aca="false">IF(A501="","",IF(A501&lt;FY_START,0,(YEAR(A501)-YEAR(FY_START))*12+MONTH(A501)-MONTH(FY_START)+1))</f>
        <v/>
      </c>
      <c r="P501" s="40" t="str">
        <f aca="false">IF(A501="","",IF(AND(A501&gt;=VP_START,A501&lt;=VP_END),1,0))</f>
        <v/>
      </c>
    </row>
    <row r="502" customFormat="false" ht="15" hidden="false" customHeight="false" outlineLevel="0" collapsed="false">
      <c r="A502" s="37"/>
      <c r="B502" s="36"/>
      <c r="C502" s="36"/>
      <c r="D502" s="36"/>
      <c r="E502" s="36"/>
      <c r="F502" s="38"/>
      <c r="G502" s="36"/>
      <c r="H502" s="39" t="str">
        <f aca="false">IF(F502="","",IF(G502="Standard 5%",F502*VAT_RATE,0))</f>
        <v/>
      </c>
      <c r="I502" s="39" t="str">
        <f aca="false">IF(F502="","",F502+H502)</f>
        <v/>
      </c>
      <c r="J502" s="36"/>
      <c r="K502" s="37"/>
      <c r="L502" s="38"/>
      <c r="M502" s="22" t="str">
        <f aca="true">IF(OR(A502="",J502="Paid",J502="Written off"),"",TODAY()-A502)</f>
        <v/>
      </c>
      <c r="N502" s="22" t="str">
        <f aca="false">IF(M502="","",IF(M502&gt;OVERDUE_DAYS,"OVERDUE",""))</f>
        <v/>
      </c>
      <c r="O502" s="40" t="str">
        <f aca="false">IF(A502="","",IF(A502&lt;FY_START,0,(YEAR(A502)-YEAR(FY_START))*12+MONTH(A502)-MONTH(FY_START)+1))</f>
        <v/>
      </c>
      <c r="P502" s="40" t="str">
        <f aca="false">IF(A502="","",IF(AND(A502&gt;=VP_START,A502&lt;=VP_END),1,0))</f>
        <v/>
      </c>
    </row>
    <row r="503" customFormat="false" ht="15" hidden="false" customHeight="false" outlineLevel="0" collapsed="false">
      <c r="A503" s="37"/>
      <c r="B503" s="36"/>
      <c r="C503" s="36"/>
      <c r="D503" s="36"/>
      <c r="E503" s="36"/>
      <c r="F503" s="38"/>
      <c r="G503" s="36"/>
      <c r="H503" s="39" t="str">
        <f aca="false">IF(F503="","",IF(G503="Standard 5%",F503*VAT_RATE,0))</f>
        <v/>
      </c>
      <c r="I503" s="39" t="str">
        <f aca="false">IF(F503="","",F503+H503)</f>
        <v/>
      </c>
      <c r="J503" s="36"/>
      <c r="K503" s="37"/>
      <c r="L503" s="38"/>
      <c r="M503" s="22" t="str">
        <f aca="true">IF(OR(A503="",J503="Paid",J503="Written off"),"",TODAY()-A503)</f>
        <v/>
      </c>
      <c r="N503" s="22" t="str">
        <f aca="false">IF(M503="","",IF(M503&gt;OVERDUE_DAYS,"OVERDUE",""))</f>
        <v/>
      </c>
      <c r="O503" s="40" t="str">
        <f aca="false">IF(A503="","",IF(A503&lt;FY_START,0,(YEAR(A503)-YEAR(FY_START))*12+MONTH(A503)-MONTH(FY_START)+1))</f>
        <v/>
      </c>
      <c r="P503" s="40" t="str">
        <f aca="false">IF(A503="","",IF(AND(A503&gt;=VP_START,A503&lt;=VP_END),1,0))</f>
        <v/>
      </c>
    </row>
  </sheetData>
  <autoFilter ref="A3:P503"/>
  <conditionalFormatting sqref="A4:P503">
    <cfRule type="expression" priority="2" aboveAverage="0" equalAverage="0" bottom="0" percent="0" rank="0" text="" dxfId="9">
      <formula>$N4="OVERDUE"</formula>
    </cfRule>
    <cfRule type="expression" priority="3" aboveAverage="0" equalAverage="0" bottom="0" percent="0" rank="0" text="" dxfId="10">
      <formula>$J4="Paid"</formula>
    </cfRule>
  </conditionalFormatting>
  <conditionalFormatting sqref="G4:G503">
    <cfRule type="expression" priority="4" aboveAverage="0" equalAverage="0" bottom="0" percent="0" rank="0" text="" dxfId="11">
      <formula>AND($G4&lt;&gt;"",ISNA(MATCH($G4,INDIRECT("Settings!$G$4:$G$7"),0)))</formula>
    </cfRule>
  </conditionalFormatting>
  <dataValidations count="3">
    <dataValidation allowBlank="true" errorStyle="stop" operator="between" showDropDown="false" showErrorMessage="false" showInputMessage="false" sqref="E4:E503" type="list">
      <formula1>Settings!$E$4:$E$10</formula1>
      <formula2>0</formula2>
    </dataValidation>
    <dataValidation allowBlank="true" errorStyle="stop" operator="between" showDropDown="false" showErrorMessage="false" showInputMessage="false" sqref="G4:G503" type="list">
      <formula1>Settings!$G$4:$G$7</formula1>
      <formula2>0</formula2>
    </dataValidation>
    <dataValidation allowBlank="true" errorStyle="stop" operator="between" showDropDown="false" showErrorMessage="false" showInputMessage="false" sqref="J4:J503" type="list">
      <formula1>Settings!$E$19:$E$22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17"/>
    <col collapsed="false" customWidth="true" hidden="false" outlineLevel="0" max="7" min="6" style="0" width="15"/>
    <col collapsed="false" customWidth="true" hidden="false" outlineLevel="0" max="11" min="8" style="0" width="16"/>
    <col collapsed="false" customWidth="true" hidden="false" outlineLevel="0" max="12" min="12" style="0" width="15"/>
    <col collapsed="false" customWidth="true" hidden="false" outlineLevel="0" max="13" min="13" style="0" width="9"/>
    <col collapsed="false" customWidth="true" hidden="false" outlineLevel="0" max="14" min="14" style="0" width="12"/>
  </cols>
  <sheetData>
    <row r="1" customFormat="false" ht="19.7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3" customFormat="false" ht="31.5" hidden="false" customHeight="true" outlineLevel="0" collapsed="false">
      <c r="A3" s="11" t="s">
        <v>158</v>
      </c>
      <c r="B3" s="11" t="s">
        <v>159</v>
      </c>
      <c r="C3" s="11" t="s">
        <v>136</v>
      </c>
      <c r="D3" s="11" t="s">
        <v>137</v>
      </c>
      <c r="E3" s="11" t="s">
        <v>138</v>
      </c>
      <c r="F3" s="11" t="s">
        <v>59</v>
      </c>
      <c r="G3" s="11" t="s">
        <v>160</v>
      </c>
      <c r="H3" s="11" t="s">
        <v>161</v>
      </c>
      <c r="I3" s="11" t="s">
        <v>162</v>
      </c>
      <c r="J3" s="11" t="s">
        <v>163</v>
      </c>
      <c r="K3" s="11" t="s">
        <v>105</v>
      </c>
      <c r="L3" s="11" t="s">
        <v>164</v>
      </c>
      <c r="M3" s="11" t="s">
        <v>145</v>
      </c>
      <c r="N3" s="11" t="s">
        <v>146</v>
      </c>
    </row>
    <row r="4" customFormat="false" ht="15" hidden="false" customHeight="false" outlineLevel="0" collapsed="false">
      <c r="A4" s="37" t="n">
        <v>46027</v>
      </c>
      <c r="B4" s="36" t="s">
        <v>165</v>
      </c>
      <c r="C4" s="36" t="s">
        <v>166</v>
      </c>
      <c r="D4" s="36" t="s">
        <v>75</v>
      </c>
      <c r="E4" s="38" t="n">
        <v>7500</v>
      </c>
      <c r="F4" s="36" t="s">
        <v>81</v>
      </c>
      <c r="G4" s="39" t="n">
        <f aca="false">IF(E4="","",IF(F4="Standard 5%",E4*VAT_RATE,0))</f>
        <v>0</v>
      </c>
      <c r="H4" s="36" t="s">
        <v>98</v>
      </c>
      <c r="I4" s="39" t="n">
        <f aca="false">IF(E4="","",IF(AND(H4="Yes",F4="Standard 5%"),G4,0))</f>
        <v>0</v>
      </c>
      <c r="J4" s="39" t="n">
        <f aca="false">IF(E4="","",E4+G4)</f>
        <v>7500</v>
      </c>
      <c r="K4" s="36" t="s">
        <v>109</v>
      </c>
      <c r="L4" s="36" t="s">
        <v>72</v>
      </c>
      <c r="M4" s="40" t="n">
        <f aca="false">IF(A4="","",IF(A4&lt;FY_START,0,(YEAR(A4)-YEAR(FY_START))*12+MONTH(A4)-MONTH(FY_START)+1))</f>
        <v>1</v>
      </c>
      <c r="N4" s="40" t="n">
        <f aca="false">IF(A4="","",IF(AND(A4&gt;=VP_START,A4&lt;=VP_END),1,0))</f>
        <v>1</v>
      </c>
    </row>
    <row r="5" customFormat="false" ht="15" hidden="false" customHeight="false" outlineLevel="0" collapsed="false">
      <c r="A5" s="37" t="n">
        <v>46037</v>
      </c>
      <c r="B5" s="36" t="s">
        <v>167</v>
      </c>
      <c r="C5" s="36" t="s">
        <v>168</v>
      </c>
      <c r="D5" s="36" t="s">
        <v>64</v>
      </c>
      <c r="E5" s="38" t="n">
        <v>2400</v>
      </c>
      <c r="F5" s="36" t="s">
        <v>65</v>
      </c>
      <c r="G5" s="39" t="n">
        <f aca="false">IF(E5="","",IF(F5="Standard 5%",E5*VAT_RATE,0))</f>
        <v>120</v>
      </c>
      <c r="H5" s="36" t="s">
        <v>72</v>
      </c>
      <c r="I5" s="39" t="n">
        <f aca="false">IF(E5="","",IF(AND(H5="Yes",F5="Standard 5%"),G5,0))</f>
        <v>120</v>
      </c>
      <c r="J5" s="39" t="n">
        <f aca="false">IF(E5="","",E5+G5)</f>
        <v>2520</v>
      </c>
      <c r="K5" s="36" t="s">
        <v>113</v>
      </c>
      <c r="L5" s="36" t="s">
        <v>72</v>
      </c>
      <c r="M5" s="40" t="n">
        <f aca="false">IF(A5="","",IF(A5&lt;FY_START,0,(YEAR(A5)-YEAR(FY_START))*12+MONTH(A5)-MONTH(FY_START)+1))</f>
        <v>1</v>
      </c>
      <c r="N5" s="40" t="n">
        <f aca="false">IF(A5="","",IF(AND(A5&gt;=VP_START,A5&lt;=VP_END),1,0))</f>
        <v>1</v>
      </c>
    </row>
    <row r="6" customFormat="false" ht="15" hidden="false" customHeight="false" outlineLevel="0" collapsed="false">
      <c r="A6" s="37" t="n">
        <v>46061</v>
      </c>
      <c r="B6" s="36" t="s">
        <v>169</v>
      </c>
      <c r="C6" s="36" t="s">
        <v>170</v>
      </c>
      <c r="D6" s="36" t="s">
        <v>69</v>
      </c>
      <c r="E6" s="38" t="n">
        <v>1500</v>
      </c>
      <c r="F6" s="36" t="s">
        <v>65</v>
      </c>
      <c r="G6" s="39" t="n">
        <f aca="false">IF(E6="","",IF(F6="Standard 5%",E6*VAT_RATE,0))</f>
        <v>75</v>
      </c>
      <c r="H6" s="36" t="s">
        <v>72</v>
      </c>
      <c r="I6" s="39" t="n">
        <f aca="false">IF(E6="","",IF(AND(H6="Yes",F6="Standard 5%"),G6,0))</f>
        <v>75</v>
      </c>
      <c r="J6" s="39" t="n">
        <f aca="false">IF(E6="","",E6+G6)</f>
        <v>1575</v>
      </c>
      <c r="K6" s="36" t="s">
        <v>113</v>
      </c>
      <c r="L6" s="36" t="s">
        <v>72</v>
      </c>
      <c r="M6" s="40" t="n">
        <f aca="false">IF(A6="","",IF(A6&lt;FY_START,0,(YEAR(A6)-YEAR(FY_START))*12+MONTH(A6)-MONTH(FY_START)+1))</f>
        <v>2</v>
      </c>
      <c r="N6" s="40" t="n">
        <f aca="false">IF(A6="","",IF(AND(A6&gt;=VP_START,A6&lt;=VP_END),1,0))</f>
        <v>1</v>
      </c>
    </row>
    <row r="7" customFormat="false" ht="15" hidden="false" customHeight="false" outlineLevel="0" collapsed="false">
      <c r="A7" s="37"/>
      <c r="B7" s="36"/>
      <c r="C7" s="36"/>
      <c r="D7" s="36"/>
      <c r="E7" s="38"/>
      <c r="F7" s="36"/>
      <c r="G7" s="39" t="str">
        <f aca="false">IF(E7="","",IF(F7="Standard 5%",E7*VAT_RATE,0))</f>
        <v/>
      </c>
      <c r="H7" s="36"/>
      <c r="I7" s="39" t="str">
        <f aca="false">IF(E7="","",IF(AND(H7="Yes",F7="Standard 5%"),G7,0))</f>
        <v/>
      </c>
      <c r="J7" s="39" t="str">
        <f aca="false">IF(E7="","",E7+G7)</f>
        <v/>
      </c>
      <c r="K7" s="36"/>
      <c r="L7" s="36"/>
      <c r="M7" s="40" t="str">
        <f aca="false">IF(A7="","",IF(A7&lt;FY_START,0,(YEAR(A7)-YEAR(FY_START))*12+MONTH(A7)-MONTH(FY_START)+1))</f>
        <v/>
      </c>
      <c r="N7" s="40" t="str">
        <f aca="false">IF(A7="","",IF(AND(A7&gt;=VP_START,A7&lt;=VP_END),1,0))</f>
        <v/>
      </c>
    </row>
    <row r="8" customFormat="false" ht="15" hidden="false" customHeight="false" outlineLevel="0" collapsed="false">
      <c r="A8" s="37"/>
      <c r="B8" s="36"/>
      <c r="C8" s="36"/>
      <c r="D8" s="36"/>
      <c r="E8" s="38"/>
      <c r="F8" s="36"/>
      <c r="G8" s="39" t="str">
        <f aca="false">IF(E8="","",IF(F8="Standard 5%",E8*VAT_RATE,0))</f>
        <v/>
      </c>
      <c r="H8" s="36"/>
      <c r="I8" s="39" t="str">
        <f aca="false">IF(E8="","",IF(AND(H8="Yes",F8="Standard 5%"),G8,0))</f>
        <v/>
      </c>
      <c r="J8" s="39" t="str">
        <f aca="false">IF(E8="","",E8+G8)</f>
        <v/>
      </c>
      <c r="K8" s="36"/>
      <c r="L8" s="36"/>
      <c r="M8" s="40" t="str">
        <f aca="false">IF(A8="","",IF(A8&lt;FY_START,0,(YEAR(A8)-YEAR(FY_START))*12+MONTH(A8)-MONTH(FY_START)+1))</f>
        <v/>
      </c>
      <c r="N8" s="40" t="str">
        <f aca="false">IF(A8="","",IF(AND(A8&gt;=VP_START,A8&lt;=VP_END),1,0))</f>
        <v/>
      </c>
    </row>
    <row r="9" customFormat="false" ht="15" hidden="false" customHeight="false" outlineLevel="0" collapsed="false">
      <c r="A9" s="37"/>
      <c r="B9" s="36"/>
      <c r="C9" s="36"/>
      <c r="D9" s="36"/>
      <c r="E9" s="38"/>
      <c r="F9" s="36"/>
      <c r="G9" s="39" t="str">
        <f aca="false">IF(E9="","",IF(F9="Standard 5%",E9*VAT_RATE,0))</f>
        <v/>
      </c>
      <c r="H9" s="36"/>
      <c r="I9" s="39" t="str">
        <f aca="false">IF(E9="","",IF(AND(H9="Yes",F9="Standard 5%"),G9,0))</f>
        <v/>
      </c>
      <c r="J9" s="39" t="str">
        <f aca="false">IF(E9="","",E9+G9)</f>
        <v/>
      </c>
      <c r="K9" s="36"/>
      <c r="L9" s="36"/>
      <c r="M9" s="40" t="str">
        <f aca="false">IF(A9="","",IF(A9&lt;FY_START,0,(YEAR(A9)-YEAR(FY_START))*12+MONTH(A9)-MONTH(FY_START)+1))</f>
        <v/>
      </c>
      <c r="N9" s="40" t="str">
        <f aca="false">IF(A9="","",IF(AND(A9&gt;=VP_START,A9&lt;=VP_END),1,0))</f>
        <v/>
      </c>
    </row>
    <row r="10" customFormat="false" ht="15" hidden="false" customHeight="false" outlineLevel="0" collapsed="false">
      <c r="A10" s="37"/>
      <c r="B10" s="36"/>
      <c r="C10" s="36"/>
      <c r="D10" s="36"/>
      <c r="E10" s="38"/>
      <c r="F10" s="36"/>
      <c r="G10" s="39" t="str">
        <f aca="false">IF(E10="","",IF(F10="Standard 5%",E10*VAT_RATE,0))</f>
        <v/>
      </c>
      <c r="H10" s="36"/>
      <c r="I10" s="39" t="str">
        <f aca="false">IF(E10="","",IF(AND(H10="Yes",F10="Standard 5%"),G10,0))</f>
        <v/>
      </c>
      <c r="J10" s="39" t="str">
        <f aca="false">IF(E10="","",E10+G10)</f>
        <v/>
      </c>
      <c r="K10" s="36"/>
      <c r="L10" s="36"/>
      <c r="M10" s="40" t="str">
        <f aca="false">IF(A10="","",IF(A10&lt;FY_START,0,(YEAR(A10)-YEAR(FY_START))*12+MONTH(A10)-MONTH(FY_START)+1))</f>
        <v/>
      </c>
      <c r="N10" s="40" t="str">
        <f aca="false">IF(A10="","",IF(AND(A10&gt;=VP_START,A10&lt;=VP_END),1,0))</f>
        <v/>
      </c>
    </row>
    <row r="11" customFormat="false" ht="15" hidden="false" customHeight="false" outlineLevel="0" collapsed="false">
      <c r="A11" s="37"/>
      <c r="B11" s="36"/>
      <c r="C11" s="36"/>
      <c r="D11" s="36"/>
      <c r="E11" s="38"/>
      <c r="F11" s="36"/>
      <c r="G11" s="39" t="str">
        <f aca="false">IF(E11="","",IF(F11="Standard 5%",E11*VAT_RATE,0))</f>
        <v/>
      </c>
      <c r="H11" s="36"/>
      <c r="I11" s="39" t="str">
        <f aca="false">IF(E11="","",IF(AND(H11="Yes",F11="Standard 5%"),G11,0))</f>
        <v/>
      </c>
      <c r="J11" s="39" t="str">
        <f aca="false">IF(E11="","",E11+G11)</f>
        <v/>
      </c>
      <c r="K11" s="36"/>
      <c r="L11" s="36"/>
      <c r="M11" s="40" t="str">
        <f aca="false">IF(A11="","",IF(A11&lt;FY_START,0,(YEAR(A11)-YEAR(FY_START))*12+MONTH(A11)-MONTH(FY_START)+1))</f>
        <v/>
      </c>
      <c r="N11" s="40" t="str">
        <f aca="false">IF(A11="","",IF(AND(A11&gt;=VP_START,A11&lt;=VP_END),1,0))</f>
        <v/>
      </c>
    </row>
    <row r="12" customFormat="false" ht="15" hidden="false" customHeight="false" outlineLevel="0" collapsed="false">
      <c r="A12" s="37"/>
      <c r="B12" s="36"/>
      <c r="C12" s="36"/>
      <c r="D12" s="36"/>
      <c r="E12" s="38"/>
      <c r="F12" s="36"/>
      <c r="G12" s="39" t="str">
        <f aca="false">IF(E12="","",IF(F12="Standard 5%",E12*VAT_RATE,0))</f>
        <v/>
      </c>
      <c r="H12" s="36"/>
      <c r="I12" s="39" t="str">
        <f aca="false">IF(E12="","",IF(AND(H12="Yes",F12="Standard 5%"),G12,0))</f>
        <v/>
      </c>
      <c r="J12" s="39" t="str">
        <f aca="false">IF(E12="","",E12+G12)</f>
        <v/>
      </c>
      <c r="K12" s="36"/>
      <c r="L12" s="36"/>
      <c r="M12" s="40" t="str">
        <f aca="false">IF(A12="","",IF(A12&lt;FY_START,0,(YEAR(A12)-YEAR(FY_START))*12+MONTH(A12)-MONTH(FY_START)+1))</f>
        <v/>
      </c>
      <c r="N12" s="40" t="str">
        <f aca="false">IF(A12="","",IF(AND(A12&gt;=VP_START,A12&lt;=VP_END),1,0))</f>
        <v/>
      </c>
    </row>
    <row r="13" customFormat="false" ht="15" hidden="false" customHeight="false" outlineLevel="0" collapsed="false">
      <c r="A13" s="37"/>
      <c r="B13" s="36"/>
      <c r="C13" s="36"/>
      <c r="D13" s="36"/>
      <c r="E13" s="38"/>
      <c r="F13" s="36"/>
      <c r="G13" s="39" t="str">
        <f aca="false">IF(E13="","",IF(F13="Standard 5%",E13*VAT_RATE,0))</f>
        <v/>
      </c>
      <c r="H13" s="36"/>
      <c r="I13" s="39" t="str">
        <f aca="false">IF(E13="","",IF(AND(H13="Yes",F13="Standard 5%"),G13,0))</f>
        <v/>
      </c>
      <c r="J13" s="39" t="str">
        <f aca="false">IF(E13="","",E13+G13)</f>
        <v/>
      </c>
      <c r="K13" s="36"/>
      <c r="L13" s="36"/>
      <c r="M13" s="40" t="str">
        <f aca="false">IF(A13="","",IF(A13&lt;FY_START,0,(YEAR(A13)-YEAR(FY_START))*12+MONTH(A13)-MONTH(FY_START)+1))</f>
        <v/>
      </c>
      <c r="N13" s="40" t="str">
        <f aca="false">IF(A13="","",IF(AND(A13&gt;=VP_START,A13&lt;=VP_END),1,0))</f>
        <v/>
      </c>
    </row>
    <row r="14" customFormat="false" ht="15" hidden="false" customHeight="false" outlineLevel="0" collapsed="false">
      <c r="A14" s="37"/>
      <c r="B14" s="36"/>
      <c r="C14" s="36"/>
      <c r="D14" s="36"/>
      <c r="E14" s="38"/>
      <c r="F14" s="36"/>
      <c r="G14" s="39" t="str">
        <f aca="false">IF(E14="","",IF(F14="Standard 5%",E14*VAT_RATE,0))</f>
        <v/>
      </c>
      <c r="H14" s="36"/>
      <c r="I14" s="39" t="str">
        <f aca="false">IF(E14="","",IF(AND(H14="Yes",F14="Standard 5%"),G14,0))</f>
        <v/>
      </c>
      <c r="J14" s="39" t="str">
        <f aca="false">IF(E14="","",E14+G14)</f>
        <v/>
      </c>
      <c r="K14" s="36"/>
      <c r="L14" s="36"/>
      <c r="M14" s="40" t="str">
        <f aca="false">IF(A14="","",IF(A14&lt;FY_START,0,(YEAR(A14)-YEAR(FY_START))*12+MONTH(A14)-MONTH(FY_START)+1))</f>
        <v/>
      </c>
      <c r="N14" s="40" t="str">
        <f aca="false">IF(A14="","",IF(AND(A14&gt;=VP_START,A14&lt;=VP_END),1,0))</f>
        <v/>
      </c>
    </row>
    <row r="15" customFormat="false" ht="15" hidden="false" customHeight="false" outlineLevel="0" collapsed="false">
      <c r="A15" s="37"/>
      <c r="B15" s="36"/>
      <c r="C15" s="36"/>
      <c r="D15" s="36"/>
      <c r="E15" s="38"/>
      <c r="F15" s="36"/>
      <c r="G15" s="39" t="str">
        <f aca="false">IF(E15="","",IF(F15="Standard 5%",E15*VAT_RATE,0))</f>
        <v/>
      </c>
      <c r="H15" s="36"/>
      <c r="I15" s="39" t="str">
        <f aca="false">IF(E15="","",IF(AND(H15="Yes",F15="Standard 5%"),G15,0))</f>
        <v/>
      </c>
      <c r="J15" s="39" t="str">
        <f aca="false">IF(E15="","",E15+G15)</f>
        <v/>
      </c>
      <c r="K15" s="36"/>
      <c r="L15" s="36"/>
      <c r="M15" s="40" t="str">
        <f aca="false">IF(A15="","",IF(A15&lt;FY_START,0,(YEAR(A15)-YEAR(FY_START))*12+MONTH(A15)-MONTH(FY_START)+1))</f>
        <v/>
      </c>
      <c r="N15" s="40" t="str">
        <f aca="false">IF(A15="","",IF(AND(A15&gt;=VP_START,A15&lt;=VP_END),1,0))</f>
        <v/>
      </c>
    </row>
    <row r="16" customFormat="false" ht="15" hidden="false" customHeight="false" outlineLevel="0" collapsed="false">
      <c r="A16" s="37"/>
      <c r="B16" s="36"/>
      <c r="C16" s="36"/>
      <c r="D16" s="36"/>
      <c r="E16" s="38"/>
      <c r="F16" s="36"/>
      <c r="G16" s="39" t="str">
        <f aca="false">IF(E16="","",IF(F16="Standard 5%",E16*VAT_RATE,0))</f>
        <v/>
      </c>
      <c r="H16" s="36"/>
      <c r="I16" s="39" t="str">
        <f aca="false">IF(E16="","",IF(AND(H16="Yes",F16="Standard 5%"),G16,0))</f>
        <v/>
      </c>
      <c r="J16" s="39" t="str">
        <f aca="false">IF(E16="","",E16+G16)</f>
        <v/>
      </c>
      <c r="K16" s="36"/>
      <c r="L16" s="36"/>
      <c r="M16" s="40" t="str">
        <f aca="false">IF(A16="","",IF(A16&lt;FY_START,0,(YEAR(A16)-YEAR(FY_START))*12+MONTH(A16)-MONTH(FY_START)+1))</f>
        <v/>
      </c>
      <c r="N16" s="40" t="str">
        <f aca="false">IF(A16="","",IF(AND(A16&gt;=VP_START,A16&lt;=VP_END),1,0))</f>
        <v/>
      </c>
    </row>
    <row r="17" customFormat="false" ht="15" hidden="false" customHeight="false" outlineLevel="0" collapsed="false">
      <c r="A17" s="37"/>
      <c r="B17" s="36"/>
      <c r="C17" s="36"/>
      <c r="D17" s="36"/>
      <c r="E17" s="38"/>
      <c r="F17" s="36"/>
      <c r="G17" s="39" t="str">
        <f aca="false">IF(E17="","",IF(F17="Standard 5%",E17*VAT_RATE,0))</f>
        <v/>
      </c>
      <c r="H17" s="36"/>
      <c r="I17" s="39" t="str">
        <f aca="false">IF(E17="","",IF(AND(H17="Yes",F17="Standard 5%"),G17,0))</f>
        <v/>
      </c>
      <c r="J17" s="39" t="str">
        <f aca="false">IF(E17="","",E17+G17)</f>
        <v/>
      </c>
      <c r="K17" s="36"/>
      <c r="L17" s="36"/>
      <c r="M17" s="40" t="str">
        <f aca="false">IF(A17="","",IF(A17&lt;FY_START,0,(YEAR(A17)-YEAR(FY_START))*12+MONTH(A17)-MONTH(FY_START)+1))</f>
        <v/>
      </c>
      <c r="N17" s="40" t="str">
        <f aca="false">IF(A17="","",IF(AND(A17&gt;=VP_START,A17&lt;=VP_END),1,0))</f>
        <v/>
      </c>
    </row>
    <row r="18" customFormat="false" ht="15" hidden="false" customHeight="false" outlineLevel="0" collapsed="false">
      <c r="A18" s="37"/>
      <c r="B18" s="36"/>
      <c r="C18" s="36"/>
      <c r="D18" s="36"/>
      <c r="E18" s="38"/>
      <c r="F18" s="36"/>
      <c r="G18" s="39" t="str">
        <f aca="false">IF(E18="","",IF(F18="Standard 5%",E18*VAT_RATE,0))</f>
        <v/>
      </c>
      <c r="H18" s="36"/>
      <c r="I18" s="39" t="str">
        <f aca="false">IF(E18="","",IF(AND(H18="Yes",F18="Standard 5%"),G18,0))</f>
        <v/>
      </c>
      <c r="J18" s="39" t="str">
        <f aca="false">IF(E18="","",E18+G18)</f>
        <v/>
      </c>
      <c r="K18" s="36"/>
      <c r="L18" s="36"/>
      <c r="M18" s="40" t="str">
        <f aca="false">IF(A18="","",IF(A18&lt;FY_START,0,(YEAR(A18)-YEAR(FY_START))*12+MONTH(A18)-MONTH(FY_START)+1))</f>
        <v/>
      </c>
      <c r="N18" s="40" t="str">
        <f aca="false">IF(A18="","",IF(AND(A18&gt;=VP_START,A18&lt;=VP_END),1,0))</f>
        <v/>
      </c>
    </row>
    <row r="19" customFormat="false" ht="15" hidden="false" customHeight="false" outlineLevel="0" collapsed="false">
      <c r="A19" s="37"/>
      <c r="B19" s="36"/>
      <c r="C19" s="36"/>
      <c r="D19" s="36"/>
      <c r="E19" s="38"/>
      <c r="F19" s="36"/>
      <c r="G19" s="39" t="str">
        <f aca="false">IF(E19="","",IF(F19="Standard 5%",E19*VAT_RATE,0))</f>
        <v/>
      </c>
      <c r="H19" s="36"/>
      <c r="I19" s="39" t="str">
        <f aca="false">IF(E19="","",IF(AND(H19="Yes",F19="Standard 5%"),G19,0))</f>
        <v/>
      </c>
      <c r="J19" s="39" t="str">
        <f aca="false">IF(E19="","",E19+G19)</f>
        <v/>
      </c>
      <c r="K19" s="36"/>
      <c r="L19" s="36"/>
      <c r="M19" s="40" t="str">
        <f aca="false">IF(A19="","",IF(A19&lt;FY_START,0,(YEAR(A19)-YEAR(FY_START))*12+MONTH(A19)-MONTH(FY_START)+1))</f>
        <v/>
      </c>
      <c r="N19" s="40" t="str">
        <f aca="false">IF(A19="","",IF(AND(A19&gt;=VP_START,A19&lt;=VP_END),1,0))</f>
        <v/>
      </c>
    </row>
    <row r="20" customFormat="false" ht="15" hidden="false" customHeight="false" outlineLevel="0" collapsed="false">
      <c r="A20" s="37"/>
      <c r="B20" s="36"/>
      <c r="C20" s="36"/>
      <c r="D20" s="36"/>
      <c r="E20" s="38"/>
      <c r="F20" s="36"/>
      <c r="G20" s="39" t="str">
        <f aca="false">IF(E20="","",IF(F20="Standard 5%",E20*VAT_RATE,0))</f>
        <v/>
      </c>
      <c r="H20" s="36"/>
      <c r="I20" s="39" t="str">
        <f aca="false">IF(E20="","",IF(AND(H20="Yes",F20="Standard 5%"),G20,0))</f>
        <v/>
      </c>
      <c r="J20" s="39" t="str">
        <f aca="false">IF(E20="","",E20+G20)</f>
        <v/>
      </c>
      <c r="K20" s="36"/>
      <c r="L20" s="36"/>
      <c r="M20" s="40" t="str">
        <f aca="false">IF(A20="","",IF(A20&lt;FY_START,0,(YEAR(A20)-YEAR(FY_START))*12+MONTH(A20)-MONTH(FY_START)+1))</f>
        <v/>
      </c>
      <c r="N20" s="40" t="str">
        <f aca="false">IF(A20="","",IF(AND(A20&gt;=VP_START,A20&lt;=VP_END),1,0))</f>
        <v/>
      </c>
    </row>
    <row r="21" customFormat="false" ht="15" hidden="false" customHeight="false" outlineLevel="0" collapsed="false">
      <c r="A21" s="37"/>
      <c r="B21" s="36"/>
      <c r="C21" s="36"/>
      <c r="D21" s="36"/>
      <c r="E21" s="38"/>
      <c r="F21" s="36"/>
      <c r="G21" s="39" t="str">
        <f aca="false">IF(E21="","",IF(F21="Standard 5%",E21*VAT_RATE,0))</f>
        <v/>
      </c>
      <c r="H21" s="36"/>
      <c r="I21" s="39" t="str">
        <f aca="false">IF(E21="","",IF(AND(H21="Yes",F21="Standard 5%"),G21,0))</f>
        <v/>
      </c>
      <c r="J21" s="39" t="str">
        <f aca="false">IF(E21="","",E21+G21)</f>
        <v/>
      </c>
      <c r="K21" s="36"/>
      <c r="L21" s="36"/>
      <c r="M21" s="40" t="str">
        <f aca="false">IF(A21="","",IF(A21&lt;FY_START,0,(YEAR(A21)-YEAR(FY_START))*12+MONTH(A21)-MONTH(FY_START)+1))</f>
        <v/>
      </c>
      <c r="N21" s="40" t="str">
        <f aca="false">IF(A21="","",IF(AND(A21&gt;=VP_START,A21&lt;=VP_END),1,0))</f>
        <v/>
      </c>
    </row>
    <row r="22" customFormat="false" ht="15" hidden="false" customHeight="false" outlineLevel="0" collapsed="false">
      <c r="A22" s="37"/>
      <c r="B22" s="36"/>
      <c r="C22" s="36"/>
      <c r="D22" s="36"/>
      <c r="E22" s="38"/>
      <c r="F22" s="36"/>
      <c r="G22" s="39" t="str">
        <f aca="false">IF(E22="","",IF(F22="Standard 5%",E22*VAT_RATE,0))</f>
        <v/>
      </c>
      <c r="H22" s="36"/>
      <c r="I22" s="39" t="str">
        <f aca="false">IF(E22="","",IF(AND(H22="Yes",F22="Standard 5%"),G22,0))</f>
        <v/>
      </c>
      <c r="J22" s="39" t="str">
        <f aca="false">IF(E22="","",E22+G22)</f>
        <v/>
      </c>
      <c r="K22" s="36"/>
      <c r="L22" s="36"/>
      <c r="M22" s="40" t="str">
        <f aca="false">IF(A22="","",IF(A22&lt;FY_START,0,(YEAR(A22)-YEAR(FY_START))*12+MONTH(A22)-MONTH(FY_START)+1))</f>
        <v/>
      </c>
      <c r="N22" s="40" t="str">
        <f aca="false">IF(A22="","",IF(AND(A22&gt;=VP_START,A22&lt;=VP_END),1,0))</f>
        <v/>
      </c>
    </row>
    <row r="23" customFormat="false" ht="15" hidden="false" customHeight="false" outlineLevel="0" collapsed="false">
      <c r="A23" s="37"/>
      <c r="B23" s="36"/>
      <c r="C23" s="36"/>
      <c r="D23" s="36"/>
      <c r="E23" s="38"/>
      <c r="F23" s="36"/>
      <c r="G23" s="39" t="str">
        <f aca="false">IF(E23="","",IF(F23="Standard 5%",E23*VAT_RATE,0))</f>
        <v/>
      </c>
      <c r="H23" s="36"/>
      <c r="I23" s="39" t="str">
        <f aca="false">IF(E23="","",IF(AND(H23="Yes",F23="Standard 5%"),G23,0))</f>
        <v/>
      </c>
      <c r="J23" s="39" t="str">
        <f aca="false">IF(E23="","",E23+G23)</f>
        <v/>
      </c>
      <c r="K23" s="36"/>
      <c r="L23" s="36"/>
      <c r="M23" s="40" t="str">
        <f aca="false">IF(A23="","",IF(A23&lt;FY_START,0,(YEAR(A23)-YEAR(FY_START))*12+MONTH(A23)-MONTH(FY_START)+1))</f>
        <v/>
      </c>
      <c r="N23" s="40" t="str">
        <f aca="false">IF(A23="","",IF(AND(A23&gt;=VP_START,A23&lt;=VP_END),1,0))</f>
        <v/>
      </c>
    </row>
    <row r="24" customFormat="false" ht="15" hidden="false" customHeight="false" outlineLevel="0" collapsed="false">
      <c r="A24" s="37"/>
      <c r="B24" s="36"/>
      <c r="C24" s="36"/>
      <c r="D24" s="36"/>
      <c r="E24" s="38"/>
      <c r="F24" s="36"/>
      <c r="G24" s="39" t="str">
        <f aca="false">IF(E24="","",IF(F24="Standard 5%",E24*VAT_RATE,0))</f>
        <v/>
      </c>
      <c r="H24" s="36"/>
      <c r="I24" s="39" t="str">
        <f aca="false">IF(E24="","",IF(AND(H24="Yes",F24="Standard 5%"),G24,0))</f>
        <v/>
      </c>
      <c r="J24" s="39" t="str">
        <f aca="false">IF(E24="","",E24+G24)</f>
        <v/>
      </c>
      <c r="K24" s="36"/>
      <c r="L24" s="36"/>
      <c r="M24" s="40" t="str">
        <f aca="false">IF(A24="","",IF(A24&lt;FY_START,0,(YEAR(A24)-YEAR(FY_START))*12+MONTH(A24)-MONTH(FY_START)+1))</f>
        <v/>
      </c>
      <c r="N24" s="40" t="str">
        <f aca="false">IF(A24="","",IF(AND(A24&gt;=VP_START,A24&lt;=VP_END),1,0))</f>
        <v/>
      </c>
    </row>
    <row r="25" customFormat="false" ht="15" hidden="false" customHeight="false" outlineLevel="0" collapsed="false">
      <c r="A25" s="37"/>
      <c r="B25" s="36"/>
      <c r="C25" s="36"/>
      <c r="D25" s="36"/>
      <c r="E25" s="38"/>
      <c r="F25" s="36"/>
      <c r="G25" s="39" t="str">
        <f aca="false">IF(E25="","",IF(F25="Standard 5%",E25*VAT_RATE,0))</f>
        <v/>
      </c>
      <c r="H25" s="36"/>
      <c r="I25" s="39" t="str">
        <f aca="false">IF(E25="","",IF(AND(H25="Yes",F25="Standard 5%"),G25,0))</f>
        <v/>
      </c>
      <c r="J25" s="39" t="str">
        <f aca="false">IF(E25="","",E25+G25)</f>
        <v/>
      </c>
      <c r="K25" s="36"/>
      <c r="L25" s="36"/>
      <c r="M25" s="40" t="str">
        <f aca="false">IF(A25="","",IF(A25&lt;FY_START,0,(YEAR(A25)-YEAR(FY_START))*12+MONTH(A25)-MONTH(FY_START)+1))</f>
        <v/>
      </c>
      <c r="N25" s="40" t="str">
        <f aca="false">IF(A25="","",IF(AND(A25&gt;=VP_START,A25&lt;=VP_END),1,0))</f>
        <v/>
      </c>
    </row>
    <row r="26" customFormat="false" ht="15" hidden="false" customHeight="false" outlineLevel="0" collapsed="false">
      <c r="A26" s="37"/>
      <c r="B26" s="36"/>
      <c r="C26" s="36"/>
      <c r="D26" s="36"/>
      <c r="E26" s="38"/>
      <c r="F26" s="36"/>
      <c r="G26" s="39" t="str">
        <f aca="false">IF(E26="","",IF(F26="Standard 5%",E26*VAT_RATE,0))</f>
        <v/>
      </c>
      <c r="H26" s="36"/>
      <c r="I26" s="39" t="str">
        <f aca="false">IF(E26="","",IF(AND(H26="Yes",F26="Standard 5%"),G26,0))</f>
        <v/>
      </c>
      <c r="J26" s="39" t="str">
        <f aca="false">IF(E26="","",E26+G26)</f>
        <v/>
      </c>
      <c r="K26" s="36"/>
      <c r="L26" s="36"/>
      <c r="M26" s="40" t="str">
        <f aca="false">IF(A26="","",IF(A26&lt;FY_START,0,(YEAR(A26)-YEAR(FY_START))*12+MONTH(A26)-MONTH(FY_START)+1))</f>
        <v/>
      </c>
      <c r="N26" s="40" t="str">
        <f aca="false">IF(A26="","",IF(AND(A26&gt;=VP_START,A26&lt;=VP_END),1,0))</f>
        <v/>
      </c>
    </row>
    <row r="27" customFormat="false" ht="15" hidden="false" customHeight="false" outlineLevel="0" collapsed="false">
      <c r="A27" s="37"/>
      <c r="B27" s="36"/>
      <c r="C27" s="36"/>
      <c r="D27" s="36"/>
      <c r="E27" s="38"/>
      <c r="F27" s="36"/>
      <c r="G27" s="39" t="str">
        <f aca="false">IF(E27="","",IF(F27="Standard 5%",E27*VAT_RATE,0))</f>
        <v/>
      </c>
      <c r="H27" s="36"/>
      <c r="I27" s="39" t="str">
        <f aca="false">IF(E27="","",IF(AND(H27="Yes",F27="Standard 5%"),G27,0))</f>
        <v/>
      </c>
      <c r="J27" s="39" t="str">
        <f aca="false">IF(E27="","",E27+G27)</f>
        <v/>
      </c>
      <c r="K27" s="36"/>
      <c r="L27" s="36"/>
      <c r="M27" s="40" t="str">
        <f aca="false">IF(A27="","",IF(A27&lt;FY_START,0,(YEAR(A27)-YEAR(FY_START))*12+MONTH(A27)-MONTH(FY_START)+1))</f>
        <v/>
      </c>
      <c r="N27" s="40" t="str">
        <f aca="false">IF(A27="","",IF(AND(A27&gt;=VP_START,A27&lt;=VP_END),1,0))</f>
        <v/>
      </c>
    </row>
    <row r="28" customFormat="false" ht="15" hidden="false" customHeight="false" outlineLevel="0" collapsed="false">
      <c r="A28" s="37"/>
      <c r="B28" s="36"/>
      <c r="C28" s="36"/>
      <c r="D28" s="36"/>
      <c r="E28" s="38"/>
      <c r="F28" s="36"/>
      <c r="G28" s="39" t="str">
        <f aca="false">IF(E28="","",IF(F28="Standard 5%",E28*VAT_RATE,0))</f>
        <v/>
      </c>
      <c r="H28" s="36"/>
      <c r="I28" s="39" t="str">
        <f aca="false">IF(E28="","",IF(AND(H28="Yes",F28="Standard 5%"),G28,0))</f>
        <v/>
      </c>
      <c r="J28" s="39" t="str">
        <f aca="false">IF(E28="","",E28+G28)</f>
        <v/>
      </c>
      <c r="K28" s="36"/>
      <c r="L28" s="36"/>
      <c r="M28" s="40" t="str">
        <f aca="false">IF(A28="","",IF(A28&lt;FY_START,0,(YEAR(A28)-YEAR(FY_START))*12+MONTH(A28)-MONTH(FY_START)+1))</f>
        <v/>
      </c>
      <c r="N28" s="40" t="str">
        <f aca="false">IF(A28="","",IF(AND(A28&gt;=VP_START,A28&lt;=VP_END),1,0))</f>
        <v/>
      </c>
    </row>
    <row r="29" customFormat="false" ht="15" hidden="false" customHeight="false" outlineLevel="0" collapsed="false">
      <c r="A29" s="37"/>
      <c r="B29" s="36"/>
      <c r="C29" s="36"/>
      <c r="D29" s="36"/>
      <c r="E29" s="38"/>
      <c r="F29" s="36"/>
      <c r="G29" s="39" t="str">
        <f aca="false">IF(E29="","",IF(F29="Standard 5%",E29*VAT_RATE,0))</f>
        <v/>
      </c>
      <c r="H29" s="36"/>
      <c r="I29" s="39" t="str">
        <f aca="false">IF(E29="","",IF(AND(H29="Yes",F29="Standard 5%"),G29,0))</f>
        <v/>
      </c>
      <c r="J29" s="39" t="str">
        <f aca="false">IF(E29="","",E29+G29)</f>
        <v/>
      </c>
      <c r="K29" s="36"/>
      <c r="L29" s="36"/>
      <c r="M29" s="40" t="str">
        <f aca="false">IF(A29="","",IF(A29&lt;FY_START,0,(YEAR(A29)-YEAR(FY_START))*12+MONTH(A29)-MONTH(FY_START)+1))</f>
        <v/>
      </c>
      <c r="N29" s="40" t="str">
        <f aca="false">IF(A29="","",IF(AND(A29&gt;=VP_START,A29&lt;=VP_END),1,0))</f>
        <v/>
      </c>
    </row>
    <row r="30" customFormat="false" ht="15" hidden="false" customHeight="false" outlineLevel="0" collapsed="false">
      <c r="A30" s="37"/>
      <c r="B30" s="36"/>
      <c r="C30" s="36"/>
      <c r="D30" s="36"/>
      <c r="E30" s="38"/>
      <c r="F30" s="36"/>
      <c r="G30" s="39" t="str">
        <f aca="false">IF(E30="","",IF(F30="Standard 5%",E30*VAT_RATE,0))</f>
        <v/>
      </c>
      <c r="H30" s="36"/>
      <c r="I30" s="39" t="str">
        <f aca="false">IF(E30="","",IF(AND(H30="Yes",F30="Standard 5%"),G30,0))</f>
        <v/>
      </c>
      <c r="J30" s="39" t="str">
        <f aca="false">IF(E30="","",E30+G30)</f>
        <v/>
      </c>
      <c r="K30" s="36"/>
      <c r="L30" s="36"/>
      <c r="M30" s="40" t="str">
        <f aca="false">IF(A30="","",IF(A30&lt;FY_START,0,(YEAR(A30)-YEAR(FY_START))*12+MONTH(A30)-MONTH(FY_START)+1))</f>
        <v/>
      </c>
      <c r="N30" s="40" t="str">
        <f aca="false">IF(A30="","",IF(AND(A30&gt;=VP_START,A30&lt;=VP_END),1,0))</f>
        <v/>
      </c>
    </row>
    <row r="31" customFormat="false" ht="15" hidden="false" customHeight="false" outlineLevel="0" collapsed="false">
      <c r="A31" s="37"/>
      <c r="B31" s="36"/>
      <c r="C31" s="36"/>
      <c r="D31" s="36"/>
      <c r="E31" s="38"/>
      <c r="F31" s="36"/>
      <c r="G31" s="39" t="str">
        <f aca="false">IF(E31="","",IF(F31="Standard 5%",E31*VAT_RATE,0))</f>
        <v/>
      </c>
      <c r="H31" s="36"/>
      <c r="I31" s="39" t="str">
        <f aca="false">IF(E31="","",IF(AND(H31="Yes",F31="Standard 5%"),G31,0))</f>
        <v/>
      </c>
      <c r="J31" s="39" t="str">
        <f aca="false">IF(E31="","",E31+G31)</f>
        <v/>
      </c>
      <c r="K31" s="36"/>
      <c r="L31" s="36"/>
      <c r="M31" s="40" t="str">
        <f aca="false">IF(A31="","",IF(A31&lt;FY_START,0,(YEAR(A31)-YEAR(FY_START))*12+MONTH(A31)-MONTH(FY_START)+1))</f>
        <v/>
      </c>
      <c r="N31" s="40" t="str">
        <f aca="false">IF(A31="","",IF(AND(A31&gt;=VP_START,A31&lt;=VP_END),1,0))</f>
        <v/>
      </c>
    </row>
    <row r="32" customFormat="false" ht="15" hidden="false" customHeight="false" outlineLevel="0" collapsed="false">
      <c r="A32" s="37"/>
      <c r="B32" s="36"/>
      <c r="C32" s="36"/>
      <c r="D32" s="36"/>
      <c r="E32" s="38"/>
      <c r="F32" s="36"/>
      <c r="G32" s="39" t="str">
        <f aca="false">IF(E32="","",IF(F32="Standard 5%",E32*VAT_RATE,0))</f>
        <v/>
      </c>
      <c r="H32" s="36"/>
      <c r="I32" s="39" t="str">
        <f aca="false">IF(E32="","",IF(AND(H32="Yes",F32="Standard 5%"),G32,0))</f>
        <v/>
      </c>
      <c r="J32" s="39" t="str">
        <f aca="false">IF(E32="","",E32+G32)</f>
        <v/>
      </c>
      <c r="K32" s="36"/>
      <c r="L32" s="36"/>
      <c r="M32" s="40" t="str">
        <f aca="false">IF(A32="","",IF(A32&lt;FY_START,0,(YEAR(A32)-YEAR(FY_START))*12+MONTH(A32)-MONTH(FY_START)+1))</f>
        <v/>
      </c>
      <c r="N32" s="40" t="str">
        <f aca="false">IF(A32="","",IF(AND(A32&gt;=VP_START,A32&lt;=VP_END),1,0))</f>
        <v/>
      </c>
    </row>
    <row r="33" customFormat="false" ht="15" hidden="false" customHeight="false" outlineLevel="0" collapsed="false">
      <c r="A33" s="37"/>
      <c r="B33" s="36"/>
      <c r="C33" s="36"/>
      <c r="D33" s="36"/>
      <c r="E33" s="38"/>
      <c r="F33" s="36"/>
      <c r="G33" s="39" t="str">
        <f aca="false">IF(E33="","",IF(F33="Standard 5%",E33*VAT_RATE,0))</f>
        <v/>
      </c>
      <c r="H33" s="36"/>
      <c r="I33" s="39" t="str">
        <f aca="false">IF(E33="","",IF(AND(H33="Yes",F33="Standard 5%"),G33,0))</f>
        <v/>
      </c>
      <c r="J33" s="39" t="str">
        <f aca="false">IF(E33="","",E33+G33)</f>
        <v/>
      </c>
      <c r="K33" s="36"/>
      <c r="L33" s="36"/>
      <c r="M33" s="40" t="str">
        <f aca="false">IF(A33="","",IF(A33&lt;FY_START,0,(YEAR(A33)-YEAR(FY_START))*12+MONTH(A33)-MONTH(FY_START)+1))</f>
        <v/>
      </c>
      <c r="N33" s="40" t="str">
        <f aca="false">IF(A33="","",IF(AND(A33&gt;=VP_START,A33&lt;=VP_END),1,0))</f>
        <v/>
      </c>
    </row>
    <row r="34" customFormat="false" ht="15" hidden="false" customHeight="false" outlineLevel="0" collapsed="false">
      <c r="A34" s="37"/>
      <c r="B34" s="36"/>
      <c r="C34" s="36"/>
      <c r="D34" s="36"/>
      <c r="E34" s="38"/>
      <c r="F34" s="36"/>
      <c r="G34" s="39" t="str">
        <f aca="false">IF(E34="","",IF(F34="Standard 5%",E34*VAT_RATE,0))</f>
        <v/>
      </c>
      <c r="H34" s="36"/>
      <c r="I34" s="39" t="str">
        <f aca="false">IF(E34="","",IF(AND(H34="Yes",F34="Standard 5%"),G34,0))</f>
        <v/>
      </c>
      <c r="J34" s="39" t="str">
        <f aca="false">IF(E34="","",E34+G34)</f>
        <v/>
      </c>
      <c r="K34" s="36"/>
      <c r="L34" s="36"/>
      <c r="M34" s="40" t="str">
        <f aca="false">IF(A34="","",IF(A34&lt;FY_START,0,(YEAR(A34)-YEAR(FY_START))*12+MONTH(A34)-MONTH(FY_START)+1))</f>
        <v/>
      </c>
      <c r="N34" s="40" t="str">
        <f aca="false">IF(A34="","",IF(AND(A34&gt;=VP_START,A34&lt;=VP_END),1,0))</f>
        <v/>
      </c>
    </row>
    <row r="35" customFormat="false" ht="15" hidden="false" customHeight="false" outlineLevel="0" collapsed="false">
      <c r="A35" s="37"/>
      <c r="B35" s="36"/>
      <c r="C35" s="36"/>
      <c r="D35" s="36"/>
      <c r="E35" s="38"/>
      <c r="F35" s="36"/>
      <c r="G35" s="39" t="str">
        <f aca="false">IF(E35="","",IF(F35="Standard 5%",E35*VAT_RATE,0))</f>
        <v/>
      </c>
      <c r="H35" s="36"/>
      <c r="I35" s="39" t="str">
        <f aca="false">IF(E35="","",IF(AND(H35="Yes",F35="Standard 5%"),G35,0))</f>
        <v/>
      </c>
      <c r="J35" s="39" t="str">
        <f aca="false">IF(E35="","",E35+G35)</f>
        <v/>
      </c>
      <c r="K35" s="36"/>
      <c r="L35" s="36"/>
      <c r="M35" s="40" t="str">
        <f aca="false">IF(A35="","",IF(A35&lt;FY_START,0,(YEAR(A35)-YEAR(FY_START))*12+MONTH(A35)-MONTH(FY_START)+1))</f>
        <v/>
      </c>
      <c r="N35" s="40" t="str">
        <f aca="false">IF(A35="","",IF(AND(A35&gt;=VP_START,A35&lt;=VP_END),1,0))</f>
        <v/>
      </c>
    </row>
    <row r="36" customFormat="false" ht="15" hidden="false" customHeight="false" outlineLevel="0" collapsed="false">
      <c r="A36" s="37"/>
      <c r="B36" s="36"/>
      <c r="C36" s="36"/>
      <c r="D36" s="36"/>
      <c r="E36" s="38"/>
      <c r="F36" s="36"/>
      <c r="G36" s="39" t="str">
        <f aca="false">IF(E36="","",IF(F36="Standard 5%",E36*VAT_RATE,0))</f>
        <v/>
      </c>
      <c r="H36" s="36"/>
      <c r="I36" s="39" t="str">
        <f aca="false">IF(E36="","",IF(AND(H36="Yes",F36="Standard 5%"),G36,0))</f>
        <v/>
      </c>
      <c r="J36" s="39" t="str">
        <f aca="false">IF(E36="","",E36+G36)</f>
        <v/>
      </c>
      <c r="K36" s="36"/>
      <c r="L36" s="36"/>
      <c r="M36" s="40" t="str">
        <f aca="false">IF(A36="","",IF(A36&lt;FY_START,0,(YEAR(A36)-YEAR(FY_START))*12+MONTH(A36)-MONTH(FY_START)+1))</f>
        <v/>
      </c>
      <c r="N36" s="40" t="str">
        <f aca="false">IF(A36="","",IF(AND(A36&gt;=VP_START,A36&lt;=VP_END),1,0))</f>
        <v/>
      </c>
    </row>
    <row r="37" customFormat="false" ht="15" hidden="false" customHeight="false" outlineLevel="0" collapsed="false">
      <c r="A37" s="37"/>
      <c r="B37" s="36"/>
      <c r="C37" s="36"/>
      <c r="D37" s="36"/>
      <c r="E37" s="38"/>
      <c r="F37" s="36"/>
      <c r="G37" s="39" t="str">
        <f aca="false">IF(E37="","",IF(F37="Standard 5%",E37*VAT_RATE,0))</f>
        <v/>
      </c>
      <c r="H37" s="36"/>
      <c r="I37" s="39" t="str">
        <f aca="false">IF(E37="","",IF(AND(H37="Yes",F37="Standard 5%"),G37,0))</f>
        <v/>
      </c>
      <c r="J37" s="39" t="str">
        <f aca="false">IF(E37="","",E37+G37)</f>
        <v/>
      </c>
      <c r="K37" s="36"/>
      <c r="L37" s="36"/>
      <c r="M37" s="40" t="str">
        <f aca="false">IF(A37="","",IF(A37&lt;FY_START,0,(YEAR(A37)-YEAR(FY_START))*12+MONTH(A37)-MONTH(FY_START)+1))</f>
        <v/>
      </c>
      <c r="N37" s="40" t="str">
        <f aca="false">IF(A37="","",IF(AND(A37&gt;=VP_START,A37&lt;=VP_END),1,0))</f>
        <v/>
      </c>
    </row>
    <row r="38" customFormat="false" ht="15" hidden="false" customHeight="false" outlineLevel="0" collapsed="false">
      <c r="A38" s="37"/>
      <c r="B38" s="36"/>
      <c r="C38" s="36"/>
      <c r="D38" s="36"/>
      <c r="E38" s="38"/>
      <c r="F38" s="36"/>
      <c r="G38" s="39" t="str">
        <f aca="false">IF(E38="","",IF(F38="Standard 5%",E38*VAT_RATE,0))</f>
        <v/>
      </c>
      <c r="H38" s="36"/>
      <c r="I38" s="39" t="str">
        <f aca="false">IF(E38="","",IF(AND(H38="Yes",F38="Standard 5%"),G38,0))</f>
        <v/>
      </c>
      <c r="J38" s="39" t="str">
        <f aca="false">IF(E38="","",E38+G38)</f>
        <v/>
      </c>
      <c r="K38" s="36"/>
      <c r="L38" s="36"/>
      <c r="M38" s="40" t="str">
        <f aca="false">IF(A38="","",IF(A38&lt;FY_START,0,(YEAR(A38)-YEAR(FY_START))*12+MONTH(A38)-MONTH(FY_START)+1))</f>
        <v/>
      </c>
      <c r="N38" s="40" t="str">
        <f aca="false">IF(A38="","",IF(AND(A38&gt;=VP_START,A38&lt;=VP_END),1,0))</f>
        <v/>
      </c>
    </row>
    <row r="39" customFormat="false" ht="15" hidden="false" customHeight="false" outlineLevel="0" collapsed="false">
      <c r="A39" s="37"/>
      <c r="B39" s="36"/>
      <c r="C39" s="36"/>
      <c r="D39" s="36"/>
      <c r="E39" s="38"/>
      <c r="F39" s="36"/>
      <c r="G39" s="39" t="str">
        <f aca="false">IF(E39="","",IF(F39="Standard 5%",E39*VAT_RATE,0))</f>
        <v/>
      </c>
      <c r="H39" s="36"/>
      <c r="I39" s="39" t="str">
        <f aca="false">IF(E39="","",IF(AND(H39="Yes",F39="Standard 5%"),G39,0))</f>
        <v/>
      </c>
      <c r="J39" s="39" t="str">
        <f aca="false">IF(E39="","",E39+G39)</f>
        <v/>
      </c>
      <c r="K39" s="36"/>
      <c r="L39" s="36"/>
      <c r="M39" s="40" t="str">
        <f aca="false">IF(A39="","",IF(A39&lt;FY_START,0,(YEAR(A39)-YEAR(FY_START))*12+MONTH(A39)-MONTH(FY_START)+1))</f>
        <v/>
      </c>
      <c r="N39" s="40" t="str">
        <f aca="false">IF(A39="","",IF(AND(A39&gt;=VP_START,A39&lt;=VP_END),1,0))</f>
        <v/>
      </c>
    </row>
    <row r="40" customFormat="false" ht="15" hidden="false" customHeight="false" outlineLevel="0" collapsed="false">
      <c r="A40" s="37"/>
      <c r="B40" s="36"/>
      <c r="C40" s="36"/>
      <c r="D40" s="36"/>
      <c r="E40" s="38"/>
      <c r="F40" s="36"/>
      <c r="G40" s="39" t="str">
        <f aca="false">IF(E40="","",IF(F40="Standard 5%",E40*VAT_RATE,0))</f>
        <v/>
      </c>
      <c r="H40" s="36"/>
      <c r="I40" s="39" t="str">
        <f aca="false">IF(E40="","",IF(AND(H40="Yes",F40="Standard 5%"),G40,0))</f>
        <v/>
      </c>
      <c r="J40" s="39" t="str">
        <f aca="false">IF(E40="","",E40+G40)</f>
        <v/>
      </c>
      <c r="K40" s="36"/>
      <c r="L40" s="36"/>
      <c r="M40" s="40" t="str">
        <f aca="false">IF(A40="","",IF(A40&lt;FY_START,0,(YEAR(A40)-YEAR(FY_START))*12+MONTH(A40)-MONTH(FY_START)+1))</f>
        <v/>
      </c>
      <c r="N40" s="40" t="str">
        <f aca="false">IF(A40="","",IF(AND(A40&gt;=VP_START,A40&lt;=VP_END),1,0))</f>
        <v/>
      </c>
    </row>
    <row r="41" customFormat="false" ht="15" hidden="false" customHeight="false" outlineLevel="0" collapsed="false">
      <c r="A41" s="37"/>
      <c r="B41" s="36"/>
      <c r="C41" s="36"/>
      <c r="D41" s="36"/>
      <c r="E41" s="38"/>
      <c r="F41" s="36"/>
      <c r="G41" s="39" t="str">
        <f aca="false">IF(E41="","",IF(F41="Standard 5%",E41*VAT_RATE,0))</f>
        <v/>
      </c>
      <c r="H41" s="36"/>
      <c r="I41" s="39" t="str">
        <f aca="false">IF(E41="","",IF(AND(H41="Yes",F41="Standard 5%"),G41,0))</f>
        <v/>
      </c>
      <c r="J41" s="39" t="str">
        <f aca="false">IF(E41="","",E41+G41)</f>
        <v/>
      </c>
      <c r="K41" s="36"/>
      <c r="L41" s="36"/>
      <c r="M41" s="40" t="str">
        <f aca="false">IF(A41="","",IF(A41&lt;FY_START,0,(YEAR(A41)-YEAR(FY_START))*12+MONTH(A41)-MONTH(FY_START)+1))</f>
        <v/>
      </c>
      <c r="N41" s="40" t="str">
        <f aca="false">IF(A41="","",IF(AND(A41&gt;=VP_START,A41&lt;=VP_END),1,0))</f>
        <v/>
      </c>
    </row>
    <row r="42" customFormat="false" ht="15" hidden="false" customHeight="false" outlineLevel="0" collapsed="false">
      <c r="A42" s="37"/>
      <c r="B42" s="36"/>
      <c r="C42" s="36"/>
      <c r="D42" s="36"/>
      <c r="E42" s="38"/>
      <c r="F42" s="36"/>
      <c r="G42" s="39" t="str">
        <f aca="false">IF(E42="","",IF(F42="Standard 5%",E42*VAT_RATE,0))</f>
        <v/>
      </c>
      <c r="H42" s="36"/>
      <c r="I42" s="39" t="str">
        <f aca="false">IF(E42="","",IF(AND(H42="Yes",F42="Standard 5%"),G42,0))</f>
        <v/>
      </c>
      <c r="J42" s="39" t="str">
        <f aca="false">IF(E42="","",E42+G42)</f>
        <v/>
      </c>
      <c r="K42" s="36"/>
      <c r="L42" s="36"/>
      <c r="M42" s="40" t="str">
        <f aca="false">IF(A42="","",IF(A42&lt;FY_START,0,(YEAR(A42)-YEAR(FY_START))*12+MONTH(A42)-MONTH(FY_START)+1))</f>
        <v/>
      </c>
      <c r="N42" s="40" t="str">
        <f aca="false">IF(A42="","",IF(AND(A42&gt;=VP_START,A42&lt;=VP_END),1,0))</f>
        <v/>
      </c>
    </row>
    <row r="43" customFormat="false" ht="15" hidden="false" customHeight="false" outlineLevel="0" collapsed="false">
      <c r="A43" s="37"/>
      <c r="B43" s="36"/>
      <c r="C43" s="36"/>
      <c r="D43" s="36"/>
      <c r="E43" s="38"/>
      <c r="F43" s="36"/>
      <c r="G43" s="39" t="str">
        <f aca="false">IF(E43="","",IF(F43="Standard 5%",E43*VAT_RATE,0))</f>
        <v/>
      </c>
      <c r="H43" s="36"/>
      <c r="I43" s="39" t="str">
        <f aca="false">IF(E43="","",IF(AND(H43="Yes",F43="Standard 5%"),G43,0))</f>
        <v/>
      </c>
      <c r="J43" s="39" t="str">
        <f aca="false">IF(E43="","",E43+G43)</f>
        <v/>
      </c>
      <c r="K43" s="36"/>
      <c r="L43" s="36"/>
      <c r="M43" s="40" t="str">
        <f aca="false">IF(A43="","",IF(A43&lt;FY_START,0,(YEAR(A43)-YEAR(FY_START))*12+MONTH(A43)-MONTH(FY_START)+1))</f>
        <v/>
      </c>
      <c r="N43" s="40" t="str">
        <f aca="false">IF(A43="","",IF(AND(A43&gt;=VP_START,A43&lt;=VP_END),1,0))</f>
        <v/>
      </c>
    </row>
    <row r="44" customFormat="false" ht="15" hidden="false" customHeight="false" outlineLevel="0" collapsed="false">
      <c r="A44" s="37"/>
      <c r="B44" s="36"/>
      <c r="C44" s="36"/>
      <c r="D44" s="36"/>
      <c r="E44" s="38"/>
      <c r="F44" s="36"/>
      <c r="G44" s="39" t="str">
        <f aca="false">IF(E44="","",IF(F44="Standard 5%",E44*VAT_RATE,0))</f>
        <v/>
      </c>
      <c r="H44" s="36"/>
      <c r="I44" s="39" t="str">
        <f aca="false">IF(E44="","",IF(AND(H44="Yes",F44="Standard 5%"),G44,0))</f>
        <v/>
      </c>
      <c r="J44" s="39" t="str">
        <f aca="false">IF(E44="","",E44+G44)</f>
        <v/>
      </c>
      <c r="K44" s="36"/>
      <c r="L44" s="36"/>
      <c r="M44" s="40" t="str">
        <f aca="false">IF(A44="","",IF(A44&lt;FY_START,0,(YEAR(A44)-YEAR(FY_START))*12+MONTH(A44)-MONTH(FY_START)+1))</f>
        <v/>
      </c>
      <c r="N44" s="40" t="str">
        <f aca="false">IF(A44="","",IF(AND(A44&gt;=VP_START,A44&lt;=VP_END),1,0))</f>
        <v/>
      </c>
    </row>
    <row r="45" customFormat="false" ht="15" hidden="false" customHeight="false" outlineLevel="0" collapsed="false">
      <c r="A45" s="37"/>
      <c r="B45" s="36"/>
      <c r="C45" s="36"/>
      <c r="D45" s="36"/>
      <c r="E45" s="38"/>
      <c r="F45" s="36"/>
      <c r="G45" s="39" t="str">
        <f aca="false">IF(E45="","",IF(F45="Standard 5%",E45*VAT_RATE,0))</f>
        <v/>
      </c>
      <c r="H45" s="36"/>
      <c r="I45" s="39" t="str">
        <f aca="false">IF(E45="","",IF(AND(H45="Yes",F45="Standard 5%"),G45,0))</f>
        <v/>
      </c>
      <c r="J45" s="39" t="str">
        <f aca="false">IF(E45="","",E45+G45)</f>
        <v/>
      </c>
      <c r="K45" s="36"/>
      <c r="L45" s="36"/>
      <c r="M45" s="40" t="str">
        <f aca="false">IF(A45="","",IF(A45&lt;FY_START,0,(YEAR(A45)-YEAR(FY_START))*12+MONTH(A45)-MONTH(FY_START)+1))</f>
        <v/>
      </c>
      <c r="N45" s="40" t="str">
        <f aca="false">IF(A45="","",IF(AND(A45&gt;=VP_START,A45&lt;=VP_END),1,0))</f>
        <v/>
      </c>
    </row>
    <row r="46" customFormat="false" ht="15" hidden="false" customHeight="false" outlineLevel="0" collapsed="false">
      <c r="A46" s="37"/>
      <c r="B46" s="36"/>
      <c r="C46" s="36"/>
      <c r="D46" s="36"/>
      <c r="E46" s="38"/>
      <c r="F46" s="36"/>
      <c r="G46" s="39" t="str">
        <f aca="false">IF(E46="","",IF(F46="Standard 5%",E46*VAT_RATE,0))</f>
        <v/>
      </c>
      <c r="H46" s="36"/>
      <c r="I46" s="39" t="str">
        <f aca="false">IF(E46="","",IF(AND(H46="Yes",F46="Standard 5%"),G46,0))</f>
        <v/>
      </c>
      <c r="J46" s="39" t="str">
        <f aca="false">IF(E46="","",E46+G46)</f>
        <v/>
      </c>
      <c r="K46" s="36"/>
      <c r="L46" s="36"/>
      <c r="M46" s="40" t="str">
        <f aca="false">IF(A46="","",IF(A46&lt;FY_START,0,(YEAR(A46)-YEAR(FY_START))*12+MONTH(A46)-MONTH(FY_START)+1))</f>
        <v/>
      </c>
      <c r="N46" s="40" t="str">
        <f aca="false">IF(A46="","",IF(AND(A46&gt;=VP_START,A46&lt;=VP_END),1,0))</f>
        <v/>
      </c>
    </row>
    <row r="47" customFormat="false" ht="15" hidden="false" customHeight="false" outlineLevel="0" collapsed="false">
      <c r="A47" s="37"/>
      <c r="B47" s="36"/>
      <c r="C47" s="36"/>
      <c r="D47" s="36"/>
      <c r="E47" s="38"/>
      <c r="F47" s="36"/>
      <c r="G47" s="39" t="str">
        <f aca="false">IF(E47="","",IF(F47="Standard 5%",E47*VAT_RATE,0))</f>
        <v/>
      </c>
      <c r="H47" s="36"/>
      <c r="I47" s="39" t="str">
        <f aca="false">IF(E47="","",IF(AND(H47="Yes",F47="Standard 5%"),G47,0))</f>
        <v/>
      </c>
      <c r="J47" s="39" t="str">
        <f aca="false">IF(E47="","",E47+G47)</f>
        <v/>
      </c>
      <c r="K47" s="36"/>
      <c r="L47" s="36"/>
      <c r="M47" s="40" t="str">
        <f aca="false">IF(A47="","",IF(A47&lt;FY_START,0,(YEAR(A47)-YEAR(FY_START))*12+MONTH(A47)-MONTH(FY_START)+1))</f>
        <v/>
      </c>
      <c r="N47" s="40" t="str">
        <f aca="false">IF(A47="","",IF(AND(A47&gt;=VP_START,A47&lt;=VP_END),1,0))</f>
        <v/>
      </c>
    </row>
    <row r="48" customFormat="false" ht="15" hidden="false" customHeight="false" outlineLevel="0" collapsed="false">
      <c r="A48" s="37"/>
      <c r="B48" s="36"/>
      <c r="C48" s="36"/>
      <c r="D48" s="36"/>
      <c r="E48" s="38"/>
      <c r="F48" s="36"/>
      <c r="G48" s="39" t="str">
        <f aca="false">IF(E48="","",IF(F48="Standard 5%",E48*VAT_RATE,0))</f>
        <v/>
      </c>
      <c r="H48" s="36"/>
      <c r="I48" s="39" t="str">
        <f aca="false">IF(E48="","",IF(AND(H48="Yes",F48="Standard 5%"),G48,0))</f>
        <v/>
      </c>
      <c r="J48" s="39" t="str">
        <f aca="false">IF(E48="","",E48+G48)</f>
        <v/>
      </c>
      <c r="K48" s="36"/>
      <c r="L48" s="36"/>
      <c r="M48" s="40" t="str">
        <f aca="false">IF(A48="","",IF(A48&lt;FY_START,0,(YEAR(A48)-YEAR(FY_START))*12+MONTH(A48)-MONTH(FY_START)+1))</f>
        <v/>
      </c>
      <c r="N48" s="40" t="str">
        <f aca="false">IF(A48="","",IF(AND(A48&gt;=VP_START,A48&lt;=VP_END),1,0))</f>
        <v/>
      </c>
    </row>
    <row r="49" customFormat="false" ht="15" hidden="false" customHeight="false" outlineLevel="0" collapsed="false">
      <c r="A49" s="37"/>
      <c r="B49" s="36"/>
      <c r="C49" s="36"/>
      <c r="D49" s="36"/>
      <c r="E49" s="38"/>
      <c r="F49" s="36"/>
      <c r="G49" s="39" t="str">
        <f aca="false">IF(E49="","",IF(F49="Standard 5%",E49*VAT_RATE,0))</f>
        <v/>
      </c>
      <c r="H49" s="36"/>
      <c r="I49" s="39" t="str">
        <f aca="false">IF(E49="","",IF(AND(H49="Yes",F49="Standard 5%"),G49,0))</f>
        <v/>
      </c>
      <c r="J49" s="39" t="str">
        <f aca="false">IF(E49="","",E49+G49)</f>
        <v/>
      </c>
      <c r="K49" s="36"/>
      <c r="L49" s="36"/>
      <c r="M49" s="40" t="str">
        <f aca="false">IF(A49="","",IF(A49&lt;FY_START,0,(YEAR(A49)-YEAR(FY_START))*12+MONTH(A49)-MONTH(FY_START)+1))</f>
        <v/>
      </c>
      <c r="N49" s="40" t="str">
        <f aca="false">IF(A49="","",IF(AND(A49&gt;=VP_START,A49&lt;=VP_END),1,0))</f>
        <v/>
      </c>
    </row>
    <row r="50" customFormat="false" ht="15" hidden="false" customHeight="false" outlineLevel="0" collapsed="false">
      <c r="A50" s="37"/>
      <c r="B50" s="36"/>
      <c r="C50" s="36"/>
      <c r="D50" s="36"/>
      <c r="E50" s="38"/>
      <c r="F50" s="36"/>
      <c r="G50" s="39" t="str">
        <f aca="false">IF(E50="","",IF(F50="Standard 5%",E50*VAT_RATE,0))</f>
        <v/>
      </c>
      <c r="H50" s="36"/>
      <c r="I50" s="39" t="str">
        <f aca="false">IF(E50="","",IF(AND(H50="Yes",F50="Standard 5%"),G50,0))</f>
        <v/>
      </c>
      <c r="J50" s="39" t="str">
        <f aca="false">IF(E50="","",E50+G50)</f>
        <v/>
      </c>
      <c r="K50" s="36"/>
      <c r="L50" s="36"/>
      <c r="M50" s="40" t="str">
        <f aca="false">IF(A50="","",IF(A50&lt;FY_START,0,(YEAR(A50)-YEAR(FY_START))*12+MONTH(A50)-MONTH(FY_START)+1))</f>
        <v/>
      </c>
      <c r="N50" s="40" t="str">
        <f aca="false">IF(A50="","",IF(AND(A50&gt;=VP_START,A50&lt;=VP_END),1,0))</f>
        <v/>
      </c>
    </row>
    <row r="51" customFormat="false" ht="15" hidden="false" customHeight="false" outlineLevel="0" collapsed="false">
      <c r="A51" s="37"/>
      <c r="B51" s="36"/>
      <c r="C51" s="36"/>
      <c r="D51" s="36"/>
      <c r="E51" s="38"/>
      <c r="F51" s="36"/>
      <c r="G51" s="39" t="str">
        <f aca="false">IF(E51="","",IF(F51="Standard 5%",E51*VAT_RATE,0))</f>
        <v/>
      </c>
      <c r="H51" s="36"/>
      <c r="I51" s="39" t="str">
        <f aca="false">IF(E51="","",IF(AND(H51="Yes",F51="Standard 5%"),G51,0))</f>
        <v/>
      </c>
      <c r="J51" s="39" t="str">
        <f aca="false">IF(E51="","",E51+G51)</f>
        <v/>
      </c>
      <c r="K51" s="36"/>
      <c r="L51" s="36"/>
      <c r="M51" s="40" t="str">
        <f aca="false">IF(A51="","",IF(A51&lt;FY_START,0,(YEAR(A51)-YEAR(FY_START))*12+MONTH(A51)-MONTH(FY_START)+1))</f>
        <v/>
      </c>
      <c r="N51" s="40" t="str">
        <f aca="false">IF(A51="","",IF(AND(A51&gt;=VP_START,A51&lt;=VP_END),1,0))</f>
        <v/>
      </c>
    </row>
    <row r="52" customFormat="false" ht="15" hidden="false" customHeight="false" outlineLevel="0" collapsed="false">
      <c r="A52" s="37"/>
      <c r="B52" s="36"/>
      <c r="C52" s="36"/>
      <c r="D52" s="36"/>
      <c r="E52" s="38"/>
      <c r="F52" s="36"/>
      <c r="G52" s="39" t="str">
        <f aca="false">IF(E52="","",IF(F52="Standard 5%",E52*VAT_RATE,0))</f>
        <v/>
      </c>
      <c r="H52" s="36"/>
      <c r="I52" s="39" t="str">
        <f aca="false">IF(E52="","",IF(AND(H52="Yes",F52="Standard 5%"),G52,0))</f>
        <v/>
      </c>
      <c r="J52" s="39" t="str">
        <f aca="false">IF(E52="","",E52+G52)</f>
        <v/>
      </c>
      <c r="K52" s="36"/>
      <c r="L52" s="36"/>
      <c r="M52" s="40" t="str">
        <f aca="false">IF(A52="","",IF(A52&lt;FY_START,0,(YEAR(A52)-YEAR(FY_START))*12+MONTH(A52)-MONTH(FY_START)+1))</f>
        <v/>
      </c>
      <c r="N52" s="40" t="str">
        <f aca="false">IF(A52="","",IF(AND(A52&gt;=VP_START,A52&lt;=VP_END),1,0))</f>
        <v/>
      </c>
    </row>
    <row r="53" customFormat="false" ht="15" hidden="false" customHeight="false" outlineLevel="0" collapsed="false">
      <c r="A53" s="37"/>
      <c r="B53" s="36"/>
      <c r="C53" s="36"/>
      <c r="D53" s="36"/>
      <c r="E53" s="38"/>
      <c r="F53" s="36"/>
      <c r="G53" s="39" t="str">
        <f aca="false">IF(E53="","",IF(F53="Standard 5%",E53*VAT_RATE,0))</f>
        <v/>
      </c>
      <c r="H53" s="36"/>
      <c r="I53" s="39" t="str">
        <f aca="false">IF(E53="","",IF(AND(H53="Yes",F53="Standard 5%"),G53,0))</f>
        <v/>
      </c>
      <c r="J53" s="39" t="str">
        <f aca="false">IF(E53="","",E53+G53)</f>
        <v/>
      </c>
      <c r="K53" s="36"/>
      <c r="L53" s="36"/>
      <c r="M53" s="40" t="str">
        <f aca="false">IF(A53="","",IF(A53&lt;FY_START,0,(YEAR(A53)-YEAR(FY_START))*12+MONTH(A53)-MONTH(FY_START)+1))</f>
        <v/>
      </c>
      <c r="N53" s="40" t="str">
        <f aca="false">IF(A53="","",IF(AND(A53&gt;=VP_START,A53&lt;=VP_END),1,0))</f>
        <v/>
      </c>
    </row>
    <row r="54" customFormat="false" ht="15" hidden="false" customHeight="false" outlineLevel="0" collapsed="false">
      <c r="A54" s="37"/>
      <c r="B54" s="36"/>
      <c r="C54" s="36"/>
      <c r="D54" s="36"/>
      <c r="E54" s="38"/>
      <c r="F54" s="36"/>
      <c r="G54" s="39" t="str">
        <f aca="false">IF(E54="","",IF(F54="Standard 5%",E54*VAT_RATE,0))</f>
        <v/>
      </c>
      <c r="H54" s="36"/>
      <c r="I54" s="39" t="str">
        <f aca="false">IF(E54="","",IF(AND(H54="Yes",F54="Standard 5%"),G54,0))</f>
        <v/>
      </c>
      <c r="J54" s="39" t="str">
        <f aca="false">IF(E54="","",E54+G54)</f>
        <v/>
      </c>
      <c r="K54" s="36"/>
      <c r="L54" s="36"/>
      <c r="M54" s="40" t="str">
        <f aca="false">IF(A54="","",IF(A54&lt;FY_START,0,(YEAR(A54)-YEAR(FY_START))*12+MONTH(A54)-MONTH(FY_START)+1))</f>
        <v/>
      </c>
      <c r="N54" s="40" t="str">
        <f aca="false">IF(A54="","",IF(AND(A54&gt;=VP_START,A54&lt;=VP_END),1,0))</f>
        <v/>
      </c>
    </row>
    <row r="55" customFormat="false" ht="15" hidden="false" customHeight="false" outlineLevel="0" collapsed="false">
      <c r="A55" s="37"/>
      <c r="B55" s="36"/>
      <c r="C55" s="36"/>
      <c r="D55" s="36"/>
      <c r="E55" s="38"/>
      <c r="F55" s="36"/>
      <c r="G55" s="39" t="str">
        <f aca="false">IF(E55="","",IF(F55="Standard 5%",E55*VAT_RATE,0))</f>
        <v/>
      </c>
      <c r="H55" s="36"/>
      <c r="I55" s="39" t="str">
        <f aca="false">IF(E55="","",IF(AND(H55="Yes",F55="Standard 5%"),G55,0))</f>
        <v/>
      </c>
      <c r="J55" s="39" t="str">
        <f aca="false">IF(E55="","",E55+G55)</f>
        <v/>
      </c>
      <c r="K55" s="36"/>
      <c r="L55" s="36"/>
      <c r="M55" s="40" t="str">
        <f aca="false">IF(A55="","",IF(A55&lt;FY_START,0,(YEAR(A55)-YEAR(FY_START))*12+MONTH(A55)-MONTH(FY_START)+1))</f>
        <v/>
      </c>
      <c r="N55" s="40" t="str">
        <f aca="false">IF(A55="","",IF(AND(A55&gt;=VP_START,A55&lt;=VP_END),1,0))</f>
        <v/>
      </c>
    </row>
    <row r="56" customFormat="false" ht="15" hidden="false" customHeight="false" outlineLevel="0" collapsed="false">
      <c r="A56" s="37"/>
      <c r="B56" s="36"/>
      <c r="C56" s="36"/>
      <c r="D56" s="36"/>
      <c r="E56" s="38"/>
      <c r="F56" s="36"/>
      <c r="G56" s="39" t="str">
        <f aca="false">IF(E56="","",IF(F56="Standard 5%",E56*VAT_RATE,0))</f>
        <v/>
      </c>
      <c r="H56" s="36"/>
      <c r="I56" s="39" t="str">
        <f aca="false">IF(E56="","",IF(AND(H56="Yes",F56="Standard 5%"),G56,0))</f>
        <v/>
      </c>
      <c r="J56" s="39" t="str">
        <f aca="false">IF(E56="","",E56+G56)</f>
        <v/>
      </c>
      <c r="K56" s="36"/>
      <c r="L56" s="36"/>
      <c r="M56" s="40" t="str">
        <f aca="false">IF(A56="","",IF(A56&lt;FY_START,0,(YEAR(A56)-YEAR(FY_START))*12+MONTH(A56)-MONTH(FY_START)+1))</f>
        <v/>
      </c>
      <c r="N56" s="40" t="str">
        <f aca="false">IF(A56="","",IF(AND(A56&gt;=VP_START,A56&lt;=VP_END),1,0))</f>
        <v/>
      </c>
    </row>
    <row r="57" customFormat="false" ht="15" hidden="false" customHeight="false" outlineLevel="0" collapsed="false">
      <c r="A57" s="37"/>
      <c r="B57" s="36"/>
      <c r="C57" s="36"/>
      <c r="D57" s="36"/>
      <c r="E57" s="38"/>
      <c r="F57" s="36"/>
      <c r="G57" s="39" t="str">
        <f aca="false">IF(E57="","",IF(F57="Standard 5%",E57*VAT_RATE,0))</f>
        <v/>
      </c>
      <c r="H57" s="36"/>
      <c r="I57" s="39" t="str">
        <f aca="false">IF(E57="","",IF(AND(H57="Yes",F57="Standard 5%"),G57,0))</f>
        <v/>
      </c>
      <c r="J57" s="39" t="str">
        <f aca="false">IF(E57="","",E57+G57)</f>
        <v/>
      </c>
      <c r="K57" s="36"/>
      <c r="L57" s="36"/>
      <c r="M57" s="40" t="str">
        <f aca="false">IF(A57="","",IF(A57&lt;FY_START,0,(YEAR(A57)-YEAR(FY_START))*12+MONTH(A57)-MONTH(FY_START)+1))</f>
        <v/>
      </c>
      <c r="N57" s="40" t="str">
        <f aca="false">IF(A57="","",IF(AND(A57&gt;=VP_START,A57&lt;=VP_END),1,0))</f>
        <v/>
      </c>
    </row>
    <row r="58" customFormat="false" ht="15" hidden="false" customHeight="false" outlineLevel="0" collapsed="false">
      <c r="A58" s="37"/>
      <c r="B58" s="36"/>
      <c r="C58" s="36"/>
      <c r="D58" s="36"/>
      <c r="E58" s="38"/>
      <c r="F58" s="36"/>
      <c r="G58" s="39" t="str">
        <f aca="false">IF(E58="","",IF(F58="Standard 5%",E58*VAT_RATE,0))</f>
        <v/>
      </c>
      <c r="H58" s="36"/>
      <c r="I58" s="39" t="str">
        <f aca="false">IF(E58="","",IF(AND(H58="Yes",F58="Standard 5%"),G58,0))</f>
        <v/>
      </c>
      <c r="J58" s="39" t="str">
        <f aca="false">IF(E58="","",E58+G58)</f>
        <v/>
      </c>
      <c r="K58" s="36"/>
      <c r="L58" s="36"/>
      <c r="M58" s="40" t="str">
        <f aca="false">IF(A58="","",IF(A58&lt;FY_START,0,(YEAR(A58)-YEAR(FY_START))*12+MONTH(A58)-MONTH(FY_START)+1))</f>
        <v/>
      </c>
      <c r="N58" s="40" t="str">
        <f aca="false">IF(A58="","",IF(AND(A58&gt;=VP_START,A58&lt;=VP_END),1,0))</f>
        <v/>
      </c>
    </row>
    <row r="59" customFormat="false" ht="15" hidden="false" customHeight="false" outlineLevel="0" collapsed="false">
      <c r="A59" s="37"/>
      <c r="B59" s="36"/>
      <c r="C59" s="36"/>
      <c r="D59" s="36"/>
      <c r="E59" s="38"/>
      <c r="F59" s="36"/>
      <c r="G59" s="39" t="str">
        <f aca="false">IF(E59="","",IF(F59="Standard 5%",E59*VAT_RATE,0))</f>
        <v/>
      </c>
      <c r="H59" s="36"/>
      <c r="I59" s="39" t="str">
        <f aca="false">IF(E59="","",IF(AND(H59="Yes",F59="Standard 5%"),G59,0))</f>
        <v/>
      </c>
      <c r="J59" s="39" t="str">
        <f aca="false">IF(E59="","",E59+G59)</f>
        <v/>
      </c>
      <c r="K59" s="36"/>
      <c r="L59" s="36"/>
      <c r="M59" s="40" t="str">
        <f aca="false">IF(A59="","",IF(A59&lt;FY_START,0,(YEAR(A59)-YEAR(FY_START))*12+MONTH(A59)-MONTH(FY_START)+1))</f>
        <v/>
      </c>
      <c r="N59" s="40" t="str">
        <f aca="false">IF(A59="","",IF(AND(A59&gt;=VP_START,A59&lt;=VP_END),1,0))</f>
        <v/>
      </c>
    </row>
    <row r="60" customFormat="false" ht="15" hidden="false" customHeight="false" outlineLevel="0" collapsed="false">
      <c r="A60" s="37"/>
      <c r="B60" s="36"/>
      <c r="C60" s="36"/>
      <c r="D60" s="36"/>
      <c r="E60" s="38"/>
      <c r="F60" s="36"/>
      <c r="G60" s="39" t="str">
        <f aca="false">IF(E60="","",IF(F60="Standard 5%",E60*VAT_RATE,0))</f>
        <v/>
      </c>
      <c r="H60" s="36"/>
      <c r="I60" s="39" t="str">
        <f aca="false">IF(E60="","",IF(AND(H60="Yes",F60="Standard 5%"),G60,0))</f>
        <v/>
      </c>
      <c r="J60" s="39" t="str">
        <f aca="false">IF(E60="","",E60+G60)</f>
        <v/>
      </c>
      <c r="K60" s="36"/>
      <c r="L60" s="36"/>
      <c r="M60" s="40" t="str">
        <f aca="false">IF(A60="","",IF(A60&lt;FY_START,0,(YEAR(A60)-YEAR(FY_START))*12+MONTH(A60)-MONTH(FY_START)+1))</f>
        <v/>
      </c>
      <c r="N60" s="40" t="str">
        <f aca="false">IF(A60="","",IF(AND(A60&gt;=VP_START,A60&lt;=VP_END),1,0))</f>
        <v/>
      </c>
    </row>
    <row r="61" customFormat="false" ht="15" hidden="false" customHeight="false" outlineLevel="0" collapsed="false">
      <c r="A61" s="37"/>
      <c r="B61" s="36"/>
      <c r="C61" s="36"/>
      <c r="D61" s="36"/>
      <c r="E61" s="38"/>
      <c r="F61" s="36"/>
      <c r="G61" s="39" t="str">
        <f aca="false">IF(E61="","",IF(F61="Standard 5%",E61*VAT_RATE,0))</f>
        <v/>
      </c>
      <c r="H61" s="36"/>
      <c r="I61" s="39" t="str">
        <f aca="false">IF(E61="","",IF(AND(H61="Yes",F61="Standard 5%"),G61,0))</f>
        <v/>
      </c>
      <c r="J61" s="39" t="str">
        <f aca="false">IF(E61="","",E61+G61)</f>
        <v/>
      </c>
      <c r="K61" s="36"/>
      <c r="L61" s="36"/>
      <c r="M61" s="40" t="str">
        <f aca="false">IF(A61="","",IF(A61&lt;FY_START,0,(YEAR(A61)-YEAR(FY_START))*12+MONTH(A61)-MONTH(FY_START)+1))</f>
        <v/>
      </c>
      <c r="N61" s="40" t="str">
        <f aca="false">IF(A61="","",IF(AND(A61&gt;=VP_START,A61&lt;=VP_END),1,0))</f>
        <v/>
      </c>
    </row>
    <row r="62" customFormat="false" ht="15" hidden="false" customHeight="false" outlineLevel="0" collapsed="false">
      <c r="A62" s="37"/>
      <c r="B62" s="36"/>
      <c r="C62" s="36"/>
      <c r="D62" s="36"/>
      <c r="E62" s="38"/>
      <c r="F62" s="36"/>
      <c r="G62" s="39" t="str">
        <f aca="false">IF(E62="","",IF(F62="Standard 5%",E62*VAT_RATE,0))</f>
        <v/>
      </c>
      <c r="H62" s="36"/>
      <c r="I62" s="39" t="str">
        <f aca="false">IF(E62="","",IF(AND(H62="Yes",F62="Standard 5%"),G62,0))</f>
        <v/>
      </c>
      <c r="J62" s="39" t="str">
        <f aca="false">IF(E62="","",E62+G62)</f>
        <v/>
      </c>
      <c r="K62" s="36"/>
      <c r="L62" s="36"/>
      <c r="M62" s="40" t="str">
        <f aca="false">IF(A62="","",IF(A62&lt;FY_START,0,(YEAR(A62)-YEAR(FY_START))*12+MONTH(A62)-MONTH(FY_START)+1))</f>
        <v/>
      </c>
      <c r="N62" s="40" t="str">
        <f aca="false">IF(A62="","",IF(AND(A62&gt;=VP_START,A62&lt;=VP_END),1,0))</f>
        <v/>
      </c>
    </row>
    <row r="63" customFormat="false" ht="15" hidden="false" customHeight="false" outlineLevel="0" collapsed="false">
      <c r="A63" s="37"/>
      <c r="B63" s="36"/>
      <c r="C63" s="36"/>
      <c r="D63" s="36"/>
      <c r="E63" s="38"/>
      <c r="F63" s="36"/>
      <c r="G63" s="39" t="str">
        <f aca="false">IF(E63="","",IF(F63="Standard 5%",E63*VAT_RATE,0))</f>
        <v/>
      </c>
      <c r="H63" s="36"/>
      <c r="I63" s="39" t="str">
        <f aca="false">IF(E63="","",IF(AND(H63="Yes",F63="Standard 5%"),G63,0))</f>
        <v/>
      </c>
      <c r="J63" s="39" t="str">
        <f aca="false">IF(E63="","",E63+G63)</f>
        <v/>
      </c>
      <c r="K63" s="36"/>
      <c r="L63" s="36"/>
      <c r="M63" s="40" t="str">
        <f aca="false">IF(A63="","",IF(A63&lt;FY_START,0,(YEAR(A63)-YEAR(FY_START))*12+MONTH(A63)-MONTH(FY_START)+1))</f>
        <v/>
      </c>
      <c r="N63" s="40" t="str">
        <f aca="false">IF(A63="","",IF(AND(A63&gt;=VP_START,A63&lt;=VP_END),1,0))</f>
        <v/>
      </c>
    </row>
    <row r="64" customFormat="false" ht="15" hidden="false" customHeight="false" outlineLevel="0" collapsed="false">
      <c r="A64" s="37"/>
      <c r="B64" s="36"/>
      <c r="C64" s="36"/>
      <c r="D64" s="36"/>
      <c r="E64" s="38"/>
      <c r="F64" s="36"/>
      <c r="G64" s="39" t="str">
        <f aca="false">IF(E64="","",IF(F64="Standard 5%",E64*VAT_RATE,0))</f>
        <v/>
      </c>
      <c r="H64" s="36"/>
      <c r="I64" s="39" t="str">
        <f aca="false">IF(E64="","",IF(AND(H64="Yes",F64="Standard 5%"),G64,0))</f>
        <v/>
      </c>
      <c r="J64" s="39" t="str">
        <f aca="false">IF(E64="","",E64+G64)</f>
        <v/>
      </c>
      <c r="K64" s="36"/>
      <c r="L64" s="36"/>
      <c r="M64" s="40" t="str">
        <f aca="false">IF(A64="","",IF(A64&lt;FY_START,0,(YEAR(A64)-YEAR(FY_START))*12+MONTH(A64)-MONTH(FY_START)+1))</f>
        <v/>
      </c>
      <c r="N64" s="40" t="str">
        <f aca="false">IF(A64="","",IF(AND(A64&gt;=VP_START,A64&lt;=VP_END),1,0))</f>
        <v/>
      </c>
    </row>
    <row r="65" customFormat="false" ht="15" hidden="false" customHeight="false" outlineLevel="0" collapsed="false">
      <c r="A65" s="37"/>
      <c r="B65" s="36"/>
      <c r="C65" s="36"/>
      <c r="D65" s="36"/>
      <c r="E65" s="38"/>
      <c r="F65" s="36"/>
      <c r="G65" s="39" t="str">
        <f aca="false">IF(E65="","",IF(F65="Standard 5%",E65*VAT_RATE,0))</f>
        <v/>
      </c>
      <c r="H65" s="36"/>
      <c r="I65" s="39" t="str">
        <f aca="false">IF(E65="","",IF(AND(H65="Yes",F65="Standard 5%"),G65,0))</f>
        <v/>
      </c>
      <c r="J65" s="39" t="str">
        <f aca="false">IF(E65="","",E65+G65)</f>
        <v/>
      </c>
      <c r="K65" s="36"/>
      <c r="L65" s="36"/>
      <c r="M65" s="40" t="str">
        <f aca="false">IF(A65="","",IF(A65&lt;FY_START,0,(YEAR(A65)-YEAR(FY_START))*12+MONTH(A65)-MONTH(FY_START)+1))</f>
        <v/>
      </c>
      <c r="N65" s="40" t="str">
        <f aca="false">IF(A65="","",IF(AND(A65&gt;=VP_START,A65&lt;=VP_END),1,0))</f>
        <v/>
      </c>
    </row>
    <row r="66" customFormat="false" ht="15" hidden="false" customHeight="false" outlineLevel="0" collapsed="false">
      <c r="A66" s="37"/>
      <c r="B66" s="36"/>
      <c r="C66" s="36"/>
      <c r="D66" s="36"/>
      <c r="E66" s="38"/>
      <c r="F66" s="36"/>
      <c r="G66" s="39" t="str">
        <f aca="false">IF(E66="","",IF(F66="Standard 5%",E66*VAT_RATE,0))</f>
        <v/>
      </c>
      <c r="H66" s="36"/>
      <c r="I66" s="39" t="str">
        <f aca="false">IF(E66="","",IF(AND(H66="Yes",F66="Standard 5%"),G66,0))</f>
        <v/>
      </c>
      <c r="J66" s="39" t="str">
        <f aca="false">IF(E66="","",E66+G66)</f>
        <v/>
      </c>
      <c r="K66" s="36"/>
      <c r="L66" s="36"/>
      <c r="M66" s="40" t="str">
        <f aca="false">IF(A66="","",IF(A66&lt;FY_START,0,(YEAR(A66)-YEAR(FY_START))*12+MONTH(A66)-MONTH(FY_START)+1))</f>
        <v/>
      </c>
      <c r="N66" s="40" t="str">
        <f aca="false">IF(A66="","",IF(AND(A66&gt;=VP_START,A66&lt;=VP_END),1,0))</f>
        <v/>
      </c>
    </row>
    <row r="67" customFormat="false" ht="15" hidden="false" customHeight="false" outlineLevel="0" collapsed="false">
      <c r="A67" s="37"/>
      <c r="B67" s="36"/>
      <c r="C67" s="36"/>
      <c r="D67" s="36"/>
      <c r="E67" s="38"/>
      <c r="F67" s="36"/>
      <c r="G67" s="39" t="str">
        <f aca="false">IF(E67="","",IF(F67="Standard 5%",E67*VAT_RATE,0))</f>
        <v/>
      </c>
      <c r="H67" s="36"/>
      <c r="I67" s="39" t="str">
        <f aca="false">IF(E67="","",IF(AND(H67="Yes",F67="Standard 5%"),G67,0))</f>
        <v/>
      </c>
      <c r="J67" s="39" t="str">
        <f aca="false">IF(E67="","",E67+G67)</f>
        <v/>
      </c>
      <c r="K67" s="36"/>
      <c r="L67" s="36"/>
      <c r="M67" s="40" t="str">
        <f aca="false">IF(A67="","",IF(A67&lt;FY_START,0,(YEAR(A67)-YEAR(FY_START))*12+MONTH(A67)-MONTH(FY_START)+1))</f>
        <v/>
      </c>
      <c r="N67" s="40" t="str">
        <f aca="false">IF(A67="","",IF(AND(A67&gt;=VP_START,A67&lt;=VP_END),1,0))</f>
        <v/>
      </c>
    </row>
    <row r="68" customFormat="false" ht="15" hidden="false" customHeight="false" outlineLevel="0" collapsed="false">
      <c r="A68" s="37"/>
      <c r="B68" s="36"/>
      <c r="C68" s="36"/>
      <c r="D68" s="36"/>
      <c r="E68" s="38"/>
      <c r="F68" s="36"/>
      <c r="G68" s="39" t="str">
        <f aca="false">IF(E68="","",IF(F68="Standard 5%",E68*VAT_RATE,0))</f>
        <v/>
      </c>
      <c r="H68" s="36"/>
      <c r="I68" s="39" t="str">
        <f aca="false">IF(E68="","",IF(AND(H68="Yes",F68="Standard 5%"),G68,0))</f>
        <v/>
      </c>
      <c r="J68" s="39" t="str">
        <f aca="false">IF(E68="","",E68+G68)</f>
        <v/>
      </c>
      <c r="K68" s="36"/>
      <c r="L68" s="36"/>
      <c r="M68" s="40" t="str">
        <f aca="false">IF(A68="","",IF(A68&lt;FY_START,0,(YEAR(A68)-YEAR(FY_START))*12+MONTH(A68)-MONTH(FY_START)+1))</f>
        <v/>
      </c>
      <c r="N68" s="40" t="str">
        <f aca="false">IF(A68="","",IF(AND(A68&gt;=VP_START,A68&lt;=VP_END),1,0))</f>
        <v/>
      </c>
    </row>
    <row r="69" customFormat="false" ht="15" hidden="false" customHeight="false" outlineLevel="0" collapsed="false">
      <c r="A69" s="37"/>
      <c r="B69" s="36"/>
      <c r="C69" s="36"/>
      <c r="D69" s="36"/>
      <c r="E69" s="38"/>
      <c r="F69" s="36"/>
      <c r="G69" s="39" t="str">
        <f aca="false">IF(E69="","",IF(F69="Standard 5%",E69*VAT_RATE,0))</f>
        <v/>
      </c>
      <c r="H69" s="36"/>
      <c r="I69" s="39" t="str">
        <f aca="false">IF(E69="","",IF(AND(H69="Yes",F69="Standard 5%"),G69,0))</f>
        <v/>
      </c>
      <c r="J69" s="39" t="str">
        <f aca="false">IF(E69="","",E69+G69)</f>
        <v/>
      </c>
      <c r="K69" s="36"/>
      <c r="L69" s="36"/>
      <c r="M69" s="40" t="str">
        <f aca="false">IF(A69="","",IF(A69&lt;FY_START,0,(YEAR(A69)-YEAR(FY_START))*12+MONTH(A69)-MONTH(FY_START)+1))</f>
        <v/>
      </c>
      <c r="N69" s="40" t="str">
        <f aca="false">IF(A69="","",IF(AND(A69&gt;=VP_START,A69&lt;=VP_END),1,0))</f>
        <v/>
      </c>
    </row>
    <row r="70" customFormat="false" ht="15" hidden="false" customHeight="false" outlineLevel="0" collapsed="false">
      <c r="A70" s="37"/>
      <c r="B70" s="36"/>
      <c r="C70" s="36"/>
      <c r="D70" s="36"/>
      <c r="E70" s="38"/>
      <c r="F70" s="36"/>
      <c r="G70" s="39" t="str">
        <f aca="false">IF(E70="","",IF(F70="Standard 5%",E70*VAT_RATE,0))</f>
        <v/>
      </c>
      <c r="H70" s="36"/>
      <c r="I70" s="39" t="str">
        <f aca="false">IF(E70="","",IF(AND(H70="Yes",F70="Standard 5%"),G70,0))</f>
        <v/>
      </c>
      <c r="J70" s="39" t="str">
        <f aca="false">IF(E70="","",E70+G70)</f>
        <v/>
      </c>
      <c r="K70" s="36"/>
      <c r="L70" s="36"/>
      <c r="M70" s="40" t="str">
        <f aca="false">IF(A70="","",IF(A70&lt;FY_START,0,(YEAR(A70)-YEAR(FY_START))*12+MONTH(A70)-MONTH(FY_START)+1))</f>
        <v/>
      </c>
      <c r="N70" s="40" t="str">
        <f aca="false">IF(A70="","",IF(AND(A70&gt;=VP_START,A70&lt;=VP_END),1,0))</f>
        <v/>
      </c>
    </row>
    <row r="71" customFormat="false" ht="15" hidden="false" customHeight="false" outlineLevel="0" collapsed="false">
      <c r="A71" s="37"/>
      <c r="B71" s="36"/>
      <c r="C71" s="36"/>
      <c r="D71" s="36"/>
      <c r="E71" s="38"/>
      <c r="F71" s="36"/>
      <c r="G71" s="39" t="str">
        <f aca="false">IF(E71="","",IF(F71="Standard 5%",E71*VAT_RATE,0))</f>
        <v/>
      </c>
      <c r="H71" s="36"/>
      <c r="I71" s="39" t="str">
        <f aca="false">IF(E71="","",IF(AND(H71="Yes",F71="Standard 5%"),G71,0))</f>
        <v/>
      </c>
      <c r="J71" s="39" t="str">
        <f aca="false">IF(E71="","",E71+G71)</f>
        <v/>
      </c>
      <c r="K71" s="36"/>
      <c r="L71" s="36"/>
      <c r="M71" s="40" t="str">
        <f aca="false">IF(A71="","",IF(A71&lt;FY_START,0,(YEAR(A71)-YEAR(FY_START))*12+MONTH(A71)-MONTH(FY_START)+1))</f>
        <v/>
      </c>
      <c r="N71" s="40" t="str">
        <f aca="false">IF(A71="","",IF(AND(A71&gt;=VP_START,A71&lt;=VP_END),1,0))</f>
        <v/>
      </c>
    </row>
    <row r="72" customFormat="false" ht="15" hidden="false" customHeight="false" outlineLevel="0" collapsed="false">
      <c r="A72" s="37"/>
      <c r="B72" s="36"/>
      <c r="C72" s="36"/>
      <c r="D72" s="36"/>
      <c r="E72" s="38"/>
      <c r="F72" s="36"/>
      <c r="G72" s="39" t="str">
        <f aca="false">IF(E72="","",IF(F72="Standard 5%",E72*VAT_RATE,0))</f>
        <v/>
      </c>
      <c r="H72" s="36"/>
      <c r="I72" s="39" t="str">
        <f aca="false">IF(E72="","",IF(AND(H72="Yes",F72="Standard 5%"),G72,0))</f>
        <v/>
      </c>
      <c r="J72" s="39" t="str">
        <f aca="false">IF(E72="","",E72+G72)</f>
        <v/>
      </c>
      <c r="K72" s="36"/>
      <c r="L72" s="36"/>
      <c r="M72" s="40" t="str">
        <f aca="false">IF(A72="","",IF(A72&lt;FY_START,0,(YEAR(A72)-YEAR(FY_START))*12+MONTH(A72)-MONTH(FY_START)+1))</f>
        <v/>
      </c>
      <c r="N72" s="40" t="str">
        <f aca="false">IF(A72="","",IF(AND(A72&gt;=VP_START,A72&lt;=VP_END),1,0))</f>
        <v/>
      </c>
    </row>
    <row r="73" customFormat="false" ht="15" hidden="false" customHeight="false" outlineLevel="0" collapsed="false">
      <c r="A73" s="37"/>
      <c r="B73" s="36"/>
      <c r="C73" s="36"/>
      <c r="D73" s="36"/>
      <c r="E73" s="38"/>
      <c r="F73" s="36"/>
      <c r="G73" s="39" t="str">
        <f aca="false">IF(E73="","",IF(F73="Standard 5%",E73*VAT_RATE,0))</f>
        <v/>
      </c>
      <c r="H73" s="36"/>
      <c r="I73" s="39" t="str">
        <f aca="false">IF(E73="","",IF(AND(H73="Yes",F73="Standard 5%"),G73,0))</f>
        <v/>
      </c>
      <c r="J73" s="39" t="str">
        <f aca="false">IF(E73="","",E73+G73)</f>
        <v/>
      </c>
      <c r="K73" s="36"/>
      <c r="L73" s="36"/>
      <c r="M73" s="40" t="str">
        <f aca="false">IF(A73="","",IF(A73&lt;FY_START,0,(YEAR(A73)-YEAR(FY_START))*12+MONTH(A73)-MONTH(FY_START)+1))</f>
        <v/>
      </c>
      <c r="N73" s="40" t="str">
        <f aca="false">IF(A73="","",IF(AND(A73&gt;=VP_START,A73&lt;=VP_END),1,0))</f>
        <v/>
      </c>
    </row>
    <row r="74" customFormat="false" ht="15" hidden="false" customHeight="false" outlineLevel="0" collapsed="false">
      <c r="A74" s="37"/>
      <c r="B74" s="36"/>
      <c r="C74" s="36"/>
      <c r="D74" s="36"/>
      <c r="E74" s="38"/>
      <c r="F74" s="36"/>
      <c r="G74" s="39" t="str">
        <f aca="false">IF(E74="","",IF(F74="Standard 5%",E74*VAT_RATE,0))</f>
        <v/>
      </c>
      <c r="H74" s="36"/>
      <c r="I74" s="39" t="str">
        <f aca="false">IF(E74="","",IF(AND(H74="Yes",F74="Standard 5%"),G74,0))</f>
        <v/>
      </c>
      <c r="J74" s="39" t="str">
        <f aca="false">IF(E74="","",E74+G74)</f>
        <v/>
      </c>
      <c r="K74" s="36"/>
      <c r="L74" s="36"/>
      <c r="M74" s="40" t="str">
        <f aca="false">IF(A74="","",IF(A74&lt;FY_START,0,(YEAR(A74)-YEAR(FY_START))*12+MONTH(A74)-MONTH(FY_START)+1))</f>
        <v/>
      </c>
      <c r="N74" s="40" t="str">
        <f aca="false">IF(A74="","",IF(AND(A74&gt;=VP_START,A74&lt;=VP_END),1,0))</f>
        <v/>
      </c>
    </row>
    <row r="75" customFormat="false" ht="15" hidden="false" customHeight="false" outlineLevel="0" collapsed="false">
      <c r="A75" s="37"/>
      <c r="B75" s="36"/>
      <c r="C75" s="36"/>
      <c r="D75" s="36"/>
      <c r="E75" s="38"/>
      <c r="F75" s="36"/>
      <c r="G75" s="39" t="str">
        <f aca="false">IF(E75="","",IF(F75="Standard 5%",E75*VAT_RATE,0))</f>
        <v/>
      </c>
      <c r="H75" s="36"/>
      <c r="I75" s="39" t="str">
        <f aca="false">IF(E75="","",IF(AND(H75="Yes",F75="Standard 5%"),G75,0))</f>
        <v/>
      </c>
      <c r="J75" s="39" t="str">
        <f aca="false">IF(E75="","",E75+G75)</f>
        <v/>
      </c>
      <c r="K75" s="36"/>
      <c r="L75" s="36"/>
      <c r="M75" s="40" t="str">
        <f aca="false">IF(A75="","",IF(A75&lt;FY_START,0,(YEAR(A75)-YEAR(FY_START))*12+MONTH(A75)-MONTH(FY_START)+1))</f>
        <v/>
      </c>
      <c r="N75" s="40" t="str">
        <f aca="false">IF(A75="","",IF(AND(A75&gt;=VP_START,A75&lt;=VP_END),1,0))</f>
        <v/>
      </c>
    </row>
    <row r="76" customFormat="false" ht="15" hidden="false" customHeight="false" outlineLevel="0" collapsed="false">
      <c r="A76" s="37"/>
      <c r="B76" s="36"/>
      <c r="C76" s="36"/>
      <c r="D76" s="36"/>
      <c r="E76" s="38"/>
      <c r="F76" s="36"/>
      <c r="G76" s="39" t="str">
        <f aca="false">IF(E76="","",IF(F76="Standard 5%",E76*VAT_RATE,0))</f>
        <v/>
      </c>
      <c r="H76" s="36"/>
      <c r="I76" s="39" t="str">
        <f aca="false">IF(E76="","",IF(AND(H76="Yes",F76="Standard 5%"),G76,0))</f>
        <v/>
      </c>
      <c r="J76" s="39" t="str">
        <f aca="false">IF(E76="","",E76+G76)</f>
        <v/>
      </c>
      <c r="K76" s="36"/>
      <c r="L76" s="36"/>
      <c r="M76" s="40" t="str">
        <f aca="false">IF(A76="","",IF(A76&lt;FY_START,0,(YEAR(A76)-YEAR(FY_START))*12+MONTH(A76)-MONTH(FY_START)+1))</f>
        <v/>
      </c>
      <c r="N76" s="40" t="str">
        <f aca="false">IF(A76="","",IF(AND(A76&gt;=VP_START,A76&lt;=VP_END),1,0))</f>
        <v/>
      </c>
    </row>
    <row r="77" customFormat="false" ht="15" hidden="false" customHeight="false" outlineLevel="0" collapsed="false">
      <c r="A77" s="37"/>
      <c r="B77" s="36"/>
      <c r="C77" s="36"/>
      <c r="D77" s="36"/>
      <c r="E77" s="38"/>
      <c r="F77" s="36"/>
      <c r="G77" s="39" t="str">
        <f aca="false">IF(E77="","",IF(F77="Standard 5%",E77*VAT_RATE,0))</f>
        <v/>
      </c>
      <c r="H77" s="36"/>
      <c r="I77" s="39" t="str">
        <f aca="false">IF(E77="","",IF(AND(H77="Yes",F77="Standard 5%"),G77,0))</f>
        <v/>
      </c>
      <c r="J77" s="39" t="str">
        <f aca="false">IF(E77="","",E77+G77)</f>
        <v/>
      </c>
      <c r="K77" s="36"/>
      <c r="L77" s="36"/>
      <c r="M77" s="40" t="str">
        <f aca="false">IF(A77="","",IF(A77&lt;FY_START,0,(YEAR(A77)-YEAR(FY_START))*12+MONTH(A77)-MONTH(FY_START)+1))</f>
        <v/>
      </c>
      <c r="N77" s="40" t="str">
        <f aca="false">IF(A77="","",IF(AND(A77&gt;=VP_START,A77&lt;=VP_END),1,0))</f>
        <v/>
      </c>
    </row>
    <row r="78" customFormat="false" ht="15" hidden="false" customHeight="false" outlineLevel="0" collapsed="false">
      <c r="A78" s="37"/>
      <c r="B78" s="36"/>
      <c r="C78" s="36"/>
      <c r="D78" s="36"/>
      <c r="E78" s="38"/>
      <c r="F78" s="36"/>
      <c r="G78" s="39" t="str">
        <f aca="false">IF(E78="","",IF(F78="Standard 5%",E78*VAT_RATE,0))</f>
        <v/>
      </c>
      <c r="H78" s="36"/>
      <c r="I78" s="39" t="str">
        <f aca="false">IF(E78="","",IF(AND(H78="Yes",F78="Standard 5%"),G78,0))</f>
        <v/>
      </c>
      <c r="J78" s="39" t="str">
        <f aca="false">IF(E78="","",E78+G78)</f>
        <v/>
      </c>
      <c r="K78" s="36"/>
      <c r="L78" s="36"/>
      <c r="M78" s="40" t="str">
        <f aca="false">IF(A78="","",IF(A78&lt;FY_START,0,(YEAR(A78)-YEAR(FY_START))*12+MONTH(A78)-MONTH(FY_START)+1))</f>
        <v/>
      </c>
      <c r="N78" s="40" t="str">
        <f aca="false">IF(A78="","",IF(AND(A78&gt;=VP_START,A78&lt;=VP_END),1,0))</f>
        <v/>
      </c>
    </row>
    <row r="79" customFormat="false" ht="15" hidden="false" customHeight="false" outlineLevel="0" collapsed="false">
      <c r="A79" s="37"/>
      <c r="B79" s="36"/>
      <c r="C79" s="36"/>
      <c r="D79" s="36"/>
      <c r="E79" s="38"/>
      <c r="F79" s="36"/>
      <c r="G79" s="39" t="str">
        <f aca="false">IF(E79="","",IF(F79="Standard 5%",E79*VAT_RATE,0))</f>
        <v/>
      </c>
      <c r="H79" s="36"/>
      <c r="I79" s="39" t="str">
        <f aca="false">IF(E79="","",IF(AND(H79="Yes",F79="Standard 5%"),G79,0))</f>
        <v/>
      </c>
      <c r="J79" s="39" t="str">
        <f aca="false">IF(E79="","",E79+G79)</f>
        <v/>
      </c>
      <c r="K79" s="36"/>
      <c r="L79" s="36"/>
      <c r="M79" s="40" t="str">
        <f aca="false">IF(A79="","",IF(A79&lt;FY_START,0,(YEAR(A79)-YEAR(FY_START))*12+MONTH(A79)-MONTH(FY_START)+1))</f>
        <v/>
      </c>
      <c r="N79" s="40" t="str">
        <f aca="false">IF(A79="","",IF(AND(A79&gt;=VP_START,A79&lt;=VP_END),1,0))</f>
        <v/>
      </c>
    </row>
    <row r="80" customFormat="false" ht="15" hidden="false" customHeight="false" outlineLevel="0" collapsed="false">
      <c r="A80" s="37"/>
      <c r="B80" s="36"/>
      <c r="C80" s="36"/>
      <c r="D80" s="36"/>
      <c r="E80" s="38"/>
      <c r="F80" s="36"/>
      <c r="G80" s="39" t="str">
        <f aca="false">IF(E80="","",IF(F80="Standard 5%",E80*VAT_RATE,0))</f>
        <v/>
      </c>
      <c r="H80" s="36"/>
      <c r="I80" s="39" t="str">
        <f aca="false">IF(E80="","",IF(AND(H80="Yes",F80="Standard 5%"),G80,0))</f>
        <v/>
      </c>
      <c r="J80" s="39" t="str">
        <f aca="false">IF(E80="","",E80+G80)</f>
        <v/>
      </c>
      <c r="K80" s="36"/>
      <c r="L80" s="36"/>
      <c r="M80" s="40" t="str">
        <f aca="false">IF(A80="","",IF(A80&lt;FY_START,0,(YEAR(A80)-YEAR(FY_START))*12+MONTH(A80)-MONTH(FY_START)+1))</f>
        <v/>
      </c>
      <c r="N80" s="40" t="str">
        <f aca="false">IF(A80="","",IF(AND(A80&gt;=VP_START,A80&lt;=VP_END),1,0))</f>
        <v/>
      </c>
    </row>
    <row r="81" customFormat="false" ht="15" hidden="false" customHeight="false" outlineLevel="0" collapsed="false">
      <c r="A81" s="37"/>
      <c r="B81" s="36"/>
      <c r="C81" s="36"/>
      <c r="D81" s="36"/>
      <c r="E81" s="38"/>
      <c r="F81" s="36"/>
      <c r="G81" s="39" t="str">
        <f aca="false">IF(E81="","",IF(F81="Standard 5%",E81*VAT_RATE,0))</f>
        <v/>
      </c>
      <c r="H81" s="36"/>
      <c r="I81" s="39" t="str">
        <f aca="false">IF(E81="","",IF(AND(H81="Yes",F81="Standard 5%"),G81,0))</f>
        <v/>
      </c>
      <c r="J81" s="39" t="str">
        <f aca="false">IF(E81="","",E81+G81)</f>
        <v/>
      </c>
      <c r="K81" s="36"/>
      <c r="L81" s="36"/>
      <c r="M81" s="40" t="str">
        <f aca="false">IF(A81="","",IF(A81&lt;FY_START,0,(YEAR(A81)-YEAR(FY_START))*12+MONTH(A81)-MONTH(FY_START)+1))</f>
        <v/>
      </c>
      <c r="N81" s="40" t="str">
        <f aca="false">IF(A81="","",IF(AND(A81&gt;=VP_START,A81&lt;=VP_END),1,0))</f>
        <v/>
      </c>
    </row>
    <row r="82" customFormat="false" ht="15" hidden="false" customHeight="false" outlineLevel="0" collapsed="false">
      <c r="A82" s="37"/>
      <c r="B82" s="36"/>
      <c r="C82" s="36"/>
      <c r="D82" s="36"/>
      <c r="E82" s="38"/>
      <c r="F82" s="36"/>
      <c r="G82" s="39" t="str">
        <f aca="false">IF(E82="","",IF(F82="Standard 5%",E82*VAT_RATE,0))</f>
        <v/>
      </c>
      <c r="H82" s="36"/>
      <c r="I82" s="39" t="str">
        <f aca="false">IF(E82="","",IF(AND(H82="Yes",F82="Standard 5%"),G82,0))</f>
        <v/>
      </c>
      <c r="J82" s="39" t="str">
        <f aca="false">IF(E82="","",E82+G82)</f>
        <v/>
      </c>
      <c r="K82" s="36"/>
      <c r="L82" s="36"/>
      <c r="M82" s="40" t="str">
        <f aca="false">IF(A82="","",IF(A82&lt;FY_START,0,(YEAR(A82)-YEAR(FY_START))*12+MONTH(A82)-MONTH(FY_START)+1))</f>
        <v/>
      </c>
      <c r="N82" s="40" t="str">
        <f aca="false">IF(A82="","",IF(AND(A82&gt;=VP_START,A82&lt;=VP_END),1,0))</f>
        <v/>
      </c>
    </row>
    <row r="83" customFormat="false" ht="15" hidden="false" customHeight="false" outlineLevel="0" collapsed="false">
      <c r="A83" s="37"/>
      <c r="B83" s="36"/>
      <c r="C83" s="36"/>
      <c r="D83" s="36"/>
      <c r="E83" s="38"/>
      <c r="F83" s="36"/>
      <c r="G83" s="39" t="str">
        <f aca="false">IF(E83="","",IF(F83="Standard 5%",E83*VAT_RATE,0))</f>
        <v/>
      </c>
      <c r="H83" s="36"/>
      <c r="I83" s="39" t="str">
        <f aca="false">IF(E83="","",IF(AND(H83="Yes",F83="Standard 5%"),G83,0))</f>
        <v/>
      </c>
      <c r="J83" s="39" t="str">
        <f aca="false">IF(E83="","",E83+G83)</f>
        <v/>
      </c>
      <c r="K83" s="36"/>
      <c r="L83" s="36"/>
      <c r="M83" s="40" t="str">
        <f aca="false">IF(A83="","",IF(A83&lt;FY_START,0,(YEAR(A83)-YEAR(FY_START))*12+MONTH(A83)-MONTH(FY_START)+1))</f>
        <v/>
      </c>
      <c r="N83" s="40" t="str">
        <f aca="false">IF(A83="","",IF(AND(A83&gt;=VP_START,A83&lt;=VP_END),1,0))</f>
        <v/>
      </c>
    </row>
    <row r="84" customFormat="false" ht="15" hidden="false" customHeight="false" outlineLevel="0" collapsed="false">
      <c r="A84" s="37"/>
      <c r="B84" s="36"/>
      <c r="C84" s="36"/>
      <c r="D84" s="36"/>
      <c r="E84" s="38"/>
      <c r="F84" s="36"/>
      <c r="G84" s="39" t="str">
        <f aca="false">IF(E84="","",IF(F84="Standard 5%",E84*VAT_RATE,0))</f>
        <v/>
      </c>
      <c r="H84" s="36"/>
      <c r="I84" s="39" t="str">
        <f aca="false">IF(E84="","",IF(AND(H84="Yes",F84="Standard 5%"),G84,0))</f>
        <v/>
      </c>
      <c r="J84" s="39" t="str">
        <f aca="false">IF(E84="","",E84+G84)</f>
        <v/>
      </c>
      <c r="K84" s="36"/>
      <c r="L84" s="36"/>
      <c r="M84" s="40" t="str">
        <f aca="false">IF(A84="","",IF(A84&lt;FY_START,0,(YEAR(A84)-YEAR(FY_START))*12+MONTH(A84)-MONTH(FY_START)+1))</f>
        <v/>
      </c>
      <c r="N84" s="40" t="str">
        <f aca="false">IF(A84="","",IF(AND(A84&gt;=VP_START,A84&lt;=VP_END),1,0))</f>
        <v/>
      </c>
    </row>
    <row r="85" customFormat="false" ht="15" hidden="false" customHeight="false" outlineLevel="0" collapsed="false">
      <c r="A85" s="37"/>
      <c r="B85" s="36"/>
      <c r="C85" s="36"/>
      <c r="D85" s="36"/>
      <c r="E85" s="38"/>
      <c r="F85" s="36"/>
      <c r="G85" s="39" t="str">
        <f aca="false">IF(E85="","",IF(F85="Standard 5%",E85*VAT_RATE,0))</f>
        <v/>
      </c>
      <c r="H85" s="36"/>
      <c r="I85" s="39" t="str">
        <f aca="false">IF(E85="","",IF(AND(H85="Yes",F85="Standard 5%"),G85,0))</f>
        <v/>
      </c>
      <c r="J85" s="39" t="str">
        <f aca="false">IF(E85="","",E85+G85)</f>
        <v/>
      </c>
      <c r="K85" s="36"/>
      <c r="L85" s="36"/>
      <c r="M85" s="40" t="str">
        <f aca="false">IF(A85="","",IF(A85&lt;FY_START,0,(YEAR(A85)-YEAR(FY_START))*12+MONTH(A85)-MONTH(FY_START)+1))</f>
        <v/>
      </c>
      <c r="N85" s="40" t="str">
        <f aca="false">IF(A85="","",IF(AND(A85&gt;=VP_START,A85&lt;=VP_END),1,0))</f>
        <v/>
      </c>
    </row>
    <row r="86" customFormat="false" ht="15" hidden="false" customHeight="false" outlineLevel="0" collapsed="false">
      <c r="A86" s="37"/>
      <c r="B86" s="36"/>
      <c r="C86" s="36"/>
      <c r="D86" s="36"/>
      <c r="E86" s="38"/>
      <c r="F86" s="36"/>
      <c r="G86" s="39" t="str">
        <f aca="false">IF(E86="","",IF(F86="Standard 5%",E86*VAT_RATE,0))</f>
        <v/>
      </c>
      <c r="H86" s="36"/>
      <c r="I86" s="39" t="str">
        <f aca="false">IF(E86="","",IF(AND(H86="Yes",F86="Standard 5%"),G86,0))</f>
        <v/>
      </c>
      <c r="J86" s="39" t="str">
        <f aca="false">IF(E86="","",E86+G86)</f>
        <v/>
      </c>
      <c r="K86" s="36"/>
      <c r="L86" s="36"/>
      <c r="M86" s="40" t="str">
        <f aca="false">IF(A86="","",IF(A86&lt;FY_START,0,(YEAR(A86)-YEAR(FY_START))*12+MONTH(A86)-MONTH(FY_START)+1))</f>
        <v/>
      </c>
      <c r="N86" s="40" t="str">
        <f aca="false">IF(A86="","",IF(AND(A86&gt;=VP_START,A86&lt;=VP_END),1,0))</f>
        <v/>
      </c>
    </row>
    <row r="87" customFormat="false" ht="15" hidden="false" customHeight="false" outlineLevel="0" collapsed="false">
      <c r="A87" s="37"/>
      <c r="B87" s="36"/>
      <c r="C87" s="36"/>
      <c r="D87" s="36"/>
      <c r="E87" s="38"/>
      <c r="F87" s="36"/>
      <c r="G87" s="39" t="str">
        <f aca="false">IF(E87="","",IF(F87="Standard 5%",E87*VAT_RATE,0))</f>
        <v/>
      </c>
      <c r="H87" s="36"/>
      <c r="I87" s="39" t="str">
        <f aca="false">IF(E87="","",IF(AND(H87="Yes",F87="Standard 5%"),G87,0))</f>
        <v/>
      </c>
      <c r="J87" s="39" t="str">
        <f aca="false">IF(E87="","",E87+G87)</f>
        <v/>
      </c>
      <c r="K87" s="36"/>
      <c r="L87" s="36"/>
      <c r="M87" s="40" t="str">
        <f aca="false">IF(A87="","",IF(A87&lt;FY_START,0,(YEAR(A87)-YEAR(FY_START))*12+MONTH(A87)-MONTH(FY_START)+1))</f>
        <v/>
      </c>
      <c r="N87" s="40" t="str">
        <f aca="false">IF(A87="","",IF(AND(A87&gt;=VP_START,A87&lt;=VP_END),1,0))</f>
        <v/>
      </c>
    </row>
    <row r="88" customFormat="false" ht="15" hidden="false" customHeight="false" outlineLevel="0" collapsed="false">
      <c r="A88" s="37"/>
      <c r="B88" s="36"/>
      <c r="C88" s="36"/>
      <c r="D88" s="36"/>
      <c r="E88" s="38"/>
      <c r="F88" s="36"/>
      <c r="G88" s="39" t="str">
        <f aca="false">IF(E88="","",IF(F88="Standard 5%",E88*VAT_RATE,0))</f>
        <v/>
      </c>
      <c r="H88" s="36"/>
      <c r="I88" s="39" t="str">
        <f aca="false">IF(E88="","",IF(AND(H88="Yes",F88="Standard 5%"),G88,0))</f>
        <v/>
      </c>
      <c r="J88" s="39" t="str">
        <f aca="false">IF(E88="","",E88+G88)</f>
        <v/>
      </c>
      <c r="K88" s="36"/>
      <c r="L88" s="36"/>
      <c r="M88" s="40" t="str">
        <f aca="false">IF(A88="","",IF(A88&lt;FY_START,0,(YEAR(A88)-YEAR(FY_START))*12+MONTH(A88)-MONTH(FY_START)+1))</f>
        <v/>
      </c>
      <c r="N88" s="40" t="str">
        <f aca="false">IF(A88="","",IF(AND(A88&gt;=VP_START,A88&lt;=VP_END),1,0))</f>
        <v/>
      </c>
    </row>
    <row r="89" customFormat="false" ht="15" hidden="false" customHeight="false" outlineLevel="0" collapsed="false">
      <c r="A89" s="37"/>
      <c r="B89" s="36"/>
      <c r="C89" s="36"/>
      <c r="D89" s="36"/>
      <c r="E89" s="38"/>
      <c r="F89" s="36"/>
      <c r="G89" s="39" t="str">
        <f aca="false">IF(E89="","",IF(F89="Standard 5%",E89*VAT_RATE,0))</f>
        <v/>
      </c>
      <c r="H89" s="36"/>
      <c r="I89" s="39" t="str">
        <f aca="false">IF(E89="","",IF(AND(H89="Yes",F89="Standard 5%"),G89,0))</f>
        <v/>
      </c>
      <c r="J89" s="39" t="str">
        <f aca="false">IF(E89="","",E89+G89)</f>
        <v/>
      </c>
      <c r="K89" s="36"/>
      <c r="L89" s="36"/>
      <c r="M89" s="40" t="str">
        <f aca="false">IF(A89="","",IF(A89&lt;FY_START,0,(YEAR(A89)-YEAR(FY_START))*12+MONTH(A89)-MONTH(FY_START)+1))</f>
        <v/>
      </c>
      <c r="N89" s="40" t="str">
        <f aca="false">IF(A89="","",IF(AND(A89&gt;=VP_START,A89&lt;=VP_END),1,0))</f>
        <v/>
      </c>
    </row>
    <row r="90" customFormat="false" ht="15" hidden="false" customHeight="false" outlineLevel="0" collapsed="false">
      <c r="A90" s="37"/>
      <c r="B90" s="36"/>
      <c r="C90" s="36"/>
      <c r="D90" s="36"/>
      <c r="E90" s="38"/>
      <c r="F90" s="36"/>
      <c r="G90" s="39" t="str">
        <f aca="false">IF(E90="","",IF(F90="Standard 5%",E90*VAT_RATE,0))</f>
        <v/>
      </c>
      <c r="H90" s="36"/>
      <c r="I90" s="39" t="str">
        <f aca="false">IF(E90="","",IF(AND(H90="Yes",F90="Standard 5%"),G90,0))</f>
        <v/>
      </c>
      <c r="J90" s="39" t="str">
        <f aca="false">IF(E90="","",E90+G90)</f>
        <v/>
      </c>
      <c r="K90" s="36"/>
      <c r="L90" s="36"/>
      <c r="M90" s="40" t="str">
        <f aca="false">IF(A90="","",IF(A90&lt;FY_START,0,(YEAR(A90)-YEAR(FY_START))*12+MONTH(A90)-MONTH(FY_START)+1))</f>
        <v/>
      </c>
      <c r="N90" s="40" t="str">
        <f aca="false">IF(A90="","",IF(AND(A90&gt;=VP_START,A90&lt;=VP_END),1,0))</f>
        <v/>
      </c>
    </row>
    <row r="91" customFormat="false" ht="15" hidden="false" customHeight="false" outlineLevel="0" collapsed="false">
      <c r="A91" s="37"/>
      <c r="B91" s="36"/>
      <c r="C91" s="36"/>
      <c r="D91" s="36"/>
      <c r="E91" s="38"/>
      <c r="F91" s="36"/>
      <c r="G91" s="39" t="str">
        <f aca="false">IF(E91="","",IF(F91="Standard 5%",E91*VAT_RATE,0))</f>
        <v/>
      </c>
      <c r="H91" s="36"/>
      <c r="I91" s="39" t="str">
        <f aca="false">IF(E91="","",IF(AND(H91="Yes",F91="Standard 5%"),G91,0))</f>
        <v/>
      </c>
      <c r="J91" s="39" t="str">
        <f aca="false">IF(E91="","",E91+G91)</f>
        <v/>
      </c>
      <c r="K91" s="36"/>
      <c r="L91" s="36"/>
      <c r="M91" s="40" t="str">
        <f aca="false">IF(A91="","",IF(A91&lt;FY_START,0,(YEAR(A91)-YEAR(FY_START))*12+MONTH(A91)-MONTH(FY_START)+1))</f>
        <v/>
      </c>
      <c r="N91" s="40" t="str">
        <f aca="false">IF(A91="","",IF(AND(A91&gt;=VP_START,A91&lt;=VP_END),1,0))</f>
        <v/>
      </c>
    </row>
    <row r="92" customFormat="false" ht="15" hidden="false" customHeight="false" outlineLevel="0" collapsed="false">
      <c r="A92" s="37"/>
      <c r="B92" s="36"/>
      <c r="C92" s="36"/>
      <c r="D92" s="36"/>
      <c r="E92" s="38"/>
      <c r="F92" s="36"/>
      <c r="G92" s="39" t="str">
        <f aca="false">IF(E92="","",IF(F92="Standard 5%",E92*VAT_RATE,0))</f>
        <v/>
      </c>
      <c r="H92" s="36"/>
      <c r="I92" s="39" t="str">
        <f aca="false">IF(E92="","",IF(AND(H92="Yes",F92="Standard 5%"),G92,0))</f>
        <v/>
      </c>
      <c r="J92" s="39" t="str">
        <f aca="false">IF(E92="","",E92+G92)</f>
        <v/>
      </c>
      <c r="K92" s="36"/>
      <c r="L92" s="36"/>
      <c r="M92" s="40" t="str">
        <f aca="false">IF(A92="","",IF(A92&lt;FY_START,0,(YEAR(A92)-YEAR(FY_START))*12+MONTH(A92)-MONTH(FY_START)+1))</f>
        <v/>
      </c>
      <c r="N92" s="40" t="str">
        <f aca="false">IF(A92="","",IF(AND(A92&gt;=VP_START,A92&lt;=VP_END),1,0))</f>
        <v/>
      </c>
    </row>
    <row r="93" customFormat="false" ht="15" hidden="false" customHeight="false" outlineLevel="0" collapsed="false">
      <c r="A93" s="37"/>
      <c r="B93" s="36"/>
      <c r="C93" s="36"/>
      <c r="D93" s="36"/>
      <c r="E93" s="38"/>
      <c r="F93" s="36"/>
      <c r="G93" s="39" t="str">
        <f aca="false">IF(E93="","",IF(F93="Standard 5%",E93*VAT_RATE,0))</f>
        <v/>
      </c>
      <c r="H93" s="36"/>
      <c r="I93" s="39" t="str">
        <f aca="false">IF(E93="","",IF(AND(H93="Yes",F93="Standard 5%"),G93,0))</f>
        <v/>
      </c>
      <c r="J93" s="39" t="str">
        <f aca="false">IF(E93="","",E93+G93)</f>
        <v/>
      </c>
      <c r="K93" s="36"/>
      <c r="L93" s="36"/>
      <c r="M93" s="40" t="str">
        <f aca="false">IF(A93="","",IF(A93&lt;FY_START,0,(YEAR(A93)-YEAR(FY_START))*12+MONTH(A93)-MONTH(FY_START)+1))</f>
        <v/>
      </c>
      <c r="N93" s="40" t="str">
        <f aca="false">IF(A93="","",IF(AND(A93&gt;=VP_START,A93&lt;=VP_END),1,0))</f>
        <v/>
      </c>
    </row>
    <row r="94" customFormat="false" ht="15" hidden="false" customHeight="false" outlineLevel="0" collapsed="false">
      <c r="A94" s="37"/>
      <c r="B94" s="36"/>
      <c r="C94" s="36"/>
      <c r="D94" s="36"/>
      <c r="E94" s="38"/>
      <c r="F94" s="36"/>
      <c r="G94" s="39" t="str">
        <f aca="false">IF(E94="","",IF(F94="Standard 5%",E94*VAT_RATE,0))</f>
        <v/>
      </c>
      <c r="H94" s="36"/>
      <c r="I94" s="39" t="str">
        <f aca="false">IF(E94="","",IF(AND(H94="Yes",F94="Standard 5%"),G94,0))</f>
        <v/>
      </c>
      <c r="J94" s="39" t="str">
        <f aca="false">IF(E94="","",E94+G94)</f>
        <v/>
      </c>
      <c r="K94" s="36"/>
      <c r="L94" s="36"/>
      <c r="M94" s="40" t="str">
        <f aca="false">IF(A94="","",IF(A94&lt;FY_START,0,(YEAR(A94)-YEAR(FY_START))*12+MONTH(A94)-MONTH(FY_START)+1))</f>
        <v/>
      </c>
      <c r="N94" s="40" t="str">
        <f aca="false">IF(A94="","",IF(AND(A94&gt;=VP_START,A94&lt;=VP_END),1,0))</f>
        <v/>
      </c>
    </row>
    <row r="95" customFormat="false" ht="15" hidden="false" customHeight="false" outlineLevel="0" collapsed="false">
      <c r="A95" s="37"/>
      <c r="B95" s="36"/>
      <c r="C95" s="36"/>
      <c r="D95" s="36"/>
      <c r="E95" s="38"/>
      <c r="F95" s="36"/>
      <c r="G95" s="39" t="str">
        <f aca="false">IF(E95="","",IF(F95="Standard 5%",E95*VAT_RATE,0))</f>
        <v/>
      </c>
      <c r="H95" s="36"/>
      <c r="I95" s="39" t="str">
        <f aca="false">IF(E95="","",IF(AND(H95="Yes",F95="Standard 5%"),G95,0))</f>
        <v/>
      </c>
      <c r="J95" s="39" t="str">
        <f aca="false">IF(E95="","",E95+G95)</f>
        <v/>
      </c>
      <c r="K95" s="36"/>
      <c r="L95" s="36"/>
      <c r="M95" s="40" t="str">
        <f aca="false">IF(A95="","",IF(A95&lt;FY_START,0,(YEAR(A95)-YEAR(FY_START))*12+MONTH(A95)-MONTH(FY_START)+1))</f>
        <v/>
      </c>
      <c r="N95" s="40" t="str">
        <f aca="false">IF(A95="","",IF(AND(A95&gt;=VP_START,A95&lt;=VP_END),1,0))</f>
        <v/>
      </c>
    </row>
    <row r="96" customFormat="false" ht="15" hidden="false" customHeight="false" outlineLevel="0" collapsed="false">
      <c r="A96" s="37"/>
      <c r="B96" s="36"/>
      <c r="C96" s="36"/>
      <c r="D96" s="36"/>
      <c r="E96" s="38"/>
      <c r="F96" s="36"/>
      <c r="G96" s="39" t="str">
        <f aca="false">IF(E96="","",IF(F96="Standard 5%",E96*VAT_RATE,0))</f>
        <v/>
      </c>
      <c r="H96" s="36"/>
      <c r="I96" s="39" t="str">
        <f aca="false">IF(E96="","",IF(AND(H96="Yes",F96="Standard 5%"),G96,0))</f>
        <v/>
      </c>
      <c r="J96" s="39" t="str">
        <f aca="false">IF(E96="","",E96+G96)</f>
        <v/>
      </c>
      <c r="K96" s="36"/>
      <c r="L96" s="36"/>
      <c r="M96" s="40" t="str">
        <f aca="false">IF(A96="","",IF(A96&lt;FY_START,0,(YEAR(A96)-YEAR(FY_START))*12+MONTH(A96)-MONTH(FY_START)+1))</f>
        <v/>
      </c>
      <c r="N96" s="40" t="str">
        <f aca="false">IF(A96="","",IF(AND(A96&gt;=VP_START,A96&lt;=VP_END),1,0))</f>
        <v/>
      </c>
    </row>
    <row r="97" customFormat="false" ht="15" hidden="false" customHeight="false" outlineLevel="0" collapsed="false">
      <c r="A97" s="37"/>
      <c r="B97" s="36"/>
      <c r="C97" s="36"/>
      <c r="D97" s="36"/>
      <c r="E97" s="38"/>
      <c r="F97" s="36"/>
      <c r="G97" s="39" t="str">
        <f aca="false">IF(E97="","",IF(F97="Standard 5%",E97*VAT_RATE,0))</f>
        <v/>
      </c>
      <c r="H97" s="36"/>
      <c r="I97" s="39" t="str">
        <f aca="false">IF(E97="","",IF(AND(H97="Yes",F97="Standard 5%"),G97,0))</f>
        <v/>
      </c>
      <c r="J97" s="39" t="str">
        <f aca="false">IF(E97="","",E97+G97)</f>
        <v/>
      </c>
      <c r="K97" s="36"/>
      <c r="L97" s="36"/>
      <c r="M97" s="40" t="str">
        <f aca="false">IF(A97="","",IF(A97&lt;FY_START,0,(YEAR(A97)-YEAR(FY_START))*12+MONTH(A97)-MONTH(FY_START)+1))</f>
        <v/>
      </c>
      <c r="N97" s="40" t="str">
        <f aca="false">IF(A97="","",IF(AND(A97&gt;=VP_START,A97&lt;=VP_END),1,0))</f>
        <v/>
      </c>
    </row>
    <row r="98" customFormat="false" ht="15" hidden="false" customHeight="false" outlineLevel="0" collapsed="false">
      <c r="A98" s="37"/>
      <c r="B98" s="36"/>
      <c r="C98" s="36"/>
      <c r="D98" s="36"/>
      <c r="E98" s="38"/>
      <c r="F98" s="36"/>
      <c r="G98" s="39" t="str">
        <f aca="false">IF(E98="","",IF(F98="Standard 5%",E98*VAT_RATE,0))</f>
        <v/>
      </c>
      <c r="H98" s="36"/>
      <c r="I98" s="39" t="str">
        <f aca="false">IF(E98="","",IF(AND(H98="Yes",F98="Standard 5%"),G98,0))</f>
        <v/>
      </c>
      <c r="J98" s="39" t="str">
        <f aca="false">IF(E98="","",E98+G98)</f>
        <v/>
      </c>
      <c r="K98" s="36"/>
      <c r="L98" s="36"/>
      <c r="M98" s="40" t="str">
        <f aca="false">IF(A98="","",IF(A98&lt;FY_START,0,(YEAR(A98)-YEAR(FY_START))*12+MONTH(A98)-MONTH(FY_START)+1))</f>
        <v/>
      </c>
      <c r="N98" s="40" t="str">
        <f aca="false">IF(A98="","",IF(AND(A98&gt;=VP_START,A98&lt;=VP_END),1,0))</f>
        <v/>
      </c>
    </row>
    <row r="99" customFormat="false" ht="15" hidden="false" customHeight="false" outlineLevel="0" collapsed="false">
      <c r="A99" s="37"/>
      <c r="B99" s="36"/>
      <c r="C99" s="36"/>
      <c r="D99" s="36"/>
      <c r="E99" s="38"/>
      <c r="F99" s="36"/>
      <c r="G99" s="39" t="str">
        <f aca="false">IF(E99="","",IF(F99="Standard 5%",E99*VAT_RATE,0))</f>
        <v/>
      </c>
      <c r="H99" s="36"/>
      <c r="I99" s="39" t="str">
        <f aca="false">IF(E99="","",IF(AND(H99="Yes",F99="Standard 5%"),G99,0))</f>
        <v/>
      </c>
      <c r="J99" s="39" t="str">
        <f aca="false">IF(E99="","",E99+G99)</f>
        <v/>
      </c>
      <c r="K99" s="36"/>
      <c r="L99" s="36"/>
      <c r="M99" s="40" t="str">
        <f aca="false">IF(A99="","",IF(A99&lt;FY_START,0,(YEAR(A99)-YEAR(FY_START))*12+MONTH(A99)-MONTH(FY_START)+1))</f>
        <v/>
      </c>
      <c r="N99" s="40" t="str">
        <f aca="false">IF(A99="","",IF(AND(A99&gt;=VP_START,A99&lt;=VP_END),1,0))</f>
        <v/>
      </c>
    </row>
    <row r="100" customFormat="false" ht="15" hidden="false" customHeight="false" outlineLevel="0" collapsed="false">
      <c r="A100" s="37"/>
      <c r="B100" s="36"/>
      <c r="C100" s="36"/>
      <c r="D100" s="36"/>
      <c r="E100" s="38"/>
      <c r="F100" s="36"/>
      <c r="G100" s="39" t="str">
        <f aca="false">IF(E100="","",IF(F100="Standard 5%",E100*VAT_RATE,0))</f>
        <v/>
      </c>
      <c r="H100" s="36"/>
      <c r="I100" s="39" t="str">
        <f aca="false">IF(E100="","",IF(AND(H100="Yes",F100="Standard 5%"),G100,0))</f>
        <v/>
      </c>
      <c r="J100" s="39" t="str">
        <f aca="false">IF(E100="","",E100+G100)</f>
        <v/>
      </c>
      <c r="K100" s="36"/>
      <c r="L100" s="36"/>
      <c r="M100" s="40" t="str">
        <f aca="false">IF(A100="","",IF(A100&lt;FY_START,0,(YEAR(A100)-YEAR(FY_START))*12+MONTH(A100)-MONTH(FY_START)+1))</f>
        <v/>
      </c>
      <c r="N100" s="40" t="str">
        <f aca="false">IF(A100="","",IF(AND(A100&gt;=VP_START,A100&lt;=VP_END),1,0))</f>
        <v/>
      </c>
    </row>
    <row r="101" customFormat="false" ht="15" hidden="false" customHeight="false" outlineLevel="0" collapsed="false">
      <c r="A101" s="37"/>
      <c r="B101" s="36"/>
      <c r="C101" s="36"/>
      <c r="D101" s="36"/>
      <c r="E101" s="38"/>
      <c r="F101" s="36"/>
      <c r="G101" s="39" t="str">
        <f aca="false">IF(E101="","",IF(F101="Standard 5%",E101*VAT_RATE,0))</f>
        <v/>
      </c>
      <c r="H101" s="36"/>
      <c r="I101" s="39" t="str">
        <f aca="false">IF(E101="","",IF(AND(H101="Yes",F101="Standard 5%"),G101,0))</f>
        <v/>
      </c>
      <c r="J101" s="39" t="str">
        <f aca="false">IF(E101="","",E101+G101)</f>
        <v/>
      </c>
      <c r="K101" s="36"/>
      <c r="L101" s="36"/>
      <c r="M101" s="40" t="str">
        <f aca="false">IF(A101="","",IF(A101&lt;FY_START,0,(YEAR(A101)-YEAR(FY_START))*12+MONTH(A101)-MONTH(FY_START)+1))</f>
        <v/>
      </c>
      <c r="N101" s="40" t="str">
        <f aca="false">IF(A101="","",IF(AND(A101&gt;=VP_START,A101&lt;=VP_END),1,0))</f>
        <v/>
      </c>
    </row>
    <row r="102" customFormat="false" ht="15" hidden="false" customHeight="false" outlineLevel="0" collapsed="false">
      <c r="A102" s="37"/>
      <c r="B102" s="36"/>
      <c r="C102" s="36"/>
      <c r="D102" s="36"/>
      <c r="E102" s="38"/>
      <c r="F102" s="36"/>
      <c r="G102" s="39" t="str">
        <f aca="false">IF(E102="","",IF(F102="Standard 5%",E102*VAT_RATE,0))</f>
        <v/>
      </c>
      <c r="H102" s="36"/>
      <c r="I102" s="39" t="str">
        <f aca="false">IF(E102="","",IF(AND(H102="Yes",F102="Standard 5%"),G102,0))</f>
        <v/>
      </c>
      <c r="J102" s="39" t="str">
        <f aca="false">IF(E102="","",E102+G102)</f>
        <v/>
      </c>
      <c r="K102" s="36"/>
      <c r="L102" s="36"/>
      <c r="M102" s="40" t="str">
        <f aca="false">IF(A102="","",IF(A102&lt;FY_START,0,(YEAR(A102)-YEAR(FY_START))*12+MONTH(A102)-MONTH(FY_START)+1))</f>
        <v/>
      </c>
      <c r="N102" s="40" t="str">
        <f aca="false">IF(A102="","",IF(AND(A102&gt;=VP_START,A102&lt;=VP_END),1,0))</f>
        <v/>
      </c>
    </row>
    <row r="103" customFormat="false" ht="15" hidden="false" customHeight="false" outlineLevel="0" collapsed="false">
      <c r="A103" s="37"/>
      <c r="B103" s="36"/>
      <c r="C103" s="36"/>
      <c r="D103" s="36"/>
      <c r="E103" s="38"/>
      <c r="F103" s="36"/>
      <c r="G103" s="39" t="str">
        <f aca="false">IF(E103="","",IF(F103="Standard 5%",E103*VAT_RATE,0))</f>
        <v/>
      </c>
      <c r="H103" s="36"/>
      <c r="I103" s="39" t="str">
        <f aca="false">IF(E103="","",IF(AND(H103="Yes",F103="Standard 5%"),G103,0))</f>
        <v/>
      </c>
      <c r="J103" s="39" t="str">
        <f aca="false">IF(E103="","",E103+G103)</f>
        <v/>
      </c>
      <c r="K103" s="36"/>
      <c r="L103" s="36"/>
      <c r="M103" s="40" t="str">
        <f aca="false">IF(A103="","",IF(A103&lt;FY_START,0,(YEAR(A103)-YEAR(FY_START))*12+MONTH(A103)-MONTH(FY_START)+1))</f>
        <v/>
      </c>
      <c r="N103" s="40" t="str">
        <f aca="false">IF(A103="","",IF(AND(A103&gt;=VP_START,A103&lt;=VP_END),1,0))</f>
        <v/>
      </c>
    </row>
    <row r="104" customFormat="false" ht="15" hidden="false" customHeight="false" outlineLevel="0" collapsed="false">
      <c r="A104" s="37"/>
      <c r="B104" s="36"/>
      <c r="C104" s="36"/>
      <c r="D104" s="36"/>
      <c r="E104" s="38"/>
      <c r="F104" s="36"/>
      <c r="G104" s="39" t="str">
        <f aca="false">IF(E104="","",IF(F104="Standard 5%",E104*VAT_RATE,0))</f>
        <v/>
      </c>
      <c r="H104" s="36"/>
      <c r="I104" s="39" t="str">
        <f aca="false">IF(E104="","",IF(AND(H104="Yes",F104="Standard 5%"),G104,0))</f>
        <v/>
      </c>
      <c r="J104" s="39" t="str">
        <f aca="false">IF(E104="","",E104+G104)</f>
        <v/>
      </c>
      <c r="K104" s="36"/>
      <c r="L104" s="36"/>
      <c r="M104" s="40" t="str">
        <f aca="false">IF(A104="","",IF(A104&lt;FY_START,0,(YEAR(A104)-YEAR(FY_START))*12+MONTH(A104)-MONTH(FY_START)+1))</f>
        <v/>
      </c>
      <c r="N104" s="40" t="str">
        <f aca="false">IF(A104="","",IF(AND(A104&gt;=VP_START,A104&lt;=VP_END),1,0))</f>
        <v/>
      </c>
    </row>
    <row r="105" customFormat="false" ht="15" hidden="false" customHeight="false" outlineLevel="0" collapsed="false">
      <c r="A105" s="37"/>
      <c r="B105" s="36"/>
      <c r="C105" s="36"/>
      <c r="D105" s="36"/>
      <c r="E105" s="38"/>
      <c r="F105" s="36"/>
      <c r="G105" s="39" t="str">
        <f aca="false">IF(E105="","",IF(F105="Standard 5%",E105*VAT_RATE,0))</f>
        <v/>
      </c>
      <c r="H105" s="36"/>
      <c r="I105" s="39" t="str">
        <f aca="false">IF(E105="","",IF(AND(H105="Yes",F105="Standard 5%"),G105,0))</f>
        <v/>
      </c>
      <c r="J105" s="39" t="str">
        <f aca="false">IF(E105="","",E105+G105)</f>
        <v/>
      </c>
      <c r="K105" s="36"/>
      <c r="L105" s="36"/>
      <c r="M105" s="40" t="str">
        <f aca="false">IF(A105="","",IF(A105&lt;FY_START,0,(YEAR(A105)-YEAR(FY_START))*12+MONTH(A105)-MONTH(FY_START)+1))</f>
        <v/>
      </c>
      <c r="N105" s="40" t="str">
        <f aca="false">IF(A105="","",IF(AND(A105&gt;=VP_START,A105&lt;=VP_END),1,0))</f>
        <v/>
      </c>
    </row>
    <row r="106" customFormat="false" ht="15" hidden="false" customHeight="false" outlineLevel="0" collapsed="false">
      <c r="A106" s="37"/>
      <c r="B106" s="36"/>
      <c r="C106" s="36"/>
      <c r="D106" s="36"/>
      <c r="E106" s="38"/>
      <c r="F106" s="36"/>
      <c r="G106" s="39" t="str">
        <f aca="false">IF(E106="","",IF(F106="Standard 5%",E106*VAT_RATE,0))</f>
        <v/>
      </c>
      <c r="H106" s="36"/>
      <c r="I106" s="39" t="str">
        <f aca="false">IF(E106="","",IF(AND(H106="Yes",F106="Standard 5%"),G106,0))</f>
        <v/>
      </c>
      <c r="J106" s="39" t="str">
        <f aca="false">IF(E106="","",E106+G106)</f>
        <v/>
      </c>
      <c r="K106" s="36"/>
      <c r="L106" s="36"/>
      <c r="M106" s="40" t="str">
        <f aca="false">IF(A106="","",IF(A106&lt;FY_START,0,(YEAR(A106)-YEAR(FY_START))*12+MONTH(A106)-MONTH(FY_START)+1))</f>
        <v/>
      </c>
      <c r="N106" s="40" t="str">
        <f aca="false">IF(A106="","",IF(AND(A106&gt;=VP_START,A106&lt;=VP_END),1,0))</f>
        <v/>
      </c>
    </row>
    <row r="107" customFormat="false" ht="15" hidden="false" customHeight="false" outlineLevel="0" collapsed="false">
      <c r="A107" s="37"/>
      <c r="B107" s="36"/>
      <c r="C107" s="36"/>
      <c r="D107" s="36"/>
      <c r="E107" s="38"/>
      <c r="F107" s="36"/>
      <c r="G107" s="39" t="str">
        <f aca="false">IF(E107="","",IF(F107="Standard 5%",E107*VAT_RATE,0))</f>
        <v/>
      </c>
      <c r="H107" s="36"/>
      <c r="I107" s="39" t="str">
        <f aca="false">IF(E107="","",IF(AND(H107="Yes",F107="Standard 5%"),G107,0))</f>
        <v/>
      </c>
      <c r="J107" s="39" t="str">
        <f aca="false">IF(E107="","",E107+G107)</f>
        <v/>
      </c>
      <c r="K107" s="36"/>
      <c r="L107" s="36"/>
      <c r="M107" s="40" t="str">
        <f aca="false">IF(A107="","",IF(A107&lt;FY_START,0,(YEAR(A107)-YEAR(FY_START))*12+MONTH(A107)-MONTH(FY_START)+1))</f>
        <v/>
      </c>
      <c r="N107" s="40" t="str">
        <f aca="false">IF(A107="","",IF(AND(A107&gt;=VP_START,A107&lt;=VP_END),1,0))</f>
        <v/>
      </c>
    </row>
    <row r="108" customFormat="false" ht="15" hidden="false" customHeight="false" outlineLevel="0" collapsed="false">
      <c r="A108" s="37"/>
      <c r="B108" s="36"/>
      <c r="C108" s="36"/>
      <c r="D108" s="36"/>
      <c r="E108" s="38"/>
      <c r="F108" s="36"/>
      <c r="G108" s="39" t="str">
        <f aca="false">IF(E108="","",IF(F108="Standard 5%",E108*VAT_RATE,0))</f>
        <v/>
      </c>
      <c r="H108" s="36"/>
      <c r="I108" s="39" t="str">
        <f aca="false">IF(E108="","",IF(AND(H108="Yes",F108="Standard 5%"),G108,0))</f>
        <v/>
      </c>
      <c r="J108" s="39" t="str">
        <f aca="false">IF(E108="","",E108+G108)</f>
        <v/>
      </c>
      <c r="K108" s="36"/>
      <c r="L108" s="36"/>
      <c r="M108" s="40" t="str">
        <f aca="false">IF(A108="","",IF(A108&lt;FY_START,0,(YEAR(A108)-YEAR(FY_START))*12+MONTH(A108)-MONTH(FY_START)+1))</f>
        <v/>
      </c>
      <c r="N108" s="40" t="str">
        <f aca="false">IF(A108="","",IF(AND(A108&gt;=VP_START,A108&lt;=VP_END),1,0))</f>
        <v/>
      </c>
    </row>
    <row r="109" customFormat="false" ht="15" hidden="false" customHeight="false" outlineLevel="0" collapsed="false">
      <c r="A109" s="37"/>
      <c r="B109" s="36"/>
      <c r="C109" s="36"/>
      <c r="D109" s="36"/>
      <c r="E109" s="38"/>
      <c r="F109" s="36"/>
      <c r="G109" s="39" t="str">
        <f aca="false">IF(E109="","",IF(F109="Standard 5%",E109*VAT_RATE,0))</f>
        <v/>
      </c>
      <c r="H109" s="36"/>
      <c r="I109" s="39" t="str">
        <f aca="false">IF(E109="","",IF(AND(H109="Yes",F109="Standard 5%"),G109,0))</f>
        <v/>
      </c>
      <c r="J109" s="39" t="str">
        <f aca="false">IF(E109="","",E109+G109)</f>
        <v/>
      </c>
      <c r="K109" s="36"/>
      <c r="L109" s="36"/>
      <c r="M109" s="40" t="str">
        <f aca="false">IF(A109="","",IF(A109&lt;FY_START,0,(YEAR(A109)-YEAR(FY_START))*12+MONTH(A109)-MONTH(FY_START)+1))</f>
        <v/>
      </c>
      <c r="N109" s="40" t="str">
        <f aca="false">IF(A109="","",IF(AND(A109&gt;=VP_START,A109&lt;=VP_END),1,0))</f>
        <v/>
      </c>
    </row>
    <row r="110" customFormat="false" ht="15" hidden="false" customHeight="false" outlineLevel="0" collapsed="false">
      <c r="A110" s="37"/>
      <c r="B110" s="36"/>
      <c r="C110" s="36"/>
      <c r="D110" s="36"/>
      <c r="E110" s="38"/>
      <c r="F110" s="36"/>
      <c r="G110" s="39" t="str">
        <f aca="false">IF(E110="","",IF(F110="Standard 5%",E110*VAT_RATE,0))</f>
        <v/>
      </c>
      <c r="H110" s="36"/>
      <c r="I110" s="39" t="str">
        <f aca="false">IF(E110="","",IF(AND(H110="Yes",F110="Standard 5%"),G110,0))</f>
        <v/>
      </c>
      <c r="J110" s="39" t="str">
        <f aca="false">IF(E110="","",E110+G110)</f>
        <v/>
      </c>
      <c r="K110" s="36"/>
      <c r="L110" s="36"/>
      <c r="M110" s="40" t="str">
        <f aca="false">IF(A110="","",IF(A110&lt;FY_START,0,(YEAR(A110)-YEAR(FY_START))*12+MONTH(A110)-MONTH(FY_START)+1))</f>
        <v/>
      </c>
      <c r="N110" s="40" t="str">
        <f aca="false">IF(A110="","",IF(AND(A110&gt;=VP_START,A110&lt;=VP_END),1,0))</f>
        <v/>
      </c>
    </row>
    <row r="111" customFormat="false" ht="15" hidden="false" customHeight="false" outlineLevel="0" collapsed="false">
      <c r="A111" s="37"/>
      <c r="B111" s="36"/>
      <c r="C111" s="36"/>
      <c r="D111" s="36"/>
      <c r="E111" s="38"/>
      <c r="F111" s="36"/>
      <c r="G111" s="39" t="str">
        <f aca="false">IF(E111="","",IF(F111="Standard 5%",E111*VAT_RATE,0))</f>
        <v/>
      </c>
      <c r="H111" s="36"/>
      <c r="I111" s="39" t="str">
        <f aca="false">IF(E111="","",IF(AND(H111="Yes",F111="Standard 5%"),G111,0))</f>
        <v/>
      </c>
      <c r="J111" s="39" t="str">
        <f aca="false">IF(E111="","",E111+G111)</f>
        <v/>
      </c>
      <c r="K111" s="36"/>
      <c r="L111" s="36"/>
      <c r="M111" s="40" t="str">
        <f aca="false">IF(A111="","",IF(A111&lt;FY_START,0,(YEAR(A111)-YEAR(FY_START))*12+MONTH(A111)-MONTH(FY_START)+1))</f>
        <v/>
      </c>
      <c r="N111" s="40" t="str">
        <f aca="false">IF(A111="","",IF(AND(A111&gt;=VP_START,A111&lt;=VP_END),1,0))</f>
        <v/>
      </c>
    </row>
    <row r="112" customFormat="false" ht="15" hidden="false" customHeight="false" outlineLevel="0" collapsed="false">
      <c r="A112" s="37"/>
      <c r="B112" s="36"/>
      <c r="C112" s="36"/>
      <c r="D112" s="36"/>
      <c r="E112" s="38"/>
      <c r="F112" s="36"/>
      <c r="G112" s="39" t="str">
        <f aca="false">IF(E112="","",IF(F112="Standard 5%",E112*VAT_RATE,0))</f>
        <v/>
      </c>
      <c r="H112" s="36"/>
      <c r="I112" s="39" t="str">
        <f aca="false">IF(E112="","",IF(AND(H112="Yes",F112="Standard 5%"),G112,0))</f>
        <v/>
      </c>
      <c r="J112" s="39" t="str">
        <f aca="false">IF(E112="","",E112+G112)</f>
        <v/>
      </c>
      <c r="K112" s="36"/>
      <c r="L112" s="36"/>
      <c r="M112" s="40" t="str">
        <f aca="false">IF(A112="","",IF(A112&lt;FY_START,0,(YEAR(A112)-YEAR(FY_START))*12+MONTH(A112)-MONTH(FY_START)+1))</f>
        <v/>
      </c>
      <c r="N112" s="40" t="str">
        <f aca="false">IF(A112="","",IF(AND(A112&gt;=VP_START,A112&lt;=VP_END),1,0))</f>
        <v/>
      </c>
    </row>
    <row r="113" customFormat="false" ht="15" hidden="false" customHeight="false" outlineLevel="0" collapsed="false">
      <c r="A113" s="37"/>
      <c r="B113" s="36"/>
      <c r="C113" s="36"/>
      <c r="D113" s="36"/>
      <c r="E113" s="38"/>
      <c r="F113" s="36"/>
      <c r="G113" s="39" t="str">
        <f aca="false">IF(E113="","",IF(F113="Standard 5%",E113*VAT_RATE,0))</f>
        <v/>
      </c>
      <c r="H113" s="36"/>
      <c r="I113" s="39" t="str">
        <f aca="false">IF(E113="","",IF(AND(H113="Yes",F113="Standard 5%"),G113,0))</f>
        <v/>
      </c>
      <c r="J113" s="39" t="str">
        <f aca="false">IF(E113="","",E113+G113)</f>
        <v/>
      </c>
      <c r="K113" s="36"/>
      <c r="L113" s="36"/>
      <c r="M113" s="40" t="str">
        <f aca="false">IF(A113="","",IF(A113&lt;FY_START,0,(YEAR(A113)-YEAR(FY_START))*12+MONTH(A113)-MONTH(FY_START)+1))</f>
        <v/>
      </c>
      <c r="N113" s="40" t="str">
        <f aca="false">IF(A113="","",IF(AND(A113&gt;=VP_START,A113&lt;=VP_END),1,0))</f>
        <v/>
      </c>
    </row>
    <row r="114" customFormat="false" ht="15" hidden="false" customHeight="false" outlineLevel="0" collapsed="false">
      <c r="A114" s="37"/>
      <c r="B114" s="36"/>
      <c r="C114" s="36"/>
      <c r="D114" s="36"/>
      <c r="E114" s="38"/>
      <c r="F114" s="36"/>
      <c r="G114" s="39" t="str">
        <f aca="false">IF(E114="","",IF(F114="Standard 5%",E114*VAT_RATE,0))</f>
        <v/>
      </c>
      <c r="H114" s="36"/>
      <c r="I114" s="39" t="str">
        <f aca="false">IF(E114="","",IF(AND(H114="Yes",F114="Standard 5%"),G114,0))</f>
        <v/>
      </c>
      <c r="J114" s="39" t="str">
        <f aca="false">IF(E114="","",E114+G114)</f>
        <v/>
      </c>
      <c r="K114" s="36"/>
      <c r="L114" s="36"/>
      <c r="M114" s="40" t="str">
        <f aca="false">IF(A114="","",IF(A114&lt;FY_START,0,(YEAR(A114)-YEAR(FY_START))*12+MONTH(A114)-MONTH(FY_START)+1))</f>
        <v/>
      </c>
      <c r="N114" s="40" t="str">
        <f aca="false">IF(A114="","",IF(AND(A114&gt;=VP_START,A114&lt;=VP_END),1,0))</f>
        <v/>
      </c>
    </row>
    <row r="115" customFormat="false" ht="15" hidden="false" customHeight="false" outlineLevel="0" collapsed="false">
      <c r="A115" s="37"/>
      <c r="B115" s="36"/>
      <c r="C115" s="36"/>
      <c r="D115" s="36"/>
      <c r="E115" s="38"/>
      <c r="F115" s="36"/>
      <c r="G115" s="39" t="str">
        <f aca="false">IF(E115="","",IF(F115="Standard 5%",E115*VAT_RATE,0))</f>
        <v/>
      </c>
      <c r="H115" s="36"/>
      <c r="I115" s="39" t="str">
        <f aca="false">IF(E115="","",IF(AND(H115="Yes",F115="Standard 5%"),G115,0))</f>
        <v/>
      </c>
      <c r="J115" s="39" t="str">
        <f aca="false">IF(E115="","",E115+G115)</f>
        <v/>
      </c>
      <c r="K115" s="36"/>
      <c r="L115" s="36"/>
      <c r="M115" s="40" t="str">
        <f aca="false">IF(A115="","",IF(A115&lt;FY_START,0,(YEAR(A115)-YEAR(FY_START))*12+MONTH(A115)-MONTH(FY_START)+1))</f>
        <v/>
      </c>
      <c r="N115" s="40" t="str">
        <f aca="false">IF(A115="","",IF(AND(A115&gt;=VP_START,A115&lt;=VP_END),1,0))</f>
        <v/>
      </c>
    </row>
    <row r="116" customFormat="false" ht="15" hidden="false" customHeight="false" outlineLevel="0" collapsed="false">
      <c r="A116" s="37"/>
      <c r="B116" s="36"/>
      <c r="C116" s="36"/>
      <c r="D116" s="36"/>
      <c r="E116" s="38"/>
      <c r="F116" s="36"/>
      <c r="G116" s="39" t="str">
        <f aca="false">IF(E116="","",IF(F116="Standard 5%",E116*VAT_RATE,0))</f>
        <v/>
      </c>
      <c r="H116" s="36"/>
      <c r="I116" s="39" t="str">
        <f aca="false">IF(E116="","",IF(AND(H116="Yes",F116="Standard 5%"),G116,0))</f>
        <v/>
      </c>
      <c r="J116" s="39" t="str">
        <f aca="false">IF(E116="","",E116+G116)</f>
        <v/>
      </c>
      <c r="K116" s="36"/>
      <c r="L116" s="36"/>
      <c r="M116" s="40" t="str">
        <f aca="false">IF(A116="","",IF(A116&lt;FY_START,0,(YEAR(A116)-YEAR(FY_START))*12+MONTH(A116)-MONTH(FY_START)+1))</f>
        <v/>
      </c>
      <c r="N116" s="40" t="str">
        <f aca="false">IF(A116="","",IF(AND(A116&gt;=VP_START,A116&lt;=VP_END),1,0))</f>
        <v/>
      </c>
    </row>
    <row r="117" customFormat="false" ht="15" hidden="false" customHeight="false" outlineLevel="0" collapsed="false">
      <c r="A117" s="37"/>
      <c r="B117" s="36"/>
      <c r="C117" s="36"/>
      <c r="D117" s="36"/>
      <c r="E117" s="38"/>
      <c r="F117" s="36"/>
      <c r="G117" s="39" t="str">
        <f aca="false">IF(E117="","",IF(F117="Standard 5%",E117*VAT_RATE,0))</f>
        <v/>
      </c>
      <c r="H117" s="36"/>
      <c r="I117" s="39" t="str">
        <f aca="false">IF(E117="","",IF(AND(H117="Yes",F117="Standard 5%"),G117,0))</f>
        <v/>
      </c>
      <c r="J117" s="39" t="str">
        <f aca="false">IF(E117="","",E117+G117)</f>
        <v/>
      </c>
      <c r="K117" s="36"/>
      <c r="L117" s="36"/>
      <c r="M117" s="40" t="str">
        <f aca="false">IF(A117="","",IF(A117&lt;FY_START,0,(YEAR(A117)-YEAR(FY_START))*12+MONTH(A117)-MONTH(FY_START)+1))</f>
        <v/>
      </c>
      <c r="N117" s="40" t="str">
        <f aca="false">IF(A117="","",IF(AND(A117&gt;=VP_START,A117&lt;=VP_END),1,0))</f>
        <v/>
      </c>
    </row>
    <row r="118" customFormat="false" ht="15" hidden="false" customHeight="false" outlineLevel="0" collapsed="false">
      <c r="A118" s="37"/>
      <c r="B118" s="36"/>
      <c r="C118" s="36"/>
      <c r="D118" s="36"/>
      <c r="E118" s="38"/>
      <c r="F118" s="36"/>
      <c r="G118" s="39" t="str">
        <f aca="false">IF(E118="","",IF(F118="Standard 5%",E118*VAT_RATE,0))</f>
        <v/>
      </c>
      <c r="H118" s="36"/>
      <c r="I118" s="39" t="str">
        <f aca="false">IF(E118="","",IF(AND(H118="Yes",F118="Standard 5%"),G118,0))</f>
        <v/>
      </c>
      <c r="J118" s="39" t="str">
        <f aca="false">IF(E118="","",E118+G118)</f>
        <v/>
      </c>
      <c r="K118" s="36"/>
      <c r="L118" s="36"/>
      <c r="M118" s="40" t="str">
        <f aca="false">IF(A118="","",IF(A118&lt;FY_START,0,(YEAR(A118)-YEAR(FY_START))*12+MONTH(A118)-MONTH(FY_START)+1))</f>
        <v/>
      </c>
      <c r="N118" s="40" t="str">
        <f aca="false">IF(A118="","",IF(AND(A118&gt;=VP_START,A118&lt;=VP_END),1,0))</f>
        <v/>
      </c>
    </row>
    <row r="119" customFormat="false" ht="15" hidden="false" customHeight="false" outlineLevel="0" collapsed="false">
      <c r="A119" s="37"/>
      <c r="B119" s="36"/>
      <c r="C119" s="36"/>
      <c r="D119" s="36"/>
      <c r="E119" s="38"/>
      <c r="F119" s="36"/>
      <c r="G119" s="39" t="str">
        <f aca="false">IF(E119="","",IF(F119="Standard 5%",E119*VAT_RATE,0))</f>
        <v/>
      </c>
      <c r="H119" s="36"/>
      <c r="I119" s="39" t="str">
        <f aca="false">IF(E119="","",IF(AND(H119="Yes",F119="Standard 5%"),G119,0))</f>
        <v/>
      </c>
      <c r="J119" s="39" t="str">
        <f aca="false">IF(E119="","",E119+G119)</f>
        <v/>
      </c>
      <c r="K119" s="36"/>
      <c r="L119" s="36"/>
      <c r="M119" s="40" t="str">
        <f aca="false">IF(A119="","",IF(A119&lt;FY_START,0,(YEAR(A119)-YEAR(FY_START))*12+MONTH(A119)-MONTH(FY_START)+1))</f>
        <v/>
      </c>
      <c r="N119" s="40" t="str">
        <f aca="false">IF(A119="","",IF(AND(A119&gt;=VP_START,A119&lt;=VP_END),1,0))</f>
        <v/>
      </c>
    </row>
    <row r="120" customFormat="false" ht="15" hidden="false" customHeight="false" outlineLevel="0" collapsed="false">
      <c r="A120" s="37"/>
      <c r="B120" s="36"/>
      <c r="C120" s="36"/>
      <c r="D120" s="36"/>
      <c r="E120" s="38"/>
      <c r="F120" s="36"/>
      <c r="G120" s="39" t="str">
        <f aca="false">IF(E120="","",IF(F120="Standard 5%",E120*VAT_RATE,0))</f>
        <v/>
      </c>
      <c r="H120" s="36"/>
      <c r="I120" s="39" t="str">
        <f aca="false">IF(E120="","",IF(AND(H120="Yes",F120="Standard 5%"),G120,0))</f>
        <v/>
      </c>
      <c r="J120" s="39" t="str">
        <f aca="false">IF(E120="","",E120+G120)</f>
        <v/>
      </c>
      <c r="K120" s="36"/>
      <c r="L120" s="36"/>
      <c r="M120" s="40" t="str">
        <f aca="false">IF(A120="","",IF(A120&lt;FY_START,0,(YEAR(A120)-YEAR(FY_START))*12+MONTH(A120)-MONTH(FY_START)+1))</f>
        <v/>
      </c>
      <c r="N120" s="40" t="str">
        <f aca="false">IF(A120="","",IF(AND(A120&gt;=VP_START,A120&lt;=VP_END),1,0))</f>
        <v/>
      </c>
    </row>
    <row r="121" customFormat="false" ht="15" hidden="false" customHeight="false" outlineLevel="0" collapsed="false">
      <c r="A121" s="37"/>
      <c r="B121" s="36"/>
      <c r="C121" s="36"/>
      <c r="D121" s="36"/>
      <c r="E121" s="38"/>
      <c r="F121" s="36"/>
      <c r="G121" s="39" t="str">
        <f aca="false">IF(E121="","",IF(F121="Standard 5%",E121*VAT_RATE,0))</f>
        <v/>
      </c>
      <c r="H121" s="36"/>
      <c r="I121" s="39" t="str">
        <f aca="false">IF(E121="","",IF(AND(H121="Yes",F121="Standard 5%"),G121,0))</f>
        <v/>
      </c>
      <c r="J121" s="39" t="str">
        <f aca="false">IF(E121="","",E121+G121)</f>
        <v/>
      </c>
      <c r="K121" s="36"/>
      <c r="L121" s="36"/>
      <c r="M121" s="40" t="str">
        <f aca="false">IF(A121="","",IF(A121&lt;FY_START,0,(YEAR(A121)-YEAR(FY_START))*12+MONTH(A121)-MONTH(FY_START)+1))</f>
        <v/>
      </c>
      <c r="N121" s="40" t="str">
        <f aca="false">IF(A121="","",IF(AND(A121&gt;=VP_START,A121&lt;=VP_END),1,0))</f>
        <v/>
      </c>
    </row>
    <row r="122" customFormat="false" ht="15" hidden="false" customHeight="false" outlineLevel="0" collapsed="false">
      <c r="A122" s="37"/>
      <c r="B122" s="36"/>
      <c r="C122" s="36"/>
      <c r="D122" s="36"/>
      <c r="E122" s="38"/>
      <c r="F122" s="36"/>
      <c r="G122" s="39" t="str">
        <f aca="false">IF(E122="","",IF(F122="Standard 5%",E122*VAT_RATE,0))</f>
        <v/>
      </c>
      <c r="H122" s="36"/>
      <c r="I122" s="39" t="str">
        <f aca="false">IF(E122="","",IF(AND(H122="Yes",F122="Standard 5%"),G122,0))</f>
        <v/>
      </c>
      <c r="J122" s="39" t="str">
        <f aca="false">IF(E122="","",E122+G122)</f>
        <v/>
      </c>
      <c r="K122" s="36"/>
      <c r="L122" s="36"/>
      <c r="M122" s="40" t="str">
        <f aca="false">IF(A122="","",IF(A122&lt;FY_START,0,(YEAR(A122)-YEAR(FY_START))*12+MONTH(A122)-MONTH(FY_START)+1))</f>
        <v/>
      </c>
      <c r="N122" s="40" t="str">
        <f aca="false">IF(A122="","",IF(AND(A122&gt;=VP_START,A122&lt;=VP_END),1,0))</f>
        <v/>
      </c>
    </row>
    <row r="123" customFormat="false" ht="15" hidden="false" customHeight="false" outlineLevel="0" collapsed="false">
      <c r="A123" s="37"/>
      <c r="B123" s="36"/>
      <c r="C123" s="36"/>
      <c r="D123" s="36"/>
      <c r="E123" s="38"/>
      <c r="F123" s="36"/>
      <c r="G123" s="39" t="str">
        <f aca="false">IF(E123="","",IF(F123="Standard 5%",E123*VAT_RATE,0))</f>
        <v/>
      </c>
      <c r="H123" s="36"/>
      <c r="I123" s="39" t="str">
        <f aca="false">IF(E123="","",IF(AND(H123="Yes",F123="Standard 5%"),G123,0))</f>
        <v/>
      </c>
      <c r="J123" s="39" t="str">
        <f aca="false">IF(E123="","",E123+G123)</f>
        <v/>
      </c>
      <c r="K123" s="36"/>
      <c r="L123" s="36"/>
      <c r="M123" s="40" t="str">
        <f aca="false">IF(A123="","",IF(A123&lt;FY_START,0,(YEAR(A123)-YEAR(FY_START))*12+MONTH(A123)-MONTH(FY_START)+1))</f>
        <v/>
      </c>
      <c r="N123" s="40" t="str">
        <f aca="false">IF(A123="","",IF(AND(A123&gt;=VP_START,A123&lt;=VP_END),1,0))</f>
        <v/>
      </c>
    </row>
    <row r="124" customFormat="false" ht="15" hidden="false" customHeight="false" outlineLevel="0" collapsed="false">
      <c r="A124" s="37"/>
      <c r="B124" s="36"/>
      <c r="C124" s="36"/>
      <c r="D124" s="36"/>
      <c r="E124" s="38"/>
      <c r="F124" s="36"/>
      <c r="G124" s="39" t="str">
        <f aca="false">IF(E124="","",IF(F124="Standard 5%",E124*VAT_RATE,0))</f>
        <v/>
      </c>
      <c r="H124" s="36"/>
      <c r="I124" s="39" t="str">
        <f aca="false">IF(E124="","",IF(AND(H124="Yes",F124="Standard 5%"),G124,0))</f>
        <v/>
      </c>
      <c r="J124" s="39" t="str">
        <f aca="false">IF(E124="","",E124+G124)</f>
        <v/>
      </c>
      <c r="K124" s="36"/>
      <c r="L124" s="36"/>
      <c r="M124" s="40" t="str">
        <f aca="false">IF(A124="","",IF(A124&lt;FY_START,0,(YEAR(A124)-YEAR(FY_START))*12+MONTH(A124)-MONTH(FY_START)+1))</f>
        <v/>
      </c>
      <c r="N124" s="40" t="str">
        <f aca="false">IF(A124="","",IF(AND(A124&gt;=VP_START,A124&lt;=VP_END),1,0))</f>
        <v/>
      </c>
    </row>
    <row r="125" customFormat="false" ht="15" hidden="false" customHeight="false" outlineLevel="0" collapsed="false">
      <c r="A125" s="37"/>
      <c r="B125" s="36"/>
      <c r="C125" s="36"/>
      <c r="D125" s="36"/>
      <c r="E125" s="38"/>
      <c r="F125" s="36"/>
      <c r="G125" s="39" t="str">
        <f aca="false">IF(E125="","",IF(F125="Standard 5%",E125*VAT_RATE,0))</f>
        <v/>
      </c>
      <c r="H125" s="36"/>
      <c r="I125" s="39" t="str">
        <f aca="false">IF(E125="","",IF(AND(H125="Yes",F125="Standard 5%"),G125,0))</f>
        <v/>
      </c>
      <c r="J125" s="39" t="str">
        <f aca="false">IF(E125="","",E125+G125)</f>
        <v/>
      </c>
      <c r="K125" s="36"/>
      <c r="L125" s="36"/>
      <c r="M125" s="40" t="str">
        <f aca="false">IF(A125="","",IF(A125&lt;FY_START,0,(YEAR(A125)-YEAR(FY_START))*12+MONTH(A125)-MONTH(FY_START)+1))</f>
        <v/>
      </c>
      <c r="N125" s="40" t="str">
        <f aca="false">IF(A125="","",IF(AND(A125&gt;=VP_START,A125&lt;=VP_END),1,0))</f>
        <v/>
      </c>
    </row>
    <row r="126" customFormat="false" ht="15" hidden="false" customHeight="false" outlineLevel="0" collapsed="false">
      <c r="A126" s="37"/>
      <c r="B126" s="36"/>
      <c r="C126" s="36"/>
      <c r="D126" s="36"/>
      <c r="E126" s="38"/>
      <c r="F126" s="36"/>
      <c r="G126" s="39" t="str">
        <f aca="false">IF(E126="","",IF(F126="Standard 5%",E126*VAT_RATE,0))</f>
        <v/>
      </c>
      <c r="H126" s="36"/>
      <c r="I126" s="39" t="str">
        <f aca="false">IF(E126="","",IF(AND(H126="Yes",F126="Standard 5%"),G126,0))</f>
        <v/>
      </c>
      <c r="J126" s="39" t="str">
        <f aca="false">IF(E126="","",E126+G126)</f>
        <v/>
      </c>
      <c r="K126" s="36"/>
      <c r="L126" s="36"/>
      <c r="M126" s="40" t="str">
        <f aca="false">IF(A126="","",IF(A126&lt;FY_START,0,(YEAR(A126)-YEAR(FY_START))*12+MONTH(A126)-MONTH(FY_START)+1))</f>
        <v/>
      </c>
      <c r="N126" s="40" t="str">
        <f aca="false">IF(A126="","",IF(AND(A126&gt;=VP_START,A126&lt;=VP_END),1,0))</f>
        <v/>
      </c>
    </row>
    <row r="127" customFormat="false" ht="15" hidden="false" customHeight="false" outlineLevel="0" collapsed="false">
      <c r="A127" s="37"/>
      <c r="B127" s="36"/>
      <c r="C127" s="36"/>
      <c r="D127" s="36"/>
      <c r="E127" s="38"/>
      <c r="F127" s="36"/>
      <c r="G127" s="39" t="str">
        <f aca="false">IF(E127="","",IF(F127="Standard 5%",E127*VAT_RATE,0))</f>
        <v/>
      </c>
      <c r="H127" s="36"/>
      <c r="I127" s="39" t="str">
        <f aca="false">IF(E127="","",IF(AND(H127="Yes",F127="Standard 5%"),G127,0))</f>
        <v/>
      </c>
      <c r="J127" s="39" t="str">
        <f aca="false">IF(E127="","",E127+G127)</f>
        <v/>
      </c>
      <c r="K127" s="36"/>
      <c r="L127" s="36"/>
      <c r="M127" s="40" t="str">
        <f aca="false">IF(A127="","",IF(A127&lt;FY_START,0,(YEAR(A127)-YEAR(FY_START))*12+MONTH(A127)-MONTH(FY_START)+1))</f>
        <v/>
      </c>
      <c r="N127" s="40" t="str">
        <f aca="false">IF(A127="","",IF(AND(A127&gt;=VP_START,A127&lt;=VP_END),1,0))</f>
        <v/>
      </c>
    </row>
    <row r="128" customFormat="false" ht="15" hidden="false" customHeight="false" outlineLevel="0" collapsed="false">
      <c r="A128" s="37"/>
      <c r="B128" s="36"/>
      <c r="C128" s="36"/>
      <c r="D128" s="36"/>
      <c r="E128" s="38"/>
      <c r="F128" s="36"/>
      <c r="G128" s="39" t="str">
        <f aca="false">IF(E128="","",IF(F128="Standard 5%",E128*VAT_RATE,0))</f>
        <v/>
      </c>
      <c r="H128" s="36"/>
      <c r="I128" s="39" t="str">
        <f aca="false">IF(E128="","",IF(AND(H128="Yes",F128="Standard 5%"),G128,0))</f>
        <v/>
      </c>
      <c r="J128" s="39" t="str">
        <f aca="false">IF(E128="","",E128+G128)</f>
        <v/>
      </c>
      <c r="K128" s="36"/>
      <c r="L128" s="36"/>
      <c r="M128" s="40" t="str">
        <f aca="false">IF(A128="","",IF(A128&lt;FY_START,0,(YEAR(A128)-YEAR(FY_START))*12+MONTH(A128)-MONTH(FY_START)+1))</f>
        <v/>
      </c>
      <c r="N128" s="40" t="str">
        <f aca="false">IF(A128="","",IF(AND(A128&gt;=VP_START,A128&lt;=VP_END),1,0))</f>
        <v/>
      </c>
    </row>
    <row r="129" customFormat="false" ht="15" hidden="false" customHeight="false" outlineLevel="0" collapsed="false">
      <c r="A129" s="37"/>
      <c r="B129" s="36"/>
      <c r="C129" s="36"/>
      <c r="D129" s="36"/>
      <c r="E129" s="38"/>
      <c r="F129" s="36"/>
      <c r="G129" s="39" t="str">
        <f aca="false">IF(E129="","",IF(F129="Standard 5%",E129*VAT_RATE,0))</f>
        <v/>
      </c>
      <c r="H129" s="36"/>
      <c r="I129" s="39" t="str">
        <f aca="false">IF(E129="","",IF(AND(H129="Yes",F129="Standard 5%"),G129,0))</f>
        <v/>
      </c>
      <c r="J129" s="39" t="str">
        <f aca="false">IF(E129="","",E129+G129)</f>
        <v/>
      </c>
      <c r="K129" s="36"/>
      <c r="L129" s="36"/>
      <c r="M129" s="40" t="str">
        <f aca="false">IF(A129="","",IF(A129&lt;FY_START,0,(YEAR(A129)-YEAR(FY_START))*12+MONTH(A129)-MONTH(FY_START)+1))</f>
        <v/>
      </c>
      <c r="N129" s="40" t="str">
        <f aca="false">IF(A129="","",IF(AND(A129&gt;=VP_START,A129&lt;=VP_END),1,0))</f>
        <v/>
      </c>
    </row>
    <row r="130" customFormat="false" ht="15" hidden="false" customHeight="false" outlineLevel="0" collapsed="false">
      <c r="A130" s="37"/>
      <c r="B130" s="36"/>
      <c r="C130" s="36"/>
      <c r="D130" s="36"/>
      <c r="E130" s="38"/>
      <c r="F130" s="36"/>
      <c r="G130" s="39" t="str">
        <f aca="false">IF(E130="","",IF(F130="Standard 5%",E130*VAT_RATE,0))</f>
        <v/>
      </c>
      <c r="H130" s="36"/>
      <c r="I130" s="39" t="str">
        <f aca="false">IF(E130="","",IF(AND(H130="Yes",F130="Standard 5%"),G130,0))</f>
        <v/>
      </c>
      <c r="J130" s="39" t="str">
        <f aca="false">IF(E130="","",E130+G130)</f>
        <v/>
      </c>
      <c r="K130" s="36"/>
      <c r="L130" s="36"/>
      <c r="M130" s="40" t="str">
        <f aca="false">IF(A130="","",IF(A130&lt;FY_START,0,(YEAR(A130)-YEAR(FY_START))*12+MONTH(A130)-MONTH(FY_START)+1))</f>
        <v/>
      </c>
      <c r="N130" s="40" t="str">
        <f aca="false">IF(A130="","",IF(AND(A130&gt;=VP_START,A130&lt;=VP_END),1,0))</f>
        <v/>
      </c>
    </row>
    <row r="131" customFormat="false" ht="15" hidden="false" customHeight="false" outlineLevel="0" collapsed="false">
      <c r="A131" s="37"/>
      <c r="B131" s="36"/>
      <c r="C131" s="36"/>
      <c r="D131" s="36"/>
      <c r="E131" s="38"/>
      <c r="F131" s="36"/>
      <c r="G131" s="39" t="str">
        <f aca="false">IF(E131="","",IF(F131="Standard 5%",E131*VAT_RATE,0))</f>
        <v/>
      </c>
      <c r="H131" s="36"/>
      <c r="I131" s="39" t="str">
        <f aca="false">IF(E131="","",IF(AND(H131="Yes",F131="Standard 5%"),G131,0))</f>
        <v/>
      </c>
      <c r="J131" s="39" t="str">
        <f aca="false">IF(E131="","",E131+G131)</f>
        <v/>
      </c>
      <c r="K131" s="36"/>
      <c r="L131" s="36"/>
      <c r="M131" s="40" t="str">
        <f aca="false">IF(A131="","",IF(A131&lt;FY_START,0,(YEAR(A131)-YEAR(FY_START))*12+MONTH(A131)-MONTH(FY_START)+1))</f>
        <v/>
      </c>
      <c r="N131" s="40" t="str">
        <f aca="false">IF(A131="","",IF(AND(A131&gt;=VP_START,A131&lt;=VP_END),1,0))</f>
        <v/>
      </c>
    </row>
    <row r="132" customFormat="false" ht="15" hidden="false" customHeight="false" outlineLevel="0" collapsed="false">
      <c r="A132" s="37"/>
      <c r="B132" s="36"/>
      <c r="C132" s="36"/>
      <c r="D132" s="36"/>
      <c r="E132" s="38"/>
      <c r="F132" s="36"/>
      <c r="G132" s="39" t="str">
        <f aca="false">IF(E132="","",IF(F132="Standard 5%",E132*VAT_RATE,0))</f>
        <v/>
      </c>
      <c r="H132" s="36"/>
      <c r="I132" s="39" t="str">
        <f aca="false">IF(E132="","",IF(AND(H132="Yes",F132="Standard 5%"),G132,0))</f>
        <v/>
      </c>
      <c r="J132" s="39" t="str">
        <f aca="false">IF(E132="","",E132+G132)</f>
        <v/>
      </c>
      <c r="K132" s="36"/>
      <c r="L132" s="36"/>
      <c r="M132" s="40" t="str">
        <f aca="false">IF(A132="","",IF(A132&lt;FY_START,0,(YEAR(A132)-YEAR(FY_START))*12+MONTH(A132)-MONTH(FY_START)+1))</f>
        <v/>
      </c>
      <c r="N132" s="40" t="str">
        <f aca="false">IF(A132="","",IF(AND(A132&gt;=VP_START,A132&lt;=VP_END),1,0))</f>
        <v/>
      </c>
    </row>
    <row r="133" customFormat="false" ht="15" hidden="false" customHeight="false" outlineLevel="0" collapsed="false">
      <c r="A133" s="37"/>
      <c r="B133" s="36"/>
      <c r="C133" s="36"/>
      <c r="D133" s="36"/>
      <c r="E133" s="38"/>
      <c r="F133" s="36"/>
      <c r="G133" s="39" t="str">
        <f aca="false">IF(E133="","",IF(F133="Standard 5%",E133*VAT_RATE,0))</f>
        <v/>
      </c>
      <c r="H133" s="36"/>
      <c r="I133" s="39" t="str">
        <f aca="false">IF(E133="","",IF(AND(H133="Yes",F133="Standard 5%"),G133,0))</f>
        <v/>
      </c>
      <c r="J133" s="39" t="str">
        <f aca="false">IF(E133="","",E133+G133)</f>
        <v/>
      </c>
      <c r="K133" s="36"/>
      <c r="L133" s="36"/>
      <c r="M133" s="40" t="str">
        <f aca="false">IF(A133="","",IF(A133&lt;FY_START,0,(YEAR(A133)-YEAR(FY_START))*12+MONTH(A133)-MONTH(FY_START)+1))</f>
        <v/>
      </c>
      <c r="N133" s="40" t="str">
        <f aca="false">IF(A133="","",IF(AND(A133&gt;=VP_START,A133&lt;=VP_END),1,0))</f>
        <v/>
      </c>
    </row>
    <row r="134" customFormat="false" ht="15" hidden="false" customHeight="false" outlineLevel="0" collapsed="false">
      <c r="A134" s="37"/>
      <c r="B134" s="36"/>
      <c r="C134" s="36"/>
      <c r="D134" s="36"/>
      <c r="E134" s="38"/>
      <c r="F134" s="36"/>
      <c r="G134" s="39" t="str">
        <f aca="false">IF(E134="","",IF(F134="Standard 5%",E134*VAT_RATE,0))</f>
        <v/>
      </c>
      <c r="H134" s="36"/>
      <c r="I134" s="39" t="str">
        <f aca="false">IF(E134="","",IF(AND(H134="Yes",F134="Standard 5%"),G134,0))</f>
        <v/>
      </c>
      <c r="J134" s="39" t="str">
        <f aca="false">IF(E134="","",E134+G134)</f>
        <v/>
      </c>
      <c r="K134" s="36"/>
      <c r="L134" s="36"/>
      <c r="M134" s="40" t="str">
        <f aca="false">IF(A134="","",IF(A134&lt;FY_START,0,(YEAR(A134)-YEAR(FY_START))*12+MONTH(A134)-MONTH(FY_START)+1))</f>
        <v/>
      </c>
      <c r="N134" s="40" t="str">
        <f aca="false">IF(A134="","",IF(AND(A134&gt;=VP_START,A134&lt;=VP_END),1,0))</f>
        <v/>
      </c>
    </row>
    <row r="135" customFormat="false" ht="15" hidden="false" customHeight="false" outlineLevel="0" collapsed="false">
      <c r="A135" s="37"/>
      <c r="B135" s="36"/>
      <c r="C135" s="36"/>
      <c r="D135" s="36"/>
      <c r="E135" s="38"/>
      <c r="F135" s="36"/>
      <c r="G135" s="39" t="str">
        <f aca="false">IF(E135="","",IF(F135="Standard 5%",E135*VAT_RATE,0))</f>
        <v/>
      </c>
      <c r="H135" s="36"/>
      <c r="I135" s="39" t="str">
        <f aca="false">IF(E135="","",IF(AND(H135="Yes",F135="Standard 5%"),G135,0))</f>
        <v/>
      </c>
      <c r="J135" s="39" t="str">
        <f aca="false">IF(E135="","",E135+G135)</f>
        <v/>
      </c>
      <c r="K135" s="36"/>
      <c r="L135" s="36"/>
      <c r="M135" s="40" t="str">
        <f aca="false">IF(A135="","",IF(A135&lt;FY_START,0,(YEAR(A135)-YEAR(FY_START))*12+MONTH(A135)-MONTH(FY_START)+1))</f>
        <v/>
      </c>
      <c r="N135" s="40" t="str">
        <f aca="false">IF(A135="","",IF(AND(A135&gt;=VP_START,A135&lt;=VP_END),1,0))</f>
        <v/>
      </c>
    </row>
    <row r="136" customFormat="false" ht="15" hidden="false" customHeight="false" outlineLevel="0" collapsed="false">
      <c r="A136" s="37"/>
      <c r="B136" s="36"/>
      <c r="C136" s="36"/>
      <c r="D136" s="36"/>
      <c r="E136" s="38"/>
      <c r="F136" s="36"/>
      <c r="G136" s="39" t="str">
        <f aca="false">IF(E136="","",IF(F136="Standard 5%",E136*VAT_RATE,0))</f>
        <v/>
      </c>
      <c r="H136" s="36"/>
      <c r="I136" s="39" t="str">
        <f aca="false">IF(E136="","",IF(AND(H136="Yes",F136="Standard 5%"),G136,0))</f>
        <v/>
      </c>
      <c r="J136" s="39" t="str">
        <f aca="false">IF(E136="","",E136+G136)</f>
        <v/>
      </c>
      <c r="K136" s="36"/>
      <c r="L136" s="36"/>
      <c r="M136" s="40" t="str">
        <f aca="false">IF(A136="","",IF(A136&lt;FY_START,0,(YEAR(A136)-YEAR(FY_START))*12+MONTH(A136)-MONTH(FY_START)+1))</f>
        <v/>
      </c>
      <c r="N136" s="40" t="str">
        <f aca="false">IF(A136="","",IF(AND(A136&gt;=VP_START,A136&lt;=VP_END),1,0))</f>
        <v/>
      </c>
    </row>
    <row r="137" customFormat="false" ht="15" hidden="false" customHeight="false" outlineLevel="0" collapsed="false">
      <c r="A137" s="37"/>
      <c r="B137" s="36"/>
      <c r="C137" s="36"/>
      <c r="D137" s="36"/>
      <c r="E137" s="38"/>
      <c r="F137" s="36"/>
      <c r="G137" s="39" t="str">
        <f aca="false">IF(E137="","",IF(F137="Standard 5%",E137*VAT_RATE,0))</f>
        <v/>
      </c>
      <c r="H137" s="36"/>
      <c r="I137" s="39" t="str">
        <f aca="false">IF(E137="","",IF(AND(H137="Yes",F137="Standard 5%"),G137,0))</f>
        <v/>
      </c>
      <c r="J137" s="39" t="str">
        <f aca="false">IF(E137="","",E137+G137)</f>
        <v/>
      </c>
      <c r="K137" s="36"/>
      <c r="L137" s="36"/>
      <c r="M137" s="40" t="str">
        <f aca="false">IF(A137="","",IF(A137&lt;FY_START,0,(YEAR(A137)-YEAR(FY_START))*12+MONTH(A137)-MONTH(FY_START)+1))</f>
        <v/>
      </c>
      <c r="N137" s="40" t="str">
        <f aca="false">IF(A137="","",IF(AND(A137&gt;=VP_START,A137&lt;=VP_END),1,0))</f>
        <v/>
      </c>
    </row>
    <row r="138" customFormat="false" ht="15" hidden="false" customHeight="false" outlineLevel="0" collapsed="false">
      <c r="A138" s="37"/>
      <c r="B138" s="36"/>
      <c r="C138" s="36"/>
      <c r="D138" s="36"/>
      <c r="E138" s="38"/>
      <c r="F138" s="36"/>
      <c r="G138" s="39" t="str">
        <f aca="false">IF(E138="","",IF(F138="Standard 5%",E138*VAT_RATE,0))</f>
        <v/>
      </c>
      <c r="H138" s="36"/>
      <c r="I138" s="39" t="str">
        <f aca="false">IF(E138="","",IF(AND(H138="Yes",F138="Standard 5%"),G138,0))</f>
        <v/>
      </c>
      <c r="J138" s="39" t="str">
        <f aca="false">IF(E138="","",E138+G138)</f>
        <v/>
      </c>
      <c r="K138" s="36"/>
      <c r="L138" s="36"/>
      <c r="M138" s="40" t="str">
        <f aca="false">IF(A138="","",IF(A138&lt;FY_START,0,(YEAR(A138)-YEAR(FY_START))*12+MONTH(A138)-MONTH(FY_START)+1))</f>
        <v/>
      </c>
      <c r="N138" s="40" t="str">
        <f aca="false">IF(A138="","",IF(AND(A138&gt;=VP_START,A138&lt;=VP_END),1,0))</f>
        <v/>
      </c>
    </row>
    <row r="139" customFormat="false" ht="15" hidden="false" customHeight="false" outlineLevel="0" collapsed="false">
      <c r="A139" s="37"/>
      <c r="B139" s="36"/>
      <c r="C139" s="36"/>
      <c r="D139" s="36"/>
      <c r="E139" s="38"/>
      <c r="F139" s="36"/>
      <c r="G139" s="39" t="str">
        <f aca="false">IF(E139="","",IF(F139="Standard 5%",E139*VAT_RATE,0))</f>
        <v/>
      </c>
      <c r="H139" s="36"/>
      <c r="I139" s="39" t="str">
        <f aca="false">IF(E139="","",IF(AND(H139="Yes",F139="Standard 5%"),G139,0))</f>
        <v/>
      </c>
      <c r="J139" s="39" t="str">
        <f aca="false">IF(E139="","",E139+G139)</f>
        <v/>
      </c>
      <c r="K139" s="36"/>
      <c r="L139" s="36"/>
      <c r="M139" s="40" t="str">
        <f aca="false">IF(A139="","",IF(A139&lt;FY_START,0,(YEAR(A139)-YEAR(FY_START))*12+MONTH(A139)-MONTH(FY_START)+1))</f>
        <v/>
      </c>
      <c r="N139" s="40" t="str">
        <f aca="false">IF(A139="","",IF(AND(A139&gt;=VP_START,A139&lt;=VP_END),1,0))</f>
        <v/>
      </c>
    </row>
    <row r="140" customFormat="false" ht="15" hidden="false" customHeight="false" outlineLevel="0" collapsed="false">
      <c r="A140" s="37"/>
      <c r="B140" s="36"/>
      <c r="C140" s="36"/>
      <c r="D140" s="36"/>
      <c r="E140" s="38"/>
      <c r="F140" s="36"/>
      <c r="G140" s="39" t="str">
        <f aca="false">IF(E140="","",IF(F140="Standard 5%",E140*VAT_RATE,0))</f>
        <v/>
      </c>
      <c r="H140" s="36"/>
      <c r="I140" s="39" t="str">
        <f aca="false">IF(E140="","",IF(AND(H140="Yes",F140="Standard 5%"),G140,0))</f>
        <v/>
      </c>
      <c r="J140" s="39" t="str">
        <f aca="false">IF(E140="","",E140+G140)</f>
        <v/>
      </c>
      <c r="K140" s="36"/>
      <c r="L140" s="36"/>
      <c r="M140" s="40" t="str">
        <f aca="false">IF(A140="","",IF(A140&lt;FY_START,0,(YEAR(A140)-YEAR(FY_START))*12+MONTH(A140)-MONTH(FY_START)+1))</f>
        <v/>
      </c>
      <c r="N140" s="40" t="str">
        <f aca="false">IF(A140="","",IF(AND(A140&gt;=VP_START,A140&lt;=VP_END),1,0))</f>
        <v/>
      </c>
    </row>
    <row r="141" customFormat="false" ht="15" hidden="false" customHeight="false" outlineLevel="0" collapsed="false">
      <c r="A141" s="37"/>
      <c r="B141" s="36"/>
      <c r="C141" s="36"/>
      <c r="D141" s="36"/>
      <c r="E141" s="38"/>
      <c r="F141" s="36"/>
      <c r="G141" s="39" t="str">
        <f aca="false">IF(E141="","",IF(F141="Standard 5%",E141*VAT_RATE,0))</f>
        <v/>
      </c>
      <c r="H141" s="36"/>
      <c r="I141" s="39" t="str">
        <f aca="false">IF(E141="","",IF(AND(H141="Yes",F141="Standard 5%"),G141,0))</f>
        <v/>
      </c>
      <c r="J141" s="39" t="str">
        <f aca="false">IF(E141="","",E141+G141)</f>
        <v/>
      </c>
      <c r="K141" s="36"/>
      <c r="L141" s="36"/>
      <c r="M141" s="40" t="str">
        <f aca="false">IF(A141="","",IF(A141&lt;FY_START,0,(YEAR(A141)-YEAR(FY_START))*12+MONTH(A141)-MONTH(FY_START)+1))</f>
        <v/>
      </c>
      <c r="N141" s="40" t="str">
        <f aca="false">IF(A141="","",IF(AND(A141&gt;=VP_START,A141&lt;=VP_END),1,0))</f>
        <v/>
      </c>
    </row>
    <row r="142" customFormat="false" ht="15" hidden="false" customHeight="false" outlineLevel="0" collapsed="false">
      <c r="A142" s="37"/>
      <c r="B142" s="36"/>
      <c r="C142" s="36"/>
      <c r="D142" s="36"/>
      <c r="E142" s="38"/>
      <c r="F142" s="36"/>
      <c r="G142" s="39" t="str">
        <f aca="false">IF(E142="","",IF(F142="Standard 5%",E142*VAT_RATE,0))</f>
        <v/>
      </c>
      <c r="H142" s="36"/>
      <c r="I142" s="39" t="str">
        <f aca="false">IF(E142="","",IF(AND(H142="Yes",F142="Standard 5%"),G142,0))</f>
        <v/>
      </c>
      <c r="J142" s="39" t="str">
        <f aca="false">IF(E142="","",E142+G142)</f>
        <v/>
      </c>
      <c r="K142" s="36"/>
      <c r="L142" s="36"/>
      <c r="M142" s="40" t="str">
        <f aca="false">IF(A142="","",IF(A142&lt;FY_START,0,(YEAR(A142)-YEAR(FY_START))*12+MONTH(A142)-MONTH(FY_START)+1))</f>
        <v/>
      </c>
      <c r="N142" s="40" t="str">
        <f aca="false">IF(A142="","",IF(AND(A142&gt;=VP_START,A142&lt;=VP_END),1,0))</f>
        <v/>
      </c>
    </row>
    <row r="143" customFormat="false" ht="15" hidden="false" customHeight="false" outlineLevel="0" collapsed="false">
      <c r="A143" s="37"/>
      <c r="B143" s="36"/>
      <c r="C143" s="36"/>
      <c r="D143" s="36"/>
      <c r="E143" s="38"/>
      <c r="F143" s="36"/>
      <c r="G143" s="39" t="str">
        <f aca="false">IF(E143="","",IF(F143="Standard 5%",E143*VAT_RATE,0))</f>
        <v/>
      </c>
      <c r="H143" s="36"/>
      <c r="I143" s="39" t="str">
        <f aca="false">IF(E143="","",IF(AND(H143="Yes",F143="Standard 5%"),G143,0))</f>
        <v/>
      </c>
      <c r="J143" s="39" t="str">
        <f aca="false">IF(E143="","",E143+G143)</f>
        <v/>
      </c>
      <c r="K143" s="36"/>
      <c r="L143" s="36"/>
      <c r="M143" s="40" t="str">
        <f aca="false">IF(A143="","",IF(A143&lt;FY_START,0,(YEAR(A143)-YEAR(FY_START))*12+MONTH(A143)-MONTH(FY_START)+1))</f>
        <v/>
      </c>
      <c r="N143" s="40" t="str">
        <f aca="false">IF(A143="","",IF(AND(A143&gt;=VP_START,A143&lt;=VP_END),1,0))</f>
        <v/>
      </c>
    </row>
    <row r="144" customFormat="false" ht="15" hidden="false" customHeight="false" outlineLevel="0" collapsed="false">
      <c r="A144" s="37"/>
      <c r="B144" s="36"/>
      <c r="C144" s="36"/>
      <c r="D144" s="36"/>
      <c r="E144" s="38"/>
      <c r="F144" s="36"/>
      <c r="G144" s="39" t="str">
        <f aca="false">IF(E144="","",IF(F144="Standard 5%",E144*VAT_RATE,0))</f>
        <v/>
      </c>
      <c r="H144" s="36"/>
      <c r="I144" s="39" t="str">
        <f aca="false">IF(E144="","",IF(AND(H144="Yes",F144="Standard 5%"),G144,0))</f>
        <v/>
      </c>
      <c r="J144" s="39" t="str">
        <f aca="false">IF(E144="","",E144+G144)</f>
        <v/>
      </c>
      <c r="K144" s="36"/>
      <c r="L144" s="36"/>
      <c r="M144" s="40" t="str">
        <f aca="false">IF(A144="","",IF(A144&lt;FY_START,0,(YEAR(A144)-YEAR(FY_START))*12+MONTH(A144)-MONTH(FY_START)+1))</f>
        <v/>
      </c>
      <c r="N144" s="40" t="str">
        <f aca="false">IF(A144="","",IF(AND(A144&gt;=VP_START,A144&lt;=VP_END),1,0))</f>
        <v/>
      </c>
    </row>
    <row r="145" customFormat="false" ht="15" hidden="false" customHeight="false" outlineLevel="0" collapsed="false">
      <c r="A145" s="37"/>
      <c r="B145" s="36"/>
      <c r="C145" s="36"/>
      <c r="D145" s="36"/>
      <c r="E145" s="38"/>
      <c r="F145" s="36"/>
      <c r="G145" s="39" t="str">
        <f aca="false">IF(E145="","",IF(F145="Standard 5%",E145*VAT_RATE,0))</f>
        <v/>
      </c>
      <c r="H145" s="36"/>
      <c r="I145" s="39" t="str">
        <f aca="false">IF(E145="","",IF(AND(H145="Yes",F145="Standard 5%"),G145,0))</f>
        <v/>
      </c>
      <c r="J145" s="39" t="str">
        <f aca="false">IF(E145="","",E145+G145)</f>
        <v/>
      </c>
      <c r="K145" s="36"/>
      <c r="L145" s="36"/>
      <c r="M145" s="40" t="str">
        <f aca="false">IF(A145="","",IF(A145&lt;FY_START,0,(YEAR(A145)-YEAR(FY_START))*12+MONTH(A145)-MONTH(FY_START)+1))</f>
        <v/>
      </c>
      <c r="N145" s="40" t="str">
        <f aca="false">IF(A145="","",IF(AND(A145&gt;=VP_START,A145&lt;=VP_END),1,0))</f>
        <v/>
      </c>
    </row>
    <row r="146" customFormat="false" ht="15" hidden="false" customHeight="false" outlineLevel="0" collapsed="false">
      <c r="A146" s="37"/>
      <c r="B146" s="36"/>
      <c r="C146" s="36"/>
      <c r="D146" s="36"/>
      <c r="E146" s="38"/>
      <c r="F146" s="36"/>
      <c r="G146" s="39" t="str">
        <f aca="false">IF(E146="","",IF(F146="Standard 5%",E146*VAT_RATE,0))</f>
        <v/>
      </c>
      <c r="H146" s="36"/>
      <c r="I146" s="39" t="str">
        <f aca="false">IF(E146="","",IF(AND(H146="Yes",F146="Standard 5%"),G146,0))</f>
        <v/>
      </c>
      <c r="J146" s="39" t="str">
        <f aca="false">IF(E146="","",E146+G146)</f>
        <v/>
      </c>
      <c r="K146" s="36"/>
      <c r="L146" s="36"/>
      <c r="M146" s="40" t="str">
        <f aca="false">IF(A146="","",IF(A146&lt;FY_START,0,(YEAR(A146)-YEAR(FY_START))*12+MONTH(A146)-MONTH(FY_START)+1))</f>
        <v/>
      </c>
      <c r="N146" s="40" t="str">
        <f aca="false">IF(A146="","",IF(AND(A146&gt;=VP_START,A146&lt;=VP_END),1,0))</f>
        <v/>
      </c>
    </row>
    <row r="147" customFormat="false" ht="15" hidden="false" customHeight="false" outlineLevel="0" collapsed="false">
      <c r="A147" s="37"/>
      <c r="B147" s="36"/>
      <c r="C147" s="36"/>
      <c r="D147" s="36"/>
      <c r="E147" s="38"/>
      <c r="F147" s="36"/>
      <c r="G147" s="39" t="str">
        <f aca="false">IF(E147="","",IF(F147="Standard 5%",E147*VAT_RATE,0))</f>
        <v/>
      </c>
      <c r="H147" s="36"/>
      <c r="I147" s="39" t="str">
        <f aca="false">IF(E147="","",IF(AND(H147="Yes",F147="Standard 5%"),G147,0))</f>
        <v/>
      </c>
      <c r="J147" s="39" t="str">
        <f aca="false">IF(E147="","",E147+G147)</f>
        <v/>
      </c>
      <c r="K147" s="36"/>
      <c r="L147" s="36"/>
      <c r="M147" s="40" t="str">
        <f aca="false">IF(A147="","",IF(A147&lt;FY_START,0,(YEAR(A147)-YEAR(FY_START))*12+MONTH(A147)-MONTH(FY_START)+1))</f>
        <v/>
      </c>
      <c r="N147" s="40" t="str">
        <f aca="false">IF(A147="","",IF(AND(A147&gt;=VP_START,A147&lt;=VP_END),1,0))</f>
        <v/>
      </c>
    </row>
    <row r="148" customFormat="false" ht="15" hidden="false" customHeight="false" outlineLevel="0" collapsed="false">
      <c r="A148" s="37"/>
      <c r="B148" s="36"/>
      <c r="C148" s="36"/>
      <c r="D148" s="36"/>
      <c r="E148" s="38"/>
      <c r="F148" s="36"/>
      <c r="G148" s="39" t="str">
        <f aca="false">IF(E148="","",IF(F148="Standard 5%",E148*VAT_RATE,0))</f>
        <v/>
      </c>
      <c r="H148" s="36"/>
      <c r="I148" s="39" t="str">
        <f aca="false">IF(E148="","",IF(AND(H148="Yes",F148="Standard 5%"),G148,0))</f>
        <v/>
      </c>
      <c r="J148" s="39" t="str">
        <f aca="false">IF(E148="","",E148+G148)</f>
        <v/>
      </c>
      <c r="K148" s="36"/>
      <c r="L148" s="36"/>
      <c r="M148" s="40" t="str">
        <f aca="false">IF(A148="","",IF(A148&lt;FY_START,0,(YEAR(A148)-YEAR(FY_START))*12+MONTH(A148)-MONTH(FY_START)+1))</f>
        <v/>
      </c>
      <c r="N148" s="40" t="str">
        <f aca="false">IF(A148="","",IF(AND(A148&gt;=VP_START,A148&lt;=VP_END),1,0))</f>
        <v/>
      </c>
    </row>
    <row r="149" customFormat="false" ht="15" hidden="false" customHeight="false" outlineLevel="0" collapsed="false">
      <c r="A149" s="37"/>
      <c r="B149" s="36"/>
      <c r="C149" s="36"/>
      <c r="D149" s="36"/>
      <c r="E149" s="38"/>
      <c r="F149" s="36"/>
      <c r="G149" s="39" t="str">
        <f aca="false">IF(E149="","",IF(F149="Standard 5%",E149*VAT_RATE,0))</f>
        <v/>
      </c>
      <c r="H149" s="36"/>
      <c r="I149" s="39" t="str">
        <f aca="false">IF(E149="","",IF(AND(H149="Yes",F149="Standard 5%"),G149,0))</f>
        <v/>
      </c>
      <c r="J149" s="39" t="str">
        <f aca="false">IF(E149="","",E149+G149)</f>
        <v/>
      </c>
      <c r="K149" s="36"/>
      <c r="L149" s="36"/>
      <c r="M149" s="40" t="str">
        <f aca="false">IF(A149="","",IF(A149&lt;FY_START,0,(YEAR(A149)-YEAR(FY_START))*12+MONTH(A149)-MONTH(FY_START)+1))</f>
        <v/>
      </c>
      <c r="N149" s="40" t="str">
        <f aca="false">IF(A149="","",IF(AND(A149&gt;=VP_START,A149&lt;=VP_END),1,0))</f>
        <v/>
      </c>
    </row>
    <row r="150" customFormat="false" ht="15" hidden="false" customHeight="false" outlineLevel="0" collapsed="false">
      <c r="A150" s="37"/>
      <c r="B150" s="36"/>
      <c r="C150" s="36"/>
      <c r="D150" s="36"/>
      <c r="E150" s="38"/>
      <c r="F150" s="36"/>
      <c r="G150" s="39" t="str">
        <f aca="false">IF(E150="","",IF(F150="Standard 5%",E150*VAT_RATE,0))</f>
        <v/>
      </c>
      <c r="H150" s="36"/>
      <c r="I150" s="39" t="str">
        <f aca="false">IF(E150="","",IF(AND(H150="Yes",F150="Standard 5%"),G150,0))</f>
        <v/>
      </c>
      <c r="J150" s="39" t="str">
        <f aca="false">IF(E150="","",E150+G150)</f>
        <v/>
      </c>
      <c r="K150" s="36"/>
      <c r="L150" s="36"/>
      <c r="M150" s="40" t="str">
        <f aca="false">IF(A150="","",IF(A150&lt;FY_START,0,(YEAR(A150)-YEAR(FY_START))*12+MONTH(A150)-MONTH(FY_START)+1))</f>
        <v/>
      </c>
      <c r="N150" s="40" t="str">
        <f aca="false">IF(A150="","",IF(AND(A150&gt;=VP_START,A150&lt;=VP_END),1,0))</f>
        <v/>
      </c>
    </row>
    <row r="151" customFormat="false" ht="15" hidden="false" customHeight="false" outlineLevel="0" collapsed="false">
      <c r="A151" s="37"/>
      <c r="B151" s="36"/>
      <c r="C151" s="36"/>
      <c r="D151" s="36"/>
      <c r="E151" s="38"/>
      <c r="F151" s="36"/>
      <c r="G151" s="39" t="str">
        <f aca="false">IF(E151="","",IF(F151="Standard 5%",E151*VAT_RATE,0))</f>
        <v/>
      </c>
      <c r="H151" s="36"/>
      <c r="I151" s="39" t="str">
        <f aca="false">IF(E151="","",IF(AND(H151="Yes",F151="Standard 5%"),G151,0))</f>
        <v/>
      </c>
      <c r="J151" s="39" t="str">
        <f aca="false">IF(E151="","",E151+G151)</f>
        <v/>
      </c>
      <c r="K151" s="36"/>
      <c r="L151" s="36"/>
      <c r="M151" s="40" t="str">
        <f aca="false">IF(A151="","",IF(A151&lt;FY_START,0,(YEAR(A151)-YEAR(FY_START))*12+MONTH(A151)-MONTH(FY_START)+1))</f>
        <v/>
      </c>
      <c r="N151" s="40" t="str">
        <f aca="false">IF(A151="","",IF(AND(A151&gt;=VP_START,A151&lt;=VP_END),1,0))</f>
        <v/>
      </c>
    </row>
    <row r="152" customFormat="false" ht="15" hidden="false" customHeight="false" outlineLevel="0" collapsed="false">
      <c r="A152" s="37"/>
      <c r="B152" s="36"/>
      <c r="C152" s="36"/>
      <c r="D152" s="36"/>
      <c r="E152" s="38"/>
      <c r="F152" s="36"/>
      <c r="G152" s="39" t="str">
        <f aca="false">IF(E152="","",IF(F152="Standard 5%",E152*VAT_RATE,0))</f>
        <v/>
      </c>
      <c r="H152" s="36"/>
      <c r="I152" s="39" t="str">
        <f aca="false">IF(E152="","",IF(AND(H152="Yes",F152="Standard 5%"),G152,0))</f>
        <v/>
      </c>
      <c r="J152" s="39" t="str">
        <f aca="false">IF(E152="","",E152+G152)</f>
        <v/>
      </c>
      <c r="K152" s="36"/>
      <c r="L152" s="36"/>
      <c r="M152" s="40" t="str">
        <f aca="false">IF(A152="","",IF(A152&lt;FY_START,0,(YEAR(A152)-YEAR(FY_START))*12+MONTH(A152)-MONTH(FY_START)+1))</f>
        <v/>
      </c>
      <c r="N152" s="40" t="str">
        <f aca="false">IF(A152="","",IF(AND(A152&gt;=VP_START,A152&lt;=VP_END),1,0))</f>
        <v/>
      </c>
    </row>
    <row r="153" customFormat="false" ht="15" hidden="false" customHeight="false" outlineLevel="0" collapsed="false">
      <c r="A153" s="37"/>
      <c r="B153" s="36"/>
      <c r="C153" s="36"/>
      <c r="D153" s="36"/>
      <c r="E153" s="38"/>
      <c r="F153" s="36"/>
      <c r="G153" s="39" t="str">
        <f aca="false">IF(E153="","",IF(F153="Standard 5%",E153*VAT_RATE,0))</f>
        <v/>
      </c>
      <c r="H153" s="36"/>
      <c r="I153" s="39" t="str">
        <f aca="false">IF(E153="","",IF(AND(H153="Yes",F153="Standard 5%"),G153,0))</f>
        <v/>
      </c>
      <c r="J153" s="39" t="str">
        <f aca="false">IF(E153="","",E153+G153)</f>
        <v/>
      </c>
      <c r="K153" s="36"/>
      <c r="L153" s="36"/>
      <c r="M153" s="40" t="str">
        <f aca="false">IF(A153="","",IF(A153&lt;FY_START,0,(YEAR(A153)-YEAR(FY_START))*12+MONTH(A153)-MONTH(FY_START)+1))</f>
        <v/>
      </c>
      <c r="N153" s="40" t="str">
        <f aca="false">IF(A153="","",IF(AND(A153&gt;=VP_START,A153&lt;=VP_END),1,0))</f>
        <v/>
      </c>
    </row>
    <row r="154" customFormat="false" ht="15" hidden="false" customHeight="false" outlineLevel="0" collapsed="false">
      <c r="A154" s="37"/>
      <c r="B154" s="36"/>
      <c r="C154" s="36"/>
      <c r="D154" s="36"/>
      <c r="E154" s="38"/>
      <c r="F154" s="36"/>
      <c r="G154" s="39" t="str">
        <f aca="false">IF(E154="","",IF(F154="Standard 5%",E154*VAT_RATE,0))</f>
        <v/>
      </c>
      <c r="H154" s="36"/>
      <c r="I154" s="39" t="str">
        <f aca="false">IF(E154="","",IF(AND(H154="Yes",F154="Standard 5%"),G154,0))</f>
        <v/>
      </c>
      <c r="J154" s="39" t="str">
        <f aca="false">IF(E154="","",E154+G154)</f>
        <v/>
      </c>
      <c r="K154" s="36"/>
      <c r="L154" s="36"/>
      <c r="M154" s="40" t="str">
        <f aca="false">IF(A154="","",IF(A154&lt;FY_START,0,(YEAR(A154)-YEAR(FY_START))*12+MONTH(A154)-MONTH(FY_START)+1))</f>
        <v/>
      </c>
      <c r="N154" s="40" t="str">
        <f aca="false">IF(A154="","",IF(AND(A154&gt;=VP_START,A154&lt;=VP_END),1,0))</f>
        <v/>
      </c>
    </row>
    <row r="155" customFormat="false" ht="15" hidden="false" customHeight="false" outlineLevel="0" collapsed="false">
      <c r="A155" s="37"/>
      <c r="B155" s="36"/>
      <c r="C155" s="36"/>
      <c r="D155" s="36"/>
      <c r="E155" s="38"/>
      <c r="F155" s="36"/>
      <c r="G155" s="39" t="str">
        <f aca="false">IF(E155="","",IF(F155="Standard 5%",E155*VAT_RATE,0))</f>
        <v/>
      </c>
      <c r="H155" s="36"/>
      <c r="I155" s="39" t="str">
        <f aca="false">IF(E155="","",IF(AND(H155="Yes",F155="Standard 5%"),G155,0))</f>
        <v/>
      </c>
      <c r="J155" s="39" t="str">
        <f aca="false">IF(E155="","",E155+G155)</f>
        <v/>
      </c>
      <c r="K155" s="36"/>
      <c r="L155" s="36"/>
      <c r="M155" s="40" t="str">
        <f aca="false">IF(A155="","",IF(A155&lt;FY_START,0,(YEAR(A155)-YEAR(FY_START))*12+MONTH(A155)-MONTH(FY_START)+1))</f>
        <v/>
      </c>
      <c r="N155" s="40" t="str">
        <f aca="false">IF(A155="","",IF(AND(A155&gt;=VP_START,A155&lt;=VP_END),1,0))</f>
        <v/>
      </c>
    </row>
    <row r="156" customFormat="false" ht="15" hidden="false" customHeight="false" outlineLevel="0" collapsed="false">
      <c r="A156" s="37"/>
      <c r="B156" s="36"/>
      <c r="C156" s="36"/>
      <c r="D156" s="36"/>
      <c r="E156" s="38"/>
      <c r="F156" s="36"/>
      <c r="G156" s="39" t="str">
        <f aca="false">IF(E156="","",IF(F156="Standard 5%",E156*VAT_RATE,0))</f>
        <v/>
      </c>
      <c r="H156" s="36"/>
      <c r="I156" s="39" t="str">
        <f aca="false">IF(E156="","",IF(AND(H156="Yes",F156="Standard 5%"),G156,0))</f>
        <v/>
      </c>
      <c r="J156" s="39" t="str">
        <f aca="false">IF(E156="","",E156+G156)</f>
        <v/>
      </c>
      <c r="K156" s="36"/>
      <c r="L156" s="36"/>
      <c r="M156" s="40" t="str">
        <f aca="false">IF(A156="","",IF(A156&lt;FY_START,0,(YEAR(A156)-YEAR(FY_START))*12+MONTH(A156)-MONTH(FY_START)+1))</f>
        <v/>
      </c>
      <c r="N156" s="40" t="str">
        <f aca="false">IF(A156="","",IF(AND(A156&gt;=VP_START,A156&lt;=VP_END),1,0))</f>
        <v/>
      </c>
    </row>
    <row r="157" customFormat="false" ht="15" hidden="false" customHeight="false" outlineLevel="0" collapsed="false">
      <c r="A157" s="37"/>
      <c r="B157" s="36"/>
      <c r="C157" s="36"/>
      <c r="D157" s="36"/>
      <c r="E157" s="38"/>
      <c r="F157" s="36"/>
      <c r="G157" s="39" t="str">
        <f aca="false">IF(E157="","",IF(F157="Standard 5%",E157*VAT_RATE,0))</f>
        <v/>
      </c>
      <c r="H157" s="36"/>
      <c r="I157" s="39" t="str">
        <f aca="false">IF(E157="","",IF(AND(H157="Yes",F157="Standard 5%"),G157,0))</f>
        <v/>
      </c>
      <c r="J157" s="39" t="str">
        <f aca="false">IF(E157="","",E157+G157)</f>
        <v/>
      </c>
      <c r="K157" s="36"/>
      <c r="L157" s="36"/>
      <c r="M157" s="40" t="str">
        <f aca="false">IF(A157="","",IF(A157&lt;FY_START,0,(YEAR(A157)-YEAR(FY_START))*12+MONTH(A157)-MONTH(FY_START)+1))</f>
        <v/>
      </c>
      <c r="N157" s="40" t="str">
        <f aca="false">IF(A157="","",IF(AND(A157&gt;=VP_START,A157&lt;=VP_END),1,0))</f>
        <v/>
      </c>
    </row>
    <row r="158" customFormat="false" ht="15" hidden="false" customHeight="false" outlineLevel="0" collapsed="false">
      <c r="A158" s="37"/>
      <c r="B158" s="36"/>
      <c r="C158" s="36"/>
      <c r="D158" s="36"/>
      <c r="E158" s="38"/>
      <c r="F158" s="36"/>
      <c r="G158" s="39" t="str">
        <f aca="false">IF(E158="","",IF(F158="Standard 5%",E158*VAT_RATE,0))</f>
        <v/>
      </c>
      <c r="H158" s="36"/>
      <c r="I158" s="39" t="str">
        <f aca="false">IF(E158="","",IF(AND(H158="Yes",F158="Standard 5%"),G158,0))</f>
        <v/>
      </c>
      <c r="J158" s="39" t="str">
        <f aca="false">IF(E158="","",E158+G158)</f>
        <v/>
      </c>
      <c r="K158" s="36"/>
      <c r="L158" s="36"/>
      <c r="M158" s="40" t="str">
        <f aca="false">IF(A158="","",IF(A158&lt;FY_START,0,(YEAR(A158)-YEAR(FY_START))*12+MONTH(A158)-MONTH(FY_START)+1))</f>
        <v/>
      </c>
      <c r="N158" s="40" t="str">
        <f aca="false">IF(A158="","",IF(AND(A158&gt;=VP_START,A158&lt;=VP_END),1,0))</f>
        <v/>
      </c>
    </row>
    <row r="159" customFormat="false" ht="15" hidden="false" customHeight="false" outlineLevel="0" collapsed="false">
      <c r="A159" s="37"/>
      <c r="B159" s="36"/>
      <c r="C159" s="36"/>
      <c r="D159" s="36"/>
      <c r="E159" s="38"/>
      <c r="F159" s="36"/>
      <c r="G159" s="39" t="str">
        <f aca="false">IF(E159="","",IF(F159="Standard 5%",E159*VAT_RATE,0))</f>
        <v/>
      </c>
      <c r="H159" s="36"/>
      <c r="I159" s="39" t="str">
        <f aca="false">IF(E159="","",IF(AND(H159="Yes",F159="Standard 5%"),G159,0))</f>
        <v/>
      </c>
      <c r="J159" s="39" t="str">
        <f aca="false">IF(E159="","",E159+G159)</f>
        <v/>
      </c>
      <c r="K159" s="36"/>
      <c r="L159" s="36"/>
      <c r="M159" s="40" t="str">
        <f aca="false">IF(A159="","",IF(A159&lt;FY_START,0,(YEAR(A159)-YEAR(FY_START))*12+MONTH(A159)-MONTH(FY_START)+1))</f>
        <v/>
      </c>
      <c r="N159" s="40" t="str">
        <f aca="false">IF(A159="","",IF(AND(A159&gt;=VP_START,A159&lt;=VP_END),1,0))</f>
        <v/>
      </c>
    </row>
    <row r="160" customFormat="false" ht="15" hidden="false" customHeight="false" outlineLevel="0" collapsed="false">
      <c r="A160" s="37"/>
      <c r="B160" s="36"/>
      <c r="C160" s="36"/>
      <c r="D160" s="36"/>
      <c r="E160" s="38"/>
      <c r="F160" s="36"/>
      <c r="G160" s="39" t="str">
        <f aca="false">IF(E160="","",IF(F160="Standard 5%",E160*VAT_RATE,0))</f>
        <v/>
      </c>
      <c r="H160" s="36"/>
      <c r="I160" s="39" t="str">
        <f aca="false">IF(E160="","",IF(AND(H160="Yes",F160="Standard 5%"),G160,0))</f>
        <v/>
      </c>
      <c r="J160" s="39" t="str">
        <f aca="false">IF(E160="","",E160+G160)</f>
        <v/>
      </c>
      <c r="K160" s="36"/>
      <c r="L160" s="36"/>
      <c r="M160" s="40" t="str">
        <f aca="false">IF(A160="","",IF(A160&lt;FY_START,0,(YEAR(A160)-YEAR(FY_START))*12+MONTH(A160)-MONTH(FY_START)+1))</f>
        <v/>
      </c>
      <c r="N160" s="40" t="str">
        <f aca="false">IF(A160="","",IF(AND(A160&gt;=VP_START,A160&lt;=VP_END),1,0))</f>
        <v/>
      </c>
    </row>
    <row r="161" customFormat="false" ht="15" hidden="false" customHeight="false" outlineLevel="0" collapsed="false">
      <c r="A161" s="37"/>
      <c r="B161" s="36"/>
      <c r="C161" s="36"/>
      <c r="D161" s="36"/>
      <c r="E161" s="38"/>
      <c r="F161" s="36"/>
      <c r="G161" s="39" t="str">
        <f aca="false">IF(E161="","",IF(F161="Standard 5%",E161*VAT_RATE,0))</f>
        <v/>
      </c>
      <c r="H161" s="36"/>
      <c r="I161" s="39" t="str">
        <f aca="false">IF(E161="","",IF(AND(H161="Yes",F161="Standard 5%"),G161,0))</f>
        <v/>
      </c>
      <c r="J161" s="39" t="str">
        <f aca="false">IF(E161="","",E161+G161)</f>
        <v/>
      </c>
      <c r="K161" s="36"/>
      <c r="L161" s="36"/>
      <c r="M161" s="40" t="str">
        <f aca="false">IF(A161="","",IF(A161&lt;FY_START,0,(YEAR(A161)-YEAR(FY_START))*12+MONTH(A161)-MONTH(FY_START)+1))</f>
        <v/>
      </c>
      <c r="N161" s="40" t="str">
        <f aca="false">IF(A161="","",IF(AND(A161&gt;=VP_START,A161&lt;=VP_END),1,0))</f>
        <v/>
      </c>
    </row>
    <row r="162" customFormat="false" ht="15" hidden="false" customHeight="false" outlineLevel="0" collapsed="false">
      <c r="A162" s="37"/>
      <c r="B162" s="36"/>
      <c r="C162" s="36"/>
      <c r="D162" s="36"/>
      <c r="E162" s="38"/>
      <c r="F162" s="36"/>
      <c r="G162" s="39" t="str">
        <f aca="false">IF(E162="","",IF(F162="Standard 5%",E162*VAT_RATE,0))</f>
        <v/>
      </c>
      <c r="H162" s="36"/>
      <c r="I162" s="39" t="str">
        <f aca="false">IF(E162="","",IF(AND(H162="Yes",F162="Standard 5%"),G162,0))</f>
        <v/>
      </c>
      <c r="J162" s="39" t="str">
        <f aca="false">IF(E162="","",E162+G162)</f>
        <v/>
      </c>
      <c r="K162" s="36"/>
      <c r="L162" s="36"/>
      <c r="M162" s="40" t="str">
        <f aca="false">IF(A162="","",IF(A162&lt;FY_START,0,(YEAR(A162)-YEAR(FY_START))*12+MONTH(A162)-MONTH(FY_START)+1))</f>
        <v/>
      </c>
      <c r="N162" s="40" t="str">
        <f aca="false">IF(A162="","",IF(AND(A162&gt;=VP_START,A162&lt;=VP_END),1,0))</f>
        <v/>
      </c>
    </row>
    <row r="163" customFormat="false" ht="15" hidden="false" customHeight="false" outlineLevel="0" collapsed="false">
      <c r="A163" s="37"/>
      <c r="B163" s="36"/>
      <c r="C163" s="36"/>
      <c r="D163" s="36"/>
      <c r="E163" s="38"/>
      <c r="F163" s="36"/>
      <c r="G163" s="39" t="str">
        <f aca="false">IF(E163="","",IF(F163="Standard 5%",E163*VAT_RATE,0))</f>
        <v/>
      </c>
      <c r="H163" s="36"/>
      <c r="I163" s="39" t="str">
        <f aca="false">IF(E163="","",IF(AND(H163="Yes",F163="Standard 5%"),G163,0))</f>
        <v/>
      </c>
      <c r="J163" s="39" t="str">
        <f aca="false">IF(E163="","",E163+G163)</f>
        <v/>
      </c>
      <c r="K163" s="36"/>
      <c r="L163" s="36"/>
      <c r="M163" s="40" t="str">
        <f aca="false">IF(A163="","",IF(A163&lt;FY_START,0,(YEAR(A163)-YEAR(FY_START))*12+MONTH(A163)-MONTH(FY_START)+1))</f>
        <v/>
      </c>
      <c r="N163" s="40" t="str">
        <f aca="false">IF(A163="","",IF(AND(A163&gt;=VP_START,A163&lt;=VP_END),1,0))</f>
        <v/>
      </c>
    </row>
    <row r="164" customFormat="false" ht="15" hidden="false" customHeight="false" outlineLevel="0" collapsed="false">
      <c r="A164" s="37"/>
      <c r="B164" s="36"/>
      <c r="C164" s="36"/>
      <c r="D164" s="36"/>
      <c r="E164" s="38"/>
      <c r="F164" s="36"/>
      <c r="G164" s="39" t="str">
        <f aca="false">IF(E164="","",IF(F164="Standard 5%",E164*VAT_RATE,0))</f>
        <v/>
      </c>
      <c r="H164" s="36"/>
      <c r="I164" s="39" t="str">
        <f aca="false">IF(E164="","",IF(AND(H164="Yes",F164="Standard 5%"),G164,0))</f>
        <v/>
      </c>
      <c r="J164" s="39" t="str">
        <f aca="false">IF(E164="","",E164+G164)</f>
        <v/>
      </c>
      <c r="K164" s="36"/>
      <c r="L164" s="36"/>
      <c r="M164" s="40" t="str">
        <f aca="false">IF(A164="","",IF(A164&lt;FY_START,0,(YEAR(A164)-YEAR(FY_START))*12+MONTH(A164)-MONTH(FY_START)+1))</f>
        <v/>
      </c>
      <c r="N164" s="40" t="str">
        <f aca="false">IF(A164="","",IF(AND(A164&gt;=VP_START,A164&lt;=VP_END),1,0))</f>
        <v/>
      </c>
    </row>
    <row r="165" customFormat="false" ht="15" hidden="false" customHeight="false" outlineLevel="0" collapsed="false">
      <c r="A165" s="37"/>
      <c r="B165" s="36"/>
      <c r="C165" s="36"/>
      <c r="D165" s="36"/>
      <c r="E165" s="38"/>
      <c r="F165" s="36"/>
      <c r="G165" s="39" t="str">
        <f aca="false">IF(E165="","",IF(F165="Standard 5%",E165*VAT_RATE,0))</f>
        <v/>
      </c>
      <c r="H165" s="36"/>
      <c r="I165" s="39" t="str">
        <f aca="false">IF(E165="","",IF(AND(H165="Yes",F165="Standard 5%"),G165,0))</f>
        <v/>
      </c>
      <c r="J165" s="39" t="str">
        <f aca="false">IF(E165="","",E165+G165)</f>
        <v/>
      </c>
      <c r="K165" s="36"/>
      <c r="L165" s="36"/>
      <c r="M165" s="40" t="str">
        <f aca="false">IF(A165="","",IF(A165&lt;FY_START,0,(YEAR(A165)-YEAR(FY_START))*12+MONTH(A165)-MONTH(FY_START)+1))</f>
        <v/>
      </c>
      <c r="N165" s="40" t="str">
        <f aca="false">IF(A165="","",IF(AND(A165&gt;=VP_START,A165&lt;=VP_END),1,0))</f>
        <v/>
      </c>
    </row>
    <row r="166" customFormat="false" ht="15" hidden="false" customHeight="false" outlineLevel="0" collapsed="false">
      <c r="A166" s="37"/>
      <c r="B166" s="36"/>
      <c r="C166" s="36"/>
      <c r="D166" s="36"/>
      <c r="E166" s="38"/>
      <c r="F166" s="36"/>
      <c r="G166" s="39" t="str">
        <f aca="false">IF(E166="","",IF(F166="Standard 5%",E166*VAT_RATE,0))</f>
        <v/>
      </c>
      <c r="H166" s="36"/>
      <c r="I166" s="39" t="str">
        <f aca="false">IF(E166="","",IF(AND(H166="Yes",F166="Standard 5%"),G166,0))</f>
        <v/>
      </c>
      <c r="J166" s="39" t="str">
        <f aca="false">IF(E166="","",E166+G166)</f>
        <v/>
      </c>
      <c r="K166" s="36"/>
      <c r="L166" s="36"/>
      <c r="M166" s="40" t="str">
        <f aca="false">IF(A166="","",IF(A166&lt;FY_START,0,(YEAR(A166)-YEAR(FY_START))*12+MONTH(A166)-MONTH(FY_START)+1))</f>
        <v/>
      </c>
      <c r="N166" s="40" t="str">
        <f aca="false">IF(A166="","",IF(AND(A166&gt;=VP_START,A166&lt;=VP_END),1,0))</f>
        <v/>
      </c>
    </row>
    <row r="167" customFormat="false" ht="15" hidden="false" customHeight="false" outlineLevel="0" collapsed="false">
      <c r="A167" s="37"/>
      <c r="B167" s="36"/>
      <c r="C167" s="36"/>
      <c r="D167" s="36"/>
      <c r="E167" s="38"/>
      <c r="F167" s="36"/>
      <c r="G167" s="39" t="str">
        <f aca="false">IF(E167="","",IF(F167="Standard 5%",E167*VAT_RATE,0))</f>
        <v/>
      </c>
      <c r="H167" s="36"/>
      <c r="I167" s="39" t="str">
        <f aca="false">IF(E167="","",IF(AND(H167="Yes",F167="Standard 5%"),G167,0))</f>
        <v/>
      </c>
      <c r="J167" s="39" t="str">
        <f aca="false">IF(E167="","",E167+G167)</f>
        <v/>
      </c>
      <c r="K167" s="36"/>
      <c r="L167" s="36"/>
      <c r="M167" s="40" t="str">
        <f aca="false">IF(A167="","",IF(A167&lt;FY_START,0,(YEAR(A167)-YEAR(FY_START))*12+MONTH(A167)-MONTH(FY_START)+1))</f>
        <v/>
      </c>
      <c r="N167" s="40" t="str">
        <f aca="false">IF(A167="","",IF(AND(A167&gt;=VP_START,A167&lt;=VP_END),1,0))</f>
        <v/>
      </c>
    </row>
    <row r="168" customFormat="false" ht="15" hidden="false" customHeight="false" outlineLevel="0" collapsed="false">
      <c r="A168" s="37"/>
      <c r="B168" s="36"/>
      <c r="C168" s="36"/>
      <c r="D168" s="36"/>
      <c r="E168" s="38"/>
      <c r="F168" s="36"/>
      <c r="G168" s="39" t="str">
        <f aca="false">IF(E168="","",IF(F168="Standard 5%",E168*VAT_RATE,0))</f>
        <v/>
      </c>
      <c r="H168" s="36"/>
      <c r="I168" s="39" t="str">
        <f aca="false">IF(E168="","",IF(AND(H168="Yes",F168="Standard 5%"),G168,0))</f>
        <v/>
      </c>
      <c r="J168" s="39" t="str">
        <f aca="false">IF(E168="","",E168+G168)</f>
        <v/>
      </c>
      <c r="K168" s="36"/>
      <c r="L168" s="36"/>
      <c r="M168" s="40" t="str">
        <f aca="false">IF(A168="","",IF(A168&lt;FY_START,0,(YEAR(A168)-YEAR(FY_START))*12+MONTH(A168)-MONTH(FY_START)+1))</f>
        <v/>
      </c>
      <c r="N168" s="40" t="str">
        <f aca="false">IF(A168="","",IF(AND(A168&gt;=VP_START,A168&lt;=VP_END),1,0))</f>
        <v/>
      </c>
    </row>
    <row r="169" customFormat="false" ht="15" hidden="false" customHeight="false" outlineLevel="0" collapsed="false">
      <c r="A169" s="37"/>
      <c r="B169" s="36"/>
      <c r="C169" s="36"/>
      <c r="D169" s="36"/>
      <c r="E169" s="38"/>
      <c r="F169" s="36"/>
      <c r="G169" s="39" t="str">
        <f aca="false">IF(E169="","",IF(F169="Standard 5%",E169*VAT_RATE,0))</f>
        <v/>
      </c>
      <c r="H169" s="36"/>
      <c r="I169" s="39" t="str">
        <f aca="false">IF(E169="","",IF(AND(H169="Yes",F169="Standard 5%"),G169,0))</f>
        <v/>
      </c>
      <c r="J169" s="39" t="str">
        <f aca="false">IF(E169="","",E169+G169)</f>
        <v/>
      </c>
      <c r="K169" s="36"/>
      <c r="L169" s="36"/>
      <c r="M169" s="40" t="str">
        <f aca="false">IF(A169="","",IF(A169&lt;FY_START,0,(YEAR(A169)-YEAR(FY_START))*12+MONTH(A169)-MONTH(FY_START)+1))</f>
        <v/>
      </c>
      <c r="N169" s="40" t="str">
        <f aca="false">IF(A169="","",IF(AND(A169&gt;=VP_START,A169&lt;=VP_END),1,0))</f>
        <v/>
      </c>
    </row>
    <row r="170" customFormat="false" ht="15" hidden="false" customHeight="false" outlineLevel="0" collapsed="false">
      <c r="A170" s="37"/>
      <c r="B170" s="36"/>
      <c r="C170" s="36"/>
      <c r="D170" s="36"/>
      <c r="E170" s="38"/>
      <c r="F170" s="36"/>
      <c r="G170" s="39" t="str">
        <f aca="false">IF(E170="","",IF(F170="Standard 5%",E170*VAT_RATE,0))</f>
        <v/>
      </c>
      <c r="H170" s="36"/>
      <c r="I170" s="39" t="str">
        <f aca="false">IF(E170="","",IF(AND(H170="Yes",F170="Standard 5%"),G170,0))</f>
        <v/>
      </c>
      <c r="J170" s="39" t="str">
        <f aca="false">IF(E170="","",E170+G170)</f>
        <v/>
      </c>
      <c r="K170" s="36"/>
      <c r="L170" s="36"/>
      <c r="M170" s="40" t="str">
        <f aca="false">IF(A170="","",IF(A170&lt;FY_START,0,(YEAR(A170)-YEAR(FY_START))*12+MONTH(A170)-MONTH(FY_START)+1))</f>
        <v/>
      </c>
      <c r="N170" s="40" t="str">
        <f aca="false">IF(A170="","",IF(AND(A170&gt;=VP_START,A170&lt;=VP_END),1,0))</f>
        <v/>
      </c>
    </row>
    <row r="171" customFormat="false" ht="15" hidden="false" customHeight="false" outlineLevel="0" collapsed="false">
      <c r="A171" s="37"/>
      <c r="B171" s="36"/>
      <c r="C171" s="36"/>
      <c r="D171" s="36"/>
      <c r="E171" s="38"/>
      <c r="F171" s="36"/>
      <c r="G171" s="39" t="str">
        <f aca="false">IF(E171="","",IF(F171="Standard 5%",E171*VAT_RATE,0))</f>
        <v/>
      </c>
      <c r="H171" s="36"/>
      <c r="I171" s="39" t="str">
        <f aca="false">IF(E171="","",IF(AND(H171="Yes",F171="Standard 5%"),G171,0))</f>
        <v/>
      </c>
      <c r="J171" s="39" t="str">
        <f aca="false">IF(E171="","",E171+G171)</f>
        <v/>
      </c>
      <c r="K171" s="36"/>
      <c r="L171" s="36"/>
      <c r="M171" s="40" t="str">
        <f aca="false">IF(A171="","",IF(A171&lt;FY_START,0,(YEAR(A171)-YEAR(FY_START))*12+MONTH(A171)-MONTH(FY_START)+1))</f>
        <v/>
      </c>
      <c r="N171" s="40" t="str">
        <f aca="false">IF(A171="","",IF(AND(A171&gt;=VP_START,A171&lt;=VP_END),1,0))</f>
        <v/>
      </c>
    </row>
    <row r="172" customFormat="false" ht="15" hidden="false" customHeight="false" outlineLevel="0" collapsed="false">
      <c r="A172" s="37"/>
      <c r="B172" s="36"/>
      <c r="C172" s="36"/>
      <c r="D172" s="36"/>
      <c r="E172" s="38"/>
      <c r="F172" s="36"/>
      <c r="G172" s="39" t="str">
        <f aca="false">IF(E172="","",IF(F172="Standard 5%",E172*VAT_RATE,0))</f>
        <v/>
      </c>
      <c r="H172" s="36"/>
      <c r="I172" s="39" t="str">
        <f aca="false">IF(E172="","",IF(AND(H172="Yes",F172="Standard 5%"),G172,0))</f>
        <v/>
      </c>
      <c r="J172" s="39" t="str">
        <f aca="false">IF(E172="","",E172+G172)</f>
        <v/>
      </c>
      <c r="K172" s="36"/>
      <c r="L172" s="36"/>
      <c r="M172" s="40" t="str">
        <f aca="false">IF(A172="","",IF(A172&lt;FY_START,0,(YEAR(A172)-YEAR(FY_START))*12+MONTH(A172)-MONTH(FY_START)+1))</f>
        <v/>
      </c>
      <c r="N172" s="40" t="str">
        <f aca="false">IF(A172="","",IF(AND(A172&gt;=VP_START,A172&lt;=VP_END),1,0))</f>
        <v/>
      </c>
    </row>
    <row r="173" customFormat="false" ht="15" hidden="false" customHeight="false" outlineLevel="0" collapsed="false">
      <c r="A173" s="37"/>
      <c r="B173" s="36"/>
      <c r="C173" s="36"/>
      <c r="D173" s="36"/>
      <c r="E173" s="38"/>
      <c r="F173" s="36"/>
      <c r="G173" s="39" t="str">
        <f aca="false">IF(E173="","",IF(F173="Standard 5%",E173*VAT_RATE,0))</f>
        <v/>
      </c>
      <c r="H173" s="36"/>
      <c r="I173" s="39" t="str">
        <f aca="false">IF(E173="","",IF(AND(H173="Yes",F173="Standard 5%"),G173,0))</f>
        <v/>
      </c>
      <c r="J173" s="39" t="str">
        <f aca="false">IF(E173="","",E173+G173)</f>
        <v/>
      </c>
      <c r="K173" s="36"/>
      <c r="L173" s="36"/>
      <c r="M173" s="40" t="str">
        <f aca="false">IF(A173="","",IF(A173&lt;FY_START,0,(YEAR(A173)-YEAR(FY_START))*12+MONTH(A173)-MONTH(FY_START)+1))</f>
        <v/>
      </c>
      <c r="N173" s="40" t="str">
        <f aca="false">IF(A173="","",IF(AND(A173&gt;=VP_START,A173&lt;=VP_END),1,0))</f>
        <v/>
      </c>
    </row>
    <row r="174" customFormat="false" ht="15" hidden="false" customHeight="false" outlineLevel="0" collapsed="false">
      <c r="A174" s="37"/>
      <c r="B174" s="36"/>
      <c r="C174" s="36"/>
      <c r="D174" s="36"/>
      <c r="E174" s="38"/>
      <c r="F174" s="36"/>
      <c r="G174" s="39" t="str">
        <f aca="false">IF(E174="","",IF(F174="Standard 5%",E174*VAT_RATE,0))</f>
        <v/>
      </c>
      <c r="H174" s="36"/>
      <c r="I174" s="39" t="str">
        <f aca="false">IF(E174="","",IF(AND(H174="Yes",F174="Standard 5%"),G174,0))</f>
        <v/>
      </c>
      <c r="J174" s="39" t="str">
        <f aca="false">IF(E174="","",E174+G174)</f>
        <v/>
      </c>
      <c r="K174" s="36"/>
      <c r="L174" s="36"/>
      <c r="M174" s="40" t="str">
        <f aca="false">IF(A174="","",IF(A174&lt;FY_START,0,(YEAR(A174)-YEAR(FY_START))*12+MONTH(A174)-MONTH(FY_START)+1))</f>
        <v/>
      </c>
      <c r="N174" s="40" t="str">
        <f aca="false">IF(A174="","",IF(AND(A174&gt;=VP_START,A174&lt;=VP_END),1,0))</f>
        <v/>
      </c>
    </row>
    <row r="175" customFormat="false" ht="15" hidden="false" customHeight="false" outlineLevel="0" collapsed="false">
      <c r="A175" s="37"/>
      <c r="B175" s="36"/>
      <c r="C175" s="36"/>
      <c r="D175" s="36"/>
      <c r="E175" s="38"/>
      <c r="F175" s="36"/>
      <c r="G175" s="39" t="str">
        <f aca="false">IF(E175="","",IF(F175="Standard 5%",E175*VAT_RATE,0))</f>
        <v/>
      </c>
      <c r="H175" s="36"/>
      <c r="I175" s="39" t="str">
        <f aca="false">IF(E175="","",IF(AND(H175="Yes",F175="Standard 5%"),G175,0))</f>
        <v/>
      </c>
      <c r="J175" s="39" t="str">
        <f aca="false">IF(E175="","",E175+G175)</f>
        <v/>
      </c>
      <c r="K175" s="36"/>
      <c r="L175" s="36"/>
      <c r="M175" s="40" t="str">
        <f aca="false">IF(A175="","",IF(A175&lt;FY_START,0,(YEAR(A175)-YEAR(FY_START))*12+MONTH(A175)-MONTH(FY_START)+1))</f>
        <v/>
      </c>
      <c r="N175" s="40" t="str">
        <f aca="false">IF(A175="","",IF(AND(A175&gt;=VP_START,A175&lt;=VP_END),1,0))</f>
        <v/>
      </c>
    </row>
    <row r="176" customFormat="false" ht="15" hidden="false" customHeight="false" outlineLevel="0" collapsed="false">
      <c r="A176" s="37"/>
      <c r="B176" s="36"/>
      <c r="C176" s="36"/>
      <c r="D176" s="36"/>
      <c r="E176" s="38"/>
      <c r="F176" s="36"/>
      <c r="G176" s="39" t="str">
        <f aca="false">IF(E176="","",IF(F176="Standard 5%",E176*VAT_RATE,0))</f>
        <v/>
      </c>
      <c r="H176" s="36"/>
      <c r="I176" s="39" t="str">
        <f aca="false">IF(E176="","",IF(AND(H176="Yes",F176="Standard 5%"),G176,0))</f>
        <v/>
      </c>
      <c r="J176" s="39" t="str">
        <f aca="false">IF(E176="","",E176+G176)</f>
        <v/>
      </c>
      <c r="K176" s="36"/>
      <c r="L176" s="36"/>
      <c r="M176" s="40" t="str">
        <f aca="false">IF(A176="","",IF(A176&lt;FY_START,0,(YEAR(A176)-YEAR(FY_START))*12+MONTH(A176)-MONTH(FY_START)+1))</f>
        <v/>
      </c>
      <c r="N176" s="40" t="str">
        <f aca="false">IF(A176="","",IF(AND(A176&gt;=VP_START,A176&lt;=VP_END),1,0))</f>
        <v/>
      </c>
    </row>
    <row r="177" customFormat="false" ht="15" hidden="false" customHeight="false" outlineLevel="0" collapsed="false">
      <c r="A177" s="37"/>
      <c r="B177" s="36"/>
      <c r="C177" s="36"/>
      <c r="D177" s="36"/>
      <c r="E177" s="38"/>
      <c r="F177" s="36"/>
      <c r="G177" s="39" t="str">
        <f aca="false">IF(E177="","",IF(F177="Standard 5%",E177*VAT_RATE,0))</f>
        <v/>
      </c>
      <c r="H177" s="36"/>
      <c r="I177" s="39" t="str">
        <f aca="false">IF(E177="","",IF(AND(H177="Yes",F177="Standard 5%"),G177,0))</f>
        <v/>
      </c>
      <c r="J177" s="39" t="str">
        <f aca="false">IF(E177="","",E177+G177)</f>
        <v/>
      </c>
      <c r="K177" s="36"/>
      <c r="L177" s="36"/>
      <c r="M177" s="40" t="str">
        <f aca="false">IF(A177="","",IF(A177&lt;FY_START,0,(YEAR(A177)-YEAR(FY_START))*12+MONTH(A177)-MONTH(FY_START)+1))</f>
        <v/>
      </c>
      <c r="N177" s="40" t="str">
        <f aca="false">IF(A177="","",IF(AND(A177&gt;=VP_START,A177&lt;=VP_END),1,0))</f>
        <v/>
      </c>
    </row>
    <row r="178" customFormat="false" ht="15" hidden="false" customHeight="false" outlineLevel="0" collapsed="false">
      <c r="A178" s="37"/>
      <c r="B178" s="36"/>
      <c r="C178" s="36"/>
      <c r="D178" s="36"/>
      <c r="E178" s="38"/>
      <c r="F178" s="36"/>
      <c r="G178" s="39" t="str">
        <f aca="false">IF(E178="","",IF(F178="Standard 5%",E178*VAT_RATE,0))</f>
        <v/>
      </c>
      <c r="H178" s="36"/>
      <c r="I178" s="39" t="str">
        <f aca="false">IF(E178="","",IF(AND(H178="Yes",F178="Standard 5%"),G178,0))</f>
        <v/>
      </c>
      <c r="J178" s="39" t="str">
        <f aca="false">IF(E178="","",E178+G178)</f>
        <v/>
      </c>
      <c r="K178" s="36"/>
      <c r="L178" s="36"/>
      <c r="M178" s="40" t="str">
        <f aca="false">IF(A178="","",IF(A178&lt;FY_START,0,(YEAR(A178)-YEAR(FY_START))*12+MONTH(A178)-MONTH(FY_START)+1))</f>
        <v/>
      </c>
      <c r="N178" s="40" t="str">
        <f aca="false">IF(A178="","",IF(AND(A178&gt;=VP_START,A178&lt;=VP_END),1,0))</f>
        <v/>
      </c>
    </row>
    <row r="179" customFormat="false" ht="15" hidden="false" customHeight="false" outlineLevel="0" collapsed="false">
      <c r="A179" s="37"/>
      <c r="B179" s="36"/>
      <c r="C179" s="36"/>
      <c r="D179" s="36"/>
      <c r="E179" s="38"/>
      <c r="F179" s="36"/>
      <c r="G179" s="39" t="str">
        <f aca="false">IF(E179="","",IF(F179="Standard 5%",E179*VAT_RATE,0))</f>
        <v/>
      </c>
      <c r="H179" s="36"/>
      <c r="I179" s="39" t="str">
        <f aca="false">IF(E179="","",IF(AND(H179="Yes",F179="Standard 5%"),G179,0))</f>
        <v/>
      </c>
      <c r="J179" s="39" t="str">
        <f aca="false">IF(E179="","",E179+G179)</f>
        <v/>
      </c>
      <c r="K179" s="36"/>
      <c r="L179" s="36"/>
      <c r="M179" s="40" t="str">
        <f aca="false">IF(A179="","",IF(A179&lt;FY_START,0,(YEAR(A179)-YEAR(FY_START))*12+MONTH(A179)-MONTH(FY_START)+1))</f>
        <v/>
      </c>
      <c r="N179" s="40" t="str">
        <f aca="false">IF(A179="","",IF(AND(A179&gt;=VP_START,A179&lt;=VP_END),1,0))</f>
        <v/>
      </c>
    </row>
    <row r="180" customFormat="false" ht="15" hidden="false" customHeight="false" outlineLevel="0" collapsed="false">
      <c r="A180" s="37"/>
      <c r="B180" s="36"/>
      <c r="C180" s="36"/>
      <c r="D180" s="36"/>
      <c r="E180" s="38"/>
      <c r="F180" s="36"/>
      <c r="G180" s="39" t="str">
        <f aca="false">IF(E180="","",IF(F180="Standard 5%",E180*VAT_RATE,0))</f>
        <v/>
      </c>
      <c r="H180" s="36"/>
      <c r="I180" s="39" t="str">
        <f aca="false">IF(E180="","",IF(AND(H180="Yes",F180="Standard 5%"),G180,0))</f>
        <v/>
      </c>
      <c r="J180" s="39" t="str">
        <f aca="false">IF(E180="","",E180+G180)</f>
        <v/>
      </c>
      <c r="K180" s="36"/>
      <c r="L180" s="36"/>
      <c r="M180" s="40" t="str">
        <f aca="false">IF(A180="","",IF(A180&lt;FY_START,0,(YEAR(A180)-YEAR(FY_START))*12+MONTH(A180)-MONTH(FY_START)+1))</f>
        <v/>
      </c>
      <c r="N180" s="40" t="str">
        <f aca="false">IF(A180="","",IF(AND(A180&gt;=VP_START,A180&lt;=VP_END),1,0))</f>
        <v/>
      </c>
    </row>
    <row r="181" customFormat="false" ht="15" hidden="false" customHeight="false" outlineLevel="0" collapsed="false">
      <c r="A181" s="37"/>
      <c r="B181" s="36"/>
      <c r="C181" s="36"/>
      <c r="D181" s="36"/>
      <c r="E181" s="38"/>
      <c r="F181" s="36"/>
      <c r="G181" s="39" t="str">
        <f aca="false">IF(E181="","",IF(F181="Standard 5%",E181*VAT_RATE,0))</f>
        <v/>
      </c>
      <c r="H181" s="36"/>
      <c r="I181" s="39" t="str">
        <f aca="false">IF(E181="","",IF(AND(H181="Yes",F181="Standard 5%"),G181,0))</f>
        <v/>
      </c>
      <c r="J181" s="39" t="str">
        <f aca="false">IF(E181="","",E181+G181)</f>
        <v/>
      </c>
      <c r="K181" s="36"/>
      <c r="L181" s="36"/>
      <c r="M181" s="40" t="str">
        <f aca="false">IF(A181="","",IF(A181&lt;FY_START,0,(YEAR(A181)-YEAR(FY_START))*12+MONTH(A181)-MONTH(FY_START)+1))</f>
        <v/>
      </c>
      <c r="N181" s="40" t="str">
        <f aca="false">IF(A181="","",IF(AND(A181&gt;=VP_START,A181&lt;=VP_END),1,0))</f>
        <v/>
      </c>
    </row>
    <row r="182" customFormat="false" ht="15" hidden="false" customHeight="false" outlineLevel="0" collapsed="false">
      <c r="A182" s="37"/>
      <c r="B182" s="36"/>
      <c r="C182" s="36"/>
      <c r="D182" s="36"/>
      <c r="E182" s="38"/>
      <c r="F182" s="36"/>
      <c r="G182" s="39" t="str">
        <f aca="false">IF(E182="","",IF(F182="Standard 5%",E182*VAT_RATE,0))</f>
        <v/>
      </c>
      <c r="H182" s="36"/>
      <c r="I182" s="39" t="str">
        <f aca="false">IF(E182="","",IF(AND(H182="Yes",F182="Standard 5%"),G182,0))</f>
        <v/>
      </c>
      <c r="J182" s="39" t="str">
        <f aca="false">IF(E182="","",E182+G182)</f>
        <v/>
      </c>
      <c r="K182" s="36"/>
      <c r="L182" s="36"/>
      <c r="M182" s="40" t="str">
        <f aca="false">IF(A182="","",IF(A182&lt;FY_START,0,(YEAR(A182)-YEAR(FY_START))*12+MONTH(A182)-MONTH(FY_START)+1))</f>
        <v/>
      </c>
      <c r="N182" s="40" t="str">
        <f aca="false">IF(A182="","",IF(AND(A182&gt;=VP_START,A182&lt;=VP_END),1,0))</f>
        <v/>
      </c>
    </row>
    <row r="183" customFormat="false" ht="15" hidden="false" customHeight="false" outlineLevel="0" collapsed="false">
      <c r="A183" s="37"/>
      <c r="B183" s="36"/>
      <c r="C183" s="36"/>
      <c r="D183" s="36"/>
      <c r="E183" s="38"/>
      <c r="F183" s="36"/>
      <c r="G183" s="39" t="str">
        <f aca="false">IF(E183="","",IF(F183="Standard 5%",E183*VAT_RATE,0))</f>
        <v/>
      </c>
      <c r="H183" s="36"/>
      <c r="I183" s="39" t="str">
        <f aca="false">IF(E183="","",IF(AND(H183="Yes",F183="Standard 5%"),G183,0))</f>
        <v/>
      </c>
      <c r="J183" s="39" t="str">
        <f aca="false">IF(E183="","",E183+G183)</f>
        <v/>
      </c>
      <c r="K183" s="36"/>
      <c r="L183" s="36"/>
      <c r="M183" s="40" t="str">
        <f aca="false">IF(A183="","",IF(A183&lt;FY_START,0,(YEAR(A183)-YEAR(FY_START))*12+MONTH(A183)-MONTH(FY_START)+1))</f>
        <v/>
      </c>
      <c r="N183" s="40" t="str">
        <f aca="false">IF(A183="","",IF(AND(A183&gt;=VP_START,A183&lt;=VP_END),1,0))</f>
        <v/>
      </c>
    </row>
    <row r="184" customFormat="false" ht="15" hidden="false" customHeight="false" outlineLevel="0" collapsed="false">
      <c r="A184" s="37"/>
      <c r="B184" s="36"/>
      <c r="C184" s="36"/>
      <c r="D184" s="36"/>
      <c r="E184" s="38"/>
      <c r="F184" s="36"/>
      <c r="G184" s="39" t="str">
        <f aca="false">IF(E184="","",IF(F184="Standard 5%",E184*VAT_RATE,0))</f>
        <v/>
      </c>
      <c r="H184" s="36"/>
      <c r="I184" s="39" t="str">
        <f aca="false">IF(E184="","",IF(AND(H184="Yes",F184="Standard 5%"),G184,0))</f>
        <v/>
      </c>
      <c r="J184" s="39" t="str">
        <f aca="false">IF(E184="","",E184+G184)</f>
        <v/>
      </c>
      <c r="K184" s="36"/>
      <c r="L184" s="36"/>
      <c r="M184" s="40" t="str">
        <f aca="false">IF(A184="","",IF(A184&lt;FY_START,0,(YEAR(A184)-YEAR(FY_START))*12+MONTH(A184)-MONTH(FY_START)+1))</f>
        <v/>
      </c>
      <c r="N184" s="40" t="str">
        <f aca="false">IF(A184="","",IF(AND(A184&gt;=VP_START,A184&lt;=VP_END),1,0))</f>
        <v/>
      </c>
    </row>
    <row r="185" customFormat="false" ht="15" hidden="false" customHeight="false" outlineLevel="0" collapsed="false">
      <c r="A185" s="37"/>
      <c r="B185" s="36"/>
      <c r="C185" s="36"/>
      <c r="D185" s="36"/>
      <c r="E185" s="38"/>
      <c r="F185" s="36"/>
      <c r="G185" s="39" t="str">
        <f aca="false">IF(E185="","",IF(F185="Standard 5%",E185*VAT_RATE,0))</f>
        <v/>
      </c>
      <c r="H185" s="36"/>
      <c r="I185" s="39" t="str">
        <f aca="false">IF(E185="","",IF(AND(H185="Yes",F185="Standard 5%"),G185,0))</f>
        <v/>
      </c>
      <c r="J185" s="39" t="str">
        <f aca="false">IF(E185="","",E185+G185)</f>
        <v/>
      </c>
      <c r="K185" s="36"/>
      <c r="L185" s="36"/>
      <c r="M185" s="40" t="str">
        <f aca="false">IF(A185="","",IF(A185&lt;FY_START,0,(YEAR(A185)-YEAR(FY_START))*12+MONTH(A185)-MONTH(FY_START)+1))</f>
        <v/>
      </c>
      <c r="N185" s="40" t="str">
        <f aca="false">IF(A185="","",IF(AND(A185&gt;=VP_START,A185&lt;=VP_END),1,0))</f>
        <v/>
      </c>
    </row>
    <row r="186" customFormat="false" ht="15" hidden="false" customHeight="false" outlineLevel="0" collapsed="false">
      <c r="A186" s="37"/>
      <c r="B186" s="36"/>
      <c r="C186" s="36"/>
      <c r="D186" s="36"/>
      <c r="E186" s="38"/>
      <c r="F186" s="36"/>
      <c r="G186" s="39" t="str">
        <f aca="false">IF(E186="","",IF(F186="Standard 5%",E186*VAT_RATE,0))</f>
        <v/>
      </c>
      <c r="H186" s="36"/>
      <c r="I186" s="39" t="str">
        <f aca="false">IF(E186="","",IF(AND(H186="Yes",F186="Standard 5%"),G186,0))</f>
        <v/>
      </c>
      <c r="J186" s="39" t="str">
        <f aca="false">IF(E186="","",E186+G186)</f>
        <v/>
      </c>
      <c r="K186" s="36"/>
      <c r="L186" s="36"/>
      <c r="M186" s="40" t="str">
        <f aca="false">IF(A186="","",IF(A186&lt;FY_START,0,(YEAR(A186)-YEAR(FY_START))*12+MONTH(A186)-MONTH(FY_START)+1))</f>
        <v/>
      </c>
      <c r="N186" s="40" t="str">
        <f aca="false">IF(A186="","",IF(AND(A186&gt;=VP_START,A186&lt;=VP_END),1,0))</f>
        <v/>
      </c>
    </row>
    <row r="187" customFormat="false" ht="15" hidden="false" customHeight="false" outlineLevel="0" collapsed="false">
      <c r="A187" s="37"/>
      <c r="B187" s="36"/>
      <c r="C187" s="36"/>
      <c r="D187" s="36"/>
      <c r="E187" s="38"/>
      <c r="F187" s="36"/>
      <c r="G187" s="39" t="str">
        <f aca="false">IF(E187="","",IF(F187="Standard 5%",E187*VAT_RATE,0))</f>
        <v/>
      </c>
      <c r="H187" s="36"/>
      <c r="I187" s="39" t="str">
        <f aca="false">IF(E187="","",IF(AND(H187="Yes",F187="Standard 5%"),G187,0))</f>
        <v/>
      </c>
      <c r="J187" s="39" t="str">
        <f aca="false">IF(E187="","",E187+G187)</f>
        <v/>
      </c>
      <c r="K187" s="36"/>
      <c r="L187" s="36"/>
      <c r="M187" s="40" t="str">
        <f aca="false">IF(A187="","",IF(A187&lt;FY_START,0,(YEAR(A187)-YEAR(FY_START))*12+MONTH(A187)-MONTH(FY_START)+1))</f>
        <v/>
      </c>
      <c r="N187" s="40" t="str">
        <f aca="false">IF(A187="","",IF(AND(A187&gt;=VP_START,A187&lt;=VP_END),1,0))</f>
        <v/>
      </c>
    </row>
    <row r="188" customFormat="false" ht="15" hidden="false" customHeight="false" outlineLevel="0" collapsed="false">
      <c r="A188" s="37"/>
      <c r="B188" s="36"/>
      <c r="C188" s="36"/>
      <c r="D188" s="36"/>
      <c r="E188" s="38"/>
      <c r="F188" s="36"/>
      <c r="G188" s="39" t="str">
        <f aca="false">IF(E188="","",IF(F188="Standard 5%",E188*VAT_RATE,0))</f>
        <v/>
      </c>
      <c r="H188" s="36"/>
      <c r="I188" s="39" t="str">
        <f aca="false">IF(E188="","",IF(AND(H188="Yes",F188="Standard 5%"),G188,0))</f>
        <v/>
      </c>
      <c r="J188" s="39" t="str">
        <f aca="false">IF(E188="","",E188+G188)</f>
        <v/>
      </c>
      <c r="K188" s="36"/>
      <c r="L188" s="36"/>
      <c r="M188" s="40" t="str">
        <f aca="false">IF(A188="","",IF(A188&lt;FY_START,0,(YEAR(A188)-YEAR(FY_START))*12+MONTH(A188)-MONTH(FY_START)+1))</f>
        <v/>
      </c>
      <c r="N188" s="40" t="str">
        <f aca="false">IF(A188="","",IF(AND(A188&gt;=VP_START,A188&lt;=VP_END),1,0))</f>
        <v/>
      </c>
    </row>
    <row r="189" customFormat="false" ht="15" hidden="false" customHeight="false" outlineLevel="0" collapsed="false">
      <c r="A189" s="37"/>
      <c r="B189" s="36"/>
      <c r="C189" s="36"/>
      <c r="D189" s="36"/>
      <c r="E189" s="38"/>
      <c r="F189" s="36"/>
      <c r="G189" s="39" t="str">
        <f aca="false">IF(E189="","",IF(F189="Standard 5%",E189*VAT_RATE,0))</f>
        <v/>
      </c>
      <c r="H189" s="36"/>
      <c r="I189" s="39" t="str">
        <f aca="false">IF(E189="","",IF(AND(H189="Yes",F189="Standard 5%"),G189,0))</f>
        <v/>
      </c>
      <c r="J189" s="39" t="str">
        <f aca="false">IF(E189="","",E189+G189)</f>
        <v/>
      </c>
      <c r="K189" s="36"/>
      <c r="L189" s="36"/>
      <c r="M189" s="40" t="str">
        <f aca="false">IF(A189="","",IF(A189&lt;FY_START,0,(YEAR(A189)-YEAR(FY_START))*12+MONTH(A189)-MONTH(FY_START)+1))</f>
        <v/>
      </c>
      <c r="N189" s="40" t="str">
        <f aca="false">IF(A189="","",IF(AND(A189&gt;=VP_START,A189&lt;=VP_END),1,0))</f>
        <v/>
      </c>
    </row>
    <row r="190" customFormat="false" ht="15" hidden="false" customHeight="false" outlineLevel="0" collapsed="false">
      <c r="A190" s="37"/>
      <c r="B190" s="36"/>
      <c r="C190" s="36"/>
      <c r="D190" s="36"/>
      <c r="E190" s="38"/>
      <c r="F190" s="36"/>
      <c r="G190" s="39" t="str">
        <f aca="false">IF(E190="","",IF(F190="Standard 5%",E190*VAT_RATE,0))</f>
        <v/>
      </c>
      <c r="H190" s="36"/>
      <c r="I190" s="39" t="str">
        <f aca="false">IF(E190="","",IF(AND(H190="Yes",F190="Standard 5%"),G190,0))</f>
        <v/>
      </c>
      <c r="J190" s="39" t="str">
        <f aca="false">IF(E190="","",E190+G190)</f>
        <v/>
      </c>
      <c r="K190" s="36"/>
      <c r="L190" s="36"/>
      <c r="M190" s="40" t="str">
        <f aca="false">IF(A190="","",IF(A190&lt;FY_START,0,(YEAR(A190)-YEAR(FY_START))*12+MONTH(A190)-MONTH(FY_START)+1))</f>
        <v/>
      </c>
      <c r="N190" s="40" t="str">
        <f aca="false">IF(A190="","",IF(AND(A190&gt;=VP_START,A190&lt;=VP_END),1,0))</f>
        <v/>
      </c>
    </row>
    <row r="191" customFormat="false" ht="15" hidden="false" customHeight="false" outlineLevel="0" collapsed="false">
      <c r="A191" s="37"/>
      <c r="B191" s="36"/>
      <c r="C191" s="36"/>
      <c r="D191" s="36"/>
      <c r="E191" s="38"/>
      <c r="F191" s="36"/>
      <c r="G191" s="39" t="str">
        <f aca="false">IF(E191="","",IF(F191="Standard 5%",E191*VAT_RATE,0))</f>
        <v/>
      </c>
      <c r="H191" s="36"/>
      <c r="I191" s="39" t="str">
        <f aca="false">IF(E191="","",IF(AND(H191="Yes",F191="Standard 5%"),G191,0))</f>
        <v/>
      </c>
      <c r="J191" s="39" t="str">
        <f aca="false">IF(E191="","",E191+G191)</f>
        <v/>
      </c>
      <c r="K191" s="36"/>
      <c r="L191" s="36"/>
      <c r="M191" s="40" t="str">
        <f aca="false">IF(A191="","",IF(A191&lt;FY_START,0,(YEAR(A191)-YEAR(FY_START))*12+MONTH(A191)-MONTH(FY_START)+1))</f>
        <v/>
      </c>
      <c r="N191" s="40" t="str">
        <f aca="false">IF(A191="","",IF(AND(A191&gt;=VP_START,A191&lt;=VP_END),1,0))</f>
        <v/>
      </c>
    </row>
    <row r="192" customFormat="false" ht="15" hidden="false" customHeight="false" outlineLevel="0" collapsed="false">
      <c r="A192" s="37"/>
      <c r="B192" s="36"/>
      <c r="C192" s="36"/>
      <c r="D192" s="36"/>
      <c r="E192" s="38"/>
      <c r="F192" s="36"/>
      <c r="G192" s="39" t="str">
        <f aca="false">IF(E192="","",IF(F192="Standard 5%",E192*VAT_RATE,0))</f>
        <v/>
      </c>
      <c r="H192" s="36"/>
      <c r="I192" s="39" t="str">
        <f aca="false">IF(E192="","",IF(AND(H192="Yes",F192="Standard 5%"),G192,0))</f>
        <v/>
      </c>
      <c r="J192" s="39" t="str">
        <f aca="false">IF(E192="","",E192+G192)</f>
        <v/>
      </c>
      <c r="K192" s="36"/>
      <c r="L192" s="36"/>
      <c r="M192" s="40" t="str">
        <f aca="false">IF(A192="","",IF(A192&lt;FY_START,0,(YEAR(A192)-YEAR(FY_START))*12+MONTH(A192)-MONTH(FY_START)+1))</f>
        <v/>
      </c>
      <c r="N192" s="40" t="str">
        <f aca="false">IF(A192="","",IF(AND(A192&gt;=VP_START,A192&lt;=VP_END),1,0))</f>
        <v/>
      </c>
    </row>
    <row r="193" customFormat="false" ht="15" hidden="false" customHeight="false" outlineLevel="0" collapsed="false">
      <c r="A193" s="37"/>
      <c r="B193" s="36"/>
      <c r="C193" s="36"/>
      <c r="D193" s="36"/>
      <c r="E193" s="38"/>
      <c r="F193" s="36"/>
      <c r="G193" s="39" t="str">
        <f aca="false">IF(E193="","",IF(F193="Standard 5%",E193*VAT_RATE,0))</f>
        <v/>
      </c>
      <c r="H193" s="36"/>
      <c r="I193" s="39" t="str">
        <f aca="false">IF(E193="","",IF(AND(H193="Yes",F193="Standard 5%"),G193,0))</f>
        <v/>
      </c>
      <c r="J193" s="39" t="str">
        <f aca="false">IF(E193="","",E193+G193)</f>
        <v/>
      </c>
      <c r="K193" s="36"/>
      <c r="L193" s="36"/>
      <c r="M193" s="40" t="str">
        <f aca="false">IF(A193="","",IF(A193&lt;FY_START,0,(YEAR(A193)-YEAR(FY_START))*12+MONTH(A193)-MONTH(FY_START)+1))</f>
        <v/>
      </c>
      <c r="N193" s="40" t="str">
        <f aca="false">IF(A193="","",IF(AND(A193&gt;=VP_START,A193&lt;=VP_END),1,0))</f>
        <v/>
      </c>
    </row>
    <row r="194" customFormat="false" ht="15" hidden="false" customHeight="false" outlineLevel="0" collapsed="false">
      <c r="A194" s="37"/>
      <c r="B194" s="36"/>
      <c r="C194" s="36"/>
      <c r="D194" s="36"/>
      <c r="E194" s="38"/>
      <c r="F194" s="36"/>
      <c r="G194" s="39" t="str">
        <f aca="false">IF(E194="","",IF(F194="Standard 5%",E194*VAT_RATE,0))</f>
        <v/>
      </c>
      <c r="H194" s="36"/>
      <c r="I194" s="39" t="str">
        <f aca="false">IF(E194="","",IF(AND(H194="Yes",F194="Standard 5%"),G194,0))</f>
        <v/>
      </c>
      <c r="J194" s="39" t="str">
        <f aca="false">IF(E194="","",E194+G194)</f>
        <v/>
      </c>
      <c r="K194" s="36"/>
      <c r="L194" s="36"/>
      <c r="M194" s="40" t="str">
        <f aca="false">IF(A194="","",IF(A194&lt;FY_START,0,(YEAR(A194)-YEAR(FY_START))*12+MONTH(A194)-MONTH(FY_START)+1))</f>
        <v/>
      </c>
      <c r="N194" s="40" t="str">
        <f aca="false">IF(A194="","",IF(AND(A194&gt;=VP_START,A194&lt;=VP_END),1,0))</f>
        <v/>
      </c>
    </row>
    <row r="195" customFormat="false" ht="15" hidden="false" customHeight="false" outlineLevel="0" collapsed="false">
      <c r="A195" s="37"/>
      <c r="B195" s="36"/>
      <c r="C195" s="36"/>
      <c r="D195" s="36"/>
      <c r="E195" s="38"/>
      <c r="F195" s="36"/>
      <c r="G195" s="39" t="str">
        <f aca="false">IF(E195="","",IF(F195="Standard 5%",E195*VAT_RATE,0))</f>
        <v/>
      </c>
      <c r="H195" s="36"/>
      <c r="I195" s="39" t="str">
        <f aca="false">IF(E195="","",IF(AND(H195="Yes",F195="Standard 5%"),G195,0))</f>
        <v/>
      </c>
      <c r="J195" s="39" t="str">
        <f aca="false">IF(E195="","",E195+G195)</f>
        <v/>
      </c>
      <c r="K195" s="36"/>
      <c r="L195" s="36"/>
      <c r="M195" s="40" t="str">
        <f aca="false">IF(A195="","",IF(A195&lt;FY_START,0,(YEAR(A195)-YEAR(FY_START))*12+MONTH(A195)-MONTH(FY_START)+1))</f>
        <v/>
      </c>
      <c r="N195" s="40" t="str">
        <f aca="false">IF(A195="","",IF(AND(A195&gt;=VP_START,A195&lt;=VP_END),1,0))</f>
        <v/>
      </c>
    </row>
    <row r="196" customFormat="false" ht="15" hidden="false" customHeight="false" outlineLevel="0" collapsed="false">
      <c r="A196" s="37"/>
      <c r="B196" s="36"/>
      <c r="C196" s="36"/>
      <c r="D196" s="36"/>
      <c r="E196" s="38"/>
      <c r="F196" s="36"/>
      <c r="G196" s="39" t="str">
        <f aca="false">IF(E196="","",IF(F196="Standard 5%",E196*VAT_RATE,0))</f>
        <v/>
      </c>
      <c r="H196" s="36"/>
      <c r="I196" s="39" t="str">
        <f aca="false">IF(E196="","",IF(AND(H196="Yes",F196="Standard 5%"),G196,0))</f>
        <v/>
      </c>
      <c r="J196" s="39" t="str">
        <f aca="false">IF(E196="","",E196+G196)</f>
        <v/>
      </c>
      <c r="K196" s="36"/>
      <c r="L196" s="36"/>
      <c r="M196" s="40" t="str">
        <f aca="false">IF(A196="","",IF(A196&lt;FY_START,0,(YEAR(A196)-YEAR(FY_START))*12+MONTH(A196)-MONTH(FY_START)+1))</f>
        <v/>
      </c>
      <c r="N196" s="40" t="str">
        <f aca="false">IF(A196="","",IF(AND(A196&gt;=VP_START,A196&lt;=VP_END),1,0))</f>
        <v/>
      </c>
    </row>
    <row r="197" customFormat="false" ht="15" hidden="false" customHeight="false" outlineLevel="0" collapsed="false">
      <c r="A197" s="37"/>
      <c r="B197" s="36"/>
      <c r="C197" s="36"/>
      <c r="D197" s="36"/>
      <c r="E197" s="38"/>
      <c r="F197" s="36"/>
      <c r="G197" s="39" t="str">
        <f aca="false">IF(E197="","",IF(F197="Standard 5%",E197*VAT_RATE,0))</f>
        <v/>
      </c>
      <c r="H197" s="36"/>
      <c r="I197" s="39" t="str">
        <f aca="false">IF(E197="","",IF(AND(H197="Yes",F197="Standard 5%"),G197,0))</f>
        <v/>
      </c>
      <c r="J197" s="39" t="str">
        <f aca="false">IF(E197="","",E197+G197)</f>
        <v/>
      </c>
      <c r="K197" s="36"/>
      <c r="L197" s="36"/>
      <c r="M197" s="40" t="str">
        <f aca="false">IF(A197="","",IF(A197&lt;FY_START,0,(YEAR(A197)-YEAR(FY_START))*12+MONTH(A197)-MONTH(FY_START)+1))</f>
        <v/>
      </c>
      <c r="N197" s="40" t="str">
        <f aca="false">IF(A197="","",IF(AND(A197&gt;=VP_START,A197&lt;=VP_END),1,0))</f>
        <v/>
      </c>
    </row>
    <row r="198" customFormat="false" ht="15" hidden="false" customHeight="false" outlineLevel="0" collapsed="false">
      <c r="A198" s="37"/>
      <c r="B198" s="36"/>
      <c r="C198" s="36"/>
      <c r="D198" s="36"/>
      <c r="E198" s="38"/>
      <c r="F198" s="36"/>
      <c r="G198" s="39" t="str">
        <f aca="false">IF(E198="","",IF(F198="Standard 5%",E198*VAT_RATE,0))</f>
        <v/>
      </c>
      <c r="H198" s="36"/>
      <c r="I198" s="39" t="str">
        <f aca="false">IF(E198="","",IF(AND(H198="Yes",F198="Standard 5%"),G198,0))</f>
        <v/>
      </c>
      <c r="J198" s="39" t="str">
        <f aca="false">IF(E198="","",E198+G198)</f>
        <v/>
      </c>
      <c r="K198" s="36"/>
      <c r="L198" s="36"/>
      <c r="M198" s="40" t="str">
        <f aca="false">IF(A198="","",IF(A198&lt;FY_START,0,(YEAR(A198)-YEAR(FY_START))*12+MONTH(A198)-MONTH(FY_START)+1))</f>
        <v/>
      </c>
      <c r="N198" s="40" t="str">
        <f aca="false">IF(A198="","",IF(AND(A198&gt;=VP_START,A198&lt;=VP_END),1,0))</f>
        <v/>
      </c>
    </row>
    <row r="199" customFormat="false" ht="15" hidden="false" customHeight="false" outlineLevel="0" collapsed="false">
      <c r="A199" s="37"/>
      <c r="B199" s="36"/>
      <c r="C199" s="36"/>
      <c r="D199" s="36"/>
      <c r="E199" s="38"/>
      <c r="F199" s="36"/>
      <c r="G199" s="39" t="str">
        <f aca="false">IF(E199="","",IF(F199="Standard 5%",E199*VAT_RATE,0))</f>
        <v/>
      </c>
      <c r="H199" s="36"/>
      <c r="I199" s="39" t="str">
        <f aca="false">IF(E199="","",IF(AND(H199="Yes",F199="Standard 5%"),G199,0))</f>
        <v/>
      </c>
      <c r="J199" s="39" t="str">
        <f aca="false">IF(E199="","",E199+G199)</f>
        <v/>
      </c>
      <c r="K199" s="36"/>
      <c r="L199" s="36"/>
      <c r="M199" s="40" t="str">
        <f aca="false">IF(A199="","",IF(A199&lt;FY_START,0,(YEAR(A199)-YEAR(FY_START))*12+MONTH(A199)-MONTH(FY_START)+1))</f>
        <v/>
      </c>
      <c r="N199" s="40" t="str">
        <f aca="false">IF(A199="","",IF(AND(A199&gt;=VP_START,A199&lt;=VP_END),1,0))</f>
        <v/>
      </c>
    </row>
    <row r="200" customFormat="false" ht="15" hidden="false" customHeight="false" outlineLevel="0" collapsed="false">
      <c r="A200" s="37"/>
      <c r="B200" s="36"/>
      <c r="C200" s="36"/>
      <c r="D200" s="36"/>
      <c r="E200" s="38"/>
      <c r="F200" s="36"/>
      <c r="G200" s="39" t="str">
        <f aca="false">IF(E200="","",IF(F200="Standard 5%",E200*VAT_RATE,0))</f>
        <v/>
      </c>
      <c r="H200" s="36"/>
      <c r="I200" s="39" t="str">
        <f aca="false">IF(E200="","",IF(AND(H200="Yes",F200="Standard 5%"),G200,0))</f>
        <v/>
      </c>
      <c r="J200" s="39" t="str">
        <f aca="false">IF(E200="","",E200+G200)</f>
        <v/>
      </c>
      <c r="K200" s="36"/>
      <c r="L200" s="36"/>
      <c r="M200" s="40" t="str">
        <f aca="false">IF(A200="","",IF(A200&lt;FY_START,0,(YEAR(A200)-YEAR(FY_START))*12+MONTH(A200)-MONTH(FY_START)+1))</f>
        <v/>
      </c>
      <c r="N200" s="40" t="str">
        <f aca="false">IF(A200="","",IF(AND(A200&gt;=VP_START,A200&lt;=VP_END),1,0))</f>
        <v/>
      </c>
    </row>
    <row r="201" customFormat="false" ht="15" hidden="false" customHeight="false" outlineLevel="0" collapsed="false">
      <c r="A201" s="37"/>
      <c r="B201" s="36"/>
      <c r="C201" s="36"/>
      <c r="D201" s="36"/>
      <c r="E201" s="38"/>
      <c r="F201" s="36"/>
      <c r="G201" s="39" t="str">
        <f aca="false">IF(E201="","",IF(F201="Standard 5%",E201*VAT_RATE,0))</f>
        <v/>
      </c>
      <c r="H201" s="36"/>
      <c r="I201" s="39" t="str">
        <f aca="false">IF(E201="","",IF(AND(H201="Yes",F201="Standard 5%"),G201,0))</f>
        <v/>
      </c>
      <c r="J201" s="39" t="str">
        <f aca="false">IF(E201="","",E201+G201)</f>
        <v/>
      </c>
      <c r="K201" s="36"/>
      <c r="L201" s="36"/>
      <c r="M201" s="40" t="str">
        <f aca="false">IF(A201="","",IF(A201&lt;FY_START,0,(YEAR(A201)-YEAR(FY_START))*12+MONTH(A201)-MONTH(FY_START)+1))</f>
        <v/>
      </c>
      <c r="N201" s="40" t="str">
        <f aca="false">IF(A201="","",IF(AND(A201&gt;=VP_START,A201&lt;=VP_END),1,0))</f>
        <v/>
      </c>
    </row>
    <row r="202" customFormat="false" ht="15" hidden="false" customHeight="false" outlineLevel="0" collapsed="false">
      <c r="A202" s="37"/>
      <c r="B202" s="36"/>
      <c r="C202" s="36"/>
      <c r="D202" s="36"/>
      <c r="E202" s="38"/>
      <c r="F202" s="36"/>
      <c r="G202" s="39" t="str">
        <f aca="false">IF(E202="","",IF(F202="Standard 5%",E202*VAT_RATE,0))</f>
        <v/>
      </c>
      <c r="H202" s="36"/>
      <c r="I202" s="39" t="str">
        <f aca="false">IF(E202="","",IF(AND(H202="Yes",F202="Standard 5%"),G202,0))</f>
        <v/>
      </c>
      <c r="J202" s="39" t="str">
        <f aca="false">IF(E202="","",E202+G202)</f>
        <v/>
      </c>
      <c r="K202" s="36"/>
      <c r="L202" s="36"/>
      <c r="M202" s="40" t="str">
        <f aca="false">IF(A202="","",IF(A202&lt;FY_START,0,(YEAR(A202)-YEAR(FY_START))*12+MONTH(A202)-MONTH(FY_START)+1))</f>
        <v/>
      </c>
      <c r="N202" s="40" t="str">
        <f aca="false">IF(A202="","",IF(AND(A202&gt;=VP_START,A202&lt;=VP_END),1,0))</f>
        <v/>
      </c>
    </row>
    <row r="203" customFormat="false" ht="15" hidden="false" customHeight="false" outlineLevel="0" collapsed="false">
      <c r="A203" s="37"/>
      <c r="B203" s="36"/>
      <c r="C203" s="36"/>
      <c r="D203" s="36"/>
      <c r="E203" s="38"/>
      <c r="F203" s="36"/>
      <c r="G203" s="39" t="str">
        <f aca="false">IF(E203="","",IF(F203="Standard 5%",E203*VAT_RATE,0))</f>
        <v/>
      </c>
      <c r="H203" s="36"/>
      <c r="I203" s="39" t="str">
        <f aca="false">IF(E203="","",IF(AND(H203="Yes",F203="Standard 5%"),G203,0))</f>
        <v/>
      </c>
      <c r="J203" s="39" t="str">
        <f aca="false">IF(E203="","",E203+G203)</f>
        <v/>
      </c>
      <c r="K203" s="36"/>
      <c r="L203" s="36"/>
      <c r="M203" s="40" t="str">
        <f aca="false">IF(A203="","",IF(A203&lt;FY_START,0,(YEAR(A203)-YEAR(FY_START))*12+MONTH(A203)-MONTH(FY_START)+1))</f>
        <v/>
      </c>
      <c r="N203" s="40" t="str">
        <f aca="false">IF(A203="","",IF(AND(A203&gt;=VP_START,A203&lt;=VP_END),1,0))</f>
        <v/>
      </c>
    </row>
    <row r="204" customFormat="false" ht="15" hidden="false" customHeight="false" outlineLevel="0" collapsed="false">
      <c r="A204" s="37"/>
      <c r="B204" s="36"/>
      <c r="C204" s="36"/>
      <c r="D204" s="36"/>
      <c r="E204" s="38"/>
      <c r="F204" s="36"/>
      <c r="G204" s="39" t="str">
        <f aca="false">IF(E204="","",IF(F204="Standard 5%",E204*VAT_RATE,0))</f>
        <v/>
      </c>
      <c r="H204" s="36"/>
      <c r="I204" s="39" t="str">
        <f aca="false">IF(E204="","",IF(AND(H204="Yes",F204="Standard 5%"),G204,0))</f>
        <v/>
      </c>
      <c r="J204" s="39" t="str">
        <f aca="false">IF(E204="","",E204+G204)</f>
        <v/>
      </c>
      <c r="K204" s="36"/>
      <c r="L204" s="36"/>
      <c r="M204" s="40" t="str">
        <f aca="false">IF(A204="","",IF(A204&lt;FY_START,0,(YEAR(A204)-YEAR(FY_START))*12+MONTH(A204)-MONTH(FY_START)+1))</f>
        <v/>
      </c>
      <c r="N204" s="40" t="str">
        <f aca="false">IF(A204="","",IF(AND(A204&gt;=VP_START,A204&lt;=VP_END),1,0))</f>
        <v/>
      </c>
    </row>
    <row r="205" customFormat="false" ht="15" hidden="false" customHeight="false" outlineLevel="0" collapsed="false">
      <c r="A205" s="37"/>
      <c r="B205" s="36"/>
      <c r="C205" s="36"/>
      <c r="D205" s="36"/>
      <c r="E205" s="38"/>
      <c r="F205" s="36"/>
      <c r="G205" s="39" t="str">
        <f aca="false">IF(E205="","",IF(F205="Standard 5%",E205*VAT_RATE,0))</f>
        <v/>
      </c>
      <c r="H205" s="36"/>
      <c r="I205" s="39" t="str">
        <f aca="false">IF(E205="","",IF(AND(H205="Yes",F205="Standard 5%"),G205,0))</f>
        <v/>
      </c>
      <c r="J205" s="39" t="str">
        <f aca="false">IF(E205="","",E205+G205)</f>
        <v/>
      </c>
      <c r="K205" s="36"/>
      <c r="L205" s="36"/>
      <c r="M205" s="40" t="str">
        <f aca="false">IF(A205="","",IF(A205&lt;FY_START,0,(YEAR(A205)-YEAR(FY_START))*12+MONTH(A205)-MONTH(FY_START)+1))</f>
        <v/>
      </c>
      <c r="N205" s="40" t="str">
        <f aca="false">IF(A205="","",IF(AND(A205&gt;=VP_START,A205&lt;=VP_END),1,0))</f>
        <v/>
      </c>
    </row>
    <row r="206" customFormat="false" ht="15" hidden="false" customHeight="false" outlineLevel="0" collapsed="false">
      <c r="A206" s="37"/>
      <c r="B206" s="36"/>
      <c r="C206" s="36"/>
      <c r="D206" s="36"/>
      <c r="E206" s="38"/>
      <c r="F206" s="36"/>
      <c r="G206" s="39" t="str">
        <f aca="false">IF(E206="","",IF(F206="Standard 5%",E206*VAT_RATE,0))</f>
        <v/>
      </c>
      <c r="H206" s="36"/>
      <c r="I206" s="39" t="str">
        <f aca="false">IF(E206="","",IF(AND(H206="Yes",F206="Standard 5%"),G206,0))</f>
        <v/>
      </c>
      <c r="J206" s="39" t="str">
        <f aca="false">IF(E206="","",E206+G206)</f>
        <v/>
      </c>
      <c r="K206" s="36"/>
      <c r="L206" s="36"/>
      <c r="M206" s="40" t="str">
        <f aca="false">IF(A206="","",IF(A206&lt;FY_START,0,(YEAR(A206)-YEAR(FY_START))*12+MONTH(A206)-MONTH(FY_START)+1))</f>
        <v/>
      </c>
      <c r="N206" s="40" t="str">
        <f aca="false">IF(A206="","",IF(AND(A206&gt;=VP_START,A206&lt;=VP_END),1,0))</f>
        <v/>
      </c>
    </row>
    <row r="207" customFormat="false" ht="15" hidden="false" customHeight="false" outlineLevel="0" collapsed="false">
      <c r="A207" s="37"/>
      <c r="B207" s="36"/>
      <c r="C207" s="36"/>
      <c r="D207" s="36"/>
      <c r="E207" s="38"/>
      <c r="F207" s="36"/>
      <c r="G207" s="39" t="str">
        <f aca="false">IF(E207="","",IF(F207="Standard 5%",E207*VAT_RATE,0))</f>
        <v/>
      </c>
      <c r="H207" s="36"/>
      <c r="I207" s="39" t="str">
        <f aca="false">IF(E207="","",IF(AND(H207="Yes",F207="Standard 5%"),G207,0))</f>
        <v/>
      </c>
      <c r="J207" s="39" t="str">
        <f aca="false">IF(E207="","",E207+G207)</f>
        <v/>
      </c>
      <c r="K207" s="36"/>
      <c r="L207" s="36"/>
      <c r="M207" s="40" t="str">
        <f aca="false">IF(A207="","",IF(A207&lt;FY_START,0,(YEAR(A207)-YEAR(FY_START))*12+MONTH(A207)-MONTH(FY_START)+1))</f>
        <v/>
      </c>
      <c r="N207" s="40" t="str">
        <f aca="false">IF(A207="","",IF(AND(A207&gt;=VP_START,A207&lt;=VP_END),1,0))</f>
        <v/>
      </c>
    </row>
    <row r="208" customFormat="false" ht="15" hidden="false" customHeight="false" outlineLevel="0" collapsed="false">
      <c r="A208" s="37"/>
      <c r="B208" s="36"/>
      <c r="C208" s="36"/>
      <c r="D208" s="36"/>
      <c r="E208" s="38"/>
      <c r="F208" s="36"/>
      <c r="G208" s="39" t="str">
        <f aca="false">IF(E208="","",IF(F208="Standard 5%",E208*VAT_RATE,0))</f>
        <v/>
      </c>
      <c r="H208" s="36"/>
      <c r="I208" s="39" t="str">
        <f aca="false">IF(E208="","",IF(AND(H208="Yes",F208="Standard 5%"),G208,0))</f>
        <v/>
      </c>
      <c r="J208" s="39" t="str">
        <f aca="false">IF(E208="","",E208+G208)</f>
        <v/>
      </c>
      <c r="K208" s="36"/>
      <c r="L208" s="36"/>
      <c r="M208" s="40" t="str">
        <f aca="false">IF(A208="","",IF(A208&lt;FY_START,0,(YEAR(A208)-YEAR(FY_START))*12+MONTH(A208)-MONTH(FY_START)+1))</f>
        <v/>
      </c>
      <c r="N208" s="40" t="str">
        <f aca="false">IF(A208="","",IF(AND(A208&gt;=VP_START,A208&lt;=VP_END),1,0))</f>
        <v/>
      </c>
    </row>
    <row r="209" customFormat="false" ht="15" hidden="false" customHeight="false" outlineLevel="0" collapsed="false">
      <c r="A209" s="37"/>
      <c r="B209" s="36"/>
      <c r="C209" s="36"/>
      <c r="D209" s="36"/>
      <c r="E209" s="38"/>
      <c r="F209" s="36"/>
      <c r="G209" s="39" t="str">
        <f aca="false">IF(E209="","",IF(F209="Standard 5%",E209*VAT_RATE,0))</f>
        <v/>
      </c>
      <c r="H209" s="36"/>
      <c r="I209" s="39" t="str">
        <f aca="false">IF(E209="","",IF(AND(H209="Yes",F209="Standard 5%"),G209,0))</f>
        <v/>
      </c>
      <c r="J209" s="39" t="str">
        <f aca="false">IF(E209="","",E209+G209)</f>
        <v/>
      </c>
      <c r="K209" s="36"/>
      <c r="L209" s="36"/>
      <c r="M209" s="40" t="str">
        <f aca="false">IF(A209="","",IF(A209&lt;FY_START,0,(YEAR(A209)-YEAR(FY_START))*12+MONTH(A209)-MONTH(FY_START)+1))</f>
        <v/>
      </c>
      <c r="N209" s="40" t="str">
        <f aca="false">IF(A209="","",IF(AND(A209&gt;=VP_START,A209&lt;=VP_END),1,0))</f>
        <v/>
      </c>
    </row>
    <row r="210" customFormat="false" ht="15" hidden="false" customHeight="false" outlineLevel="0" collapsed="false">
      <c r="A210" s="37"/>
      <c r="B210" s="36"/>
      <c r="C210" s="36"/>
      <c r="D210" s="36"/>
      <c r="E210" s="38"/>
      <c r="F210" s="36"/>
      <c r="G210" s="39" t="str">
        <f aca="false">IF(E210="","",IF(F210="Standard 5%",E210*VAT_RATE,0))</f>
        <v/>
      </c>
      <c r="H210" s="36"/>
      <c r="I210" s="39" t="str">
        <f aca="false">IF(E210="","",IF(AND(H210="Yes",F210="Standard 5%"),G210,0))</f>
        <v/>
      </c>
      <c r="J210" s="39" t="str">
        <f aca="false">IF(E210="","",E210+G210)</f>
        <v/>
      </c>
      <c r="K210" s="36"/>
      <c r="L210" s="36"/>
      <c r="M210" s="40" t="str">
        <f aca="false">IF(A210="","",IF(A210&lt;FY_START,0,(YEAR(A210)-YEAR(FY_START))*12+MONTH(A210)-MONTH(FY_START)+1))</f>
        <v/>
      </c>
      <c r="N210" s="40" t="str">
        <f aca="false">IF(A210="","",IF(AND(A210&gt;=VP_START,A210&lt;=VP_END),1,0))</f>
        <v/>
      </c>
    </row>
    <row r="211" customFormat="false" ht="15" hidden="false" customHeight="false" outlineLevel="0" collapsed="false">
      <c r="A211" s="37"/>
      <c r="B211" s="36"/>
      <c r="C211" s="36"/>
      <c r="D211" s="36"/>
      <c r="E211" s="38"/>
      <c r="F211" s="36"/>
      <c r="G211" s="39" t="str">
        <f aca="false">IF(E211="","",IF(F211="Standard 5%",E211*VAT_RATE,0))</f>
        <v/>
      </c>
      <c r="H211" s="36"/>
      <c r="I211" s="39" t="str">
        <f aca="false">IF(E211="","",IF(AND(H211="Yes",F211="Standard 5%"),G211,0))</f>
        <v/>
      </c>
      <c r="J211" s="39" t="str">
        <f aca="false">IF(E211="","",E211+G211)</f>
        <v/>
      </c>
      <c r="K211" s="36"/>
      <c r="L211" s="36"/>
      <c r="M211" s="40" t="str">
        <f aca="false">IF(A211="","",IF(A211&lt;FY_START,0,(YEAR(A211)-YEAR(FY_START))*12+MONTH(A211)-MONTH(FY_START)+1))</f>
        <v/>
      </c>
      <c r="N211" s="40" t="str">
        <f aca="false">IF(A211="","",IF(AND(A211&gt;=VP_START,A211&lt;=VP_END),1,0))</f>
        <v/>
      </c>
    </row>
    <row r="212" customFormat="false" ht="15" hidden="false" customHeight="false" outlineLevel="0" collapsed="false">
      <c r="A212" s="37"/>
      <c r="B212" s="36"/>
      <c r="C212" s="36"/>
      <c r="D212" s="36"/>
      <c r="E212" s="38"/>
      <c r="F212" s="36"/>
      <c r="G212" s="39" t="str">
        <f aca="false">IF(E212="","",IF(F212="Standard 5%",E212*VAT_RATE,0))</f>
        <v/>
      </c>
      <c r="H212" s="36"/>
      <c r="I212" s="39" t="str">
        <f aca="false">IF(E212="","",IF(AND(H212="Yes",F212="Standard 5%"),G212,0))</f>
        <v/>
      </c>
      <c r="J212" s="39" t="str">
        <f aca="false">IF(E212="","",E212+G212)</f>
        <v/>
      </c>
      <c r="K212" s="36"/>
      <c r="L212" s="36"/>
      <c r="M212" s="40" t="str">
        <f aca="false">IF(A212="","",IF(A212&lt;FY_START,0,(YEAR(A212)-YEAR(FY_START))*12+MONTH(A212)-MONTH(FY_START)+1))</f>
        <v/>
      </c>
      <c r="N212" s="40" t="str">
        <f aca="false">IF(A212="","",IF(AND(A212&gt;=VP_START,A212&lt;=VP_END),1,0))</f>
        <v/>
      </c>
    </row>
    <row r="213" customFormat="false" ht="15" hidden="false" customHeight="false" outlineLevel="0" collapsed="false">
      <c r="A213" s="37"/>
      <c r="B213" s="36"/>
      <c r="C213" s="36"/>
      <c r="D213" s="36"/>
      <c r="E213" s="38"/>
      <c r="F213" s="36"/>
      <c r="G213" s="39" t="str">
        <f aca="false">IF(E213="","",IF(F213="Standard 5%",E213*VAT_RATE,0))</f>
        <v/>
      </c>
      <c r="H213" s="36"/>
      <c r="I213" s="39" t="str">
        <f aca="false">IF(E213="","",IF(AND(H213="Yes",F213="Standard 5%"),G213,0))</f>
        <v/>
      </c>
      <c r="J213" s="39" t="str">
        <f aca="false">IF(E213="","",E213+G213)</f>
        <v/>
      </c>
      <c r="K213" s="36"/>
      <c r="L213" s="36"/>
      <c r="M213" s="40" t="str">
        <f aca="false">IF(A213="","",IF(A213&lt;FY_START,0,(YEAR(A213)-YEAR(FY_START))*12+MONTH(A213)-MONTH(FY_START)+1))</f>
        <v/>
      </c>
      <c r="N213" s="40" t="str">
        <f aca="false">IF(A213="","",IF(AND(A213&gt;=VP_START,A213&lt;=VP_END),1,0))</f>
        <v/>
      </c>
    </row>
    <row r="214" customFormat="false" ht="15" hidden="false" customHeight="false" outlineLevel="0" collapsed="false">
      <c r="A214" s="37"/>
      <c r="B214" s="36"/>
      <c r="C214" s="36"/>
      <c r="D214" s="36"/>
      <c r="E214" s="38"/>
      <c r="F214" s="36"/>
      <c r="G214" s="39" t="str">
        <f aca="false">IF(E214="","",IF(F214="Standard 5%",E214*VAT_RATE,0))</f>
        <v/>
      </c>
      <c r="H214" s="36"/>
      <c r="I214" s="39" t="str">
        <f aca="false">IF(E214="","",IF(AND(H214="Yes",F214="Standard 5%"),G214,0))</f>
        <v/>
      </c>
      <c r="J214" s="39" t="str">
        <f aca="false">IF(E214="","",E214+G214)</f>
        <v/>
      </c>
      <c r="K214" s="36"/>
      <c r="L214" s="36"/>
      <c r="M214" s="40" t="str">
        <f aca="false">IF(A214="","",IF(A214&lt;FY_START,0,(YEAR(A214)-YEAR(FY_START))*12+MONTH(A214)-MONTH(FY_START)+1))</f>
        <v/>
      </c>
      <c r="N214" s="40" t="str">
        <f aca="false">IF(A214="","",IF(AND(A214&gt;=VP_START,A214&lt;=VP_END),1,0))</f>
        <v/>
      </c>
    </row>
    <row r="215" customFormat="false" ht="15" hidden="false" customHeight="false" outlineLevel="0" collapsed="false">
      <c r="A215" s="37"/>
      <c r="B215" s="36"/>
      <c r="C215" s="36"/>
      <c r="D215" s="36"/>
      <c r="E215" s="38"/>
      <c r="F215" s="36"/>
      <c r="G215" s="39" t="str">
        <f aca="false">IF(E215="","",IF(F215="Standard 5%",E215*VAT_RATE,0))</f>
        <v/>
      </c>
      <c r="H215" s="36"/>
      <c r="I215" s="39" t="str">
        <f aca="false">IF(E215="","",IF(AND(H215="Yes",F215="Standard 5%"),G215,0))</f>
        <v/>
      </c>
      <c r="J215" s="39" t="str">
        <f aca="false">IF(E215="","",E215+G215)</f>
        <v/>
      </c>
      <c r="K215" s="36"/>
      <c r="L215" s="36"/>
      <c r="M215" s="40" t="str">
        <f aca="false">IF(A215="","",IF(A215&lt;FY_START,0,(YEAR(A215)-YEAR(FY_START))*12+MONTH(A215)-MONTH(FY_START)+1))</f>
        <v/>
      </c>
      <c r="N215" s="40" t="str">
        <f aca="false">IF(A215="","",IF(AND(A215&gt;=VP_START,A215&lt;=VP_END),1,0))</f>
        <v/>
      </c>
    </row>
    <row r="216" customFormat="false" ht="15" hidden="false" customHeight="false" outlineLevel="0" collapsed="false">
      <c r="A216" s="37"/>
      <c r="B216" s="36"/>
      <c r="C216" s="36"/>
      <c r="D216" s="36"/>
      <c r="E216" s="38"/>
      <c r="F216" s="36"/>
      <c r="G216" s="39" t="str">
        <f aca="false">IF(E216="","",IF(F216="Standard 5%",E216*VAT_RATE,0))</f>
        <v/>
      </c>
      <c r="H216" s="36"/>
      <c r="I216" s="39" t="str">
        <f aca="false">IF(E216="","",IF(AND(H216="Yes",F216="Standard 5%"),G216,0))</f>
        <v/>
      </c>
      <c r="J216" s="39" t="str">
        <f aca="false">IF(E216="","",E216+G216)</f>
        <v/>
      </c>
      <c r="K216" s="36"/>
      <c r="L216" s="36"/>
      <c r="M216" s="40" t="str">
        <f aca="false">IF(A216="","",IF(A216&lt;FY_START,0,(YEAR(A216)-YEAR(FY_START))*12+MONTH(A216)-MONTH(FY_START)+1))</f>
        <v/>
      </c>
      <c r="N216" s="40" t="str">
        <f aca="false">IF(A216="","",IF(AND(A216&gt;=VP_START,A216&lt;=VP_END),1,0))</f>
        <v/>
      </c>
    </row>
    <row r="217" customFormat="false" ht="15" hidden="false" customHeight="false" outlineLevel="0" collapsed="false">
      <c r="A217" s="37"/>
      <c r="B217" s="36"/>
      <c r="C217" s="36"/>
      <c r="D217" s="36"/>
      <c r="E217" s="38"/>
      <c r="F217" s="36"/>
      <c r="G217" s="39" t="str">
        <f aca="false">IF(E217="","",IF(F217="Standard 5%",E217*VAT_RATE,0))</f>
        <v/>
      </c>
      <c r="H217" s="36"/>
      <c r="I217" s="39" t="str">
        <f aca="false">IF(E217="","",IF(AND(H217="Yes",F217="Standard 5%"),G217,0))</f>
        <v/>
      </c>
      <c r="J217" s="39" t="str">
        <f aca="false">IF(E217="","",E217+G217)</f>
        <v/>
      </c>
      <c r="K217" s="36"/>
      <c r="L217" s="36"/>
      <c r="M217" s="40" t="str">
        <f aca="false">IF(A217="","",IF(A217&lt;FY_START,0,(YEAR(A217)-YEAR(FY_START))*12+MONTH(A217)-MONTH(FY_START)+1))</f>
        <v/>
      </c>
      <c r="N217" s="40" t="str">
        <f aca="false">IF(A217="","",IF(AND(A217&gt;=VP_START,A217&lt;=VP_END),1,0))</f>
        <v/>
      </c>
    </row>
    <row r="218" customFormat="false" ht="15" hidden="false" customHeight="false" outlineLevel="0" collapsed="false">
      <c r="A218" s="37"/>
      <c r="B218" s="36"/>
      <c r="C218" s="36"/>
      <c r="D218" s="36"/>
      <c r="E218" s="38"/>
      <c r="F218" s="36"/>
      <c r="G218" s="39" t="str">
        <f aca="false">IF(E218="","",IF(F218="Standard 5%",E218*VAT_RATE,0))</f>
        <v/>
      </c>
      <c r="H218" s="36"/>
      <c r="I218" s="39" t="str">
        <f aca="false">IF(E218="","",IF(AND(H218="Yes",F218="Standard 5%"),G218,0))</f>
        <v/>
      </c>
      <c r="J218" s="39" t="str">
        <f aca="false">IF(E218="","",E218+G218)</f>
        <v/>
      </c>
      <c r="K218" s="36"/>
      <c r="L218" s="36"/>
      <c r="M218" s="40" t="str">
        <f aca="false">IF(A218="","",IF(A218&lt;FY_START,0,(YEAR(A218)-YEAR(FY_START))*12+MONTH(A218)-MONTH(FY_START)+1))</f>
        <v/>
      </c>
      <c r="N218" s="40" t="str">
        <f aca="false">IF(A218="","",IF(AND(A218&gt;=VP_START,A218&lt;=VP_END),1,0))</f>
        <v/>
      </c>
    </row>
    <row r="219" customFormat="false" ht="15" hidden="false" customHeight="false" outlineLevel="0" collapsed="false">
      <c r="A219" s="37"/>
      <c r="B219" s="36"/>
      <c r="C219" s="36"/>
      <c r="D219" s="36"/>
      <c r="E219" s="38"/>
      <c r="F219" s="36"/>
      <c r="G219" s="39" t="str">
        <f aca="false">IF(E219="","",IF(F219="Standard 5%",E219*VAT_RATE,0))</f>
        <v/>
      </c>
      <c r="H219" s="36"/>
      <c r="I219" s="39" t="str">
        <f aca="false">IF(E219="","",IF(AND(H219="Yes",F219="Standard 5%"),G219,0))</f>
        <v/>
      </c>
      <c r="J219" s="39" t="str">
        <f aca="false">IF(E219="","",E219+G219)</f>
        <v/>
      </c>
      <c r="K219" s="36"/>
      <c r="L219" s="36"/>
      <c r="M219" s="40" t="str">
        <f aca="false">IF(A219="","",IF(A219&lt;FY_START,0,(YEAR(A219)-YEAR(FY_START))*12+MONTH(A219)-MONTH(FY_START)+1))</f>
        <v/>
      </c>
      <c r="N219" s="40" t="str">
        <f aca="false">IF(A219="","",IF(AND(A219&gt;=VP_START,A219&lt;=VP_END),1,0))</f>
        <v/>
      </c>
    </row>
    <row r="220" customFormat="false" ht="15" hidden="false" customHeight="false" outlineLevel="0" collapsed="false">
      <c r="A220" s="37"/>
      <c r="B220" s="36"/>
      <c r="C220" s="36"/>
      <c r="D220" s="36"/>
      <c r="E220" s="38"/>
      <c r="F220" s="36"/>
      <c r="G220" s="39" t="str">
        <f aca="false">IF(E220="","",IF(F220="Standard 5%",E220*VAT_RATE,0))</f>
        <v/>
      </c>
      <c r="H220" s="36"/>
      <c r="I220" s="39" t="str">
        <f aca="false">IF(E220="","",IF(AND(H220="Yes",F220="Standard 5%"),G220,0))</f>
        <v/>
      </c>
      <c r="J220" s="39" t="str">
        <f aca="false">IF(E220="","",E220+G220)</f>
        <v/>
      </c>
      <c r="K220" s="36"/>
      <c r="L220" s="36"/>
      <c r="M220" s="40" t="str">
        <f aca="false">IF(A220="","",IF(A220&lt;FY_START,0,(YEAR(A220)-YEAR(FY_START))*12+MONTH(A220)-MONTH(FY_START)+1))</f>
        <v/>
      </c>
      <c r="N220" s="40" t="str">
        <f aca="false">IF(A220="","",IF(AND(A220&gt;=VP_START,A220&lt;=VP_END),1,0))</f>
        <v/>
      </c>
    </row>
    <row r="221" customFormat="false" ht="15" hidden="false" customHeight="false" outlineLevel="0" collapsed="false">
      <c r="A221" s="37"/>
      <c r="B221" s="36"/>
      <c r="C221" s="36"/>
      <c r="D221" s="36"/>
      <c r="E221" s="38"/>
      <c r="F221" s="36"/>
      <c r="G221" s="39" t="str">
        <f aca="false">IF(E221="","",IF(F221="Standard 5%",E221*VAT_RATE,0))</f>
        <v/>
      </c>
      <c r="H221" s="36"/>
      <c r="I221" s="39" t="str">
        <f aca="false">IF(E221="","",IF(AND(H221="Yes",F221="Standard 5%"),G221,0))</f>
        <v/>
      </c>
      <c r="J221" s="39" t="str">
        <f aca="false">IF(E221="","",E221+G221)</f>
        <v/>
      </c>
      <c r="K221" s="36"/>
      <c r="L221" s="36"/>
      <c r="M221" s="40" t="str">
        <f aca="false">IF(A221="","",IF(A221&lt;FY_START,0,(YEAR(A221)-YEAR(FY_START))*12+MONTH(A221)-MONTH(FY_START)+1))</f>
        <v/>
      </c>
      <c r="N221" s="40" t="str">
        <f aca="false">IF(A221="","",IF(AND(A221&gt;=VP_START,A221&lt;=VP_END),1,0))</f>
        <v/>
      </c>
    </row>
    <row r="222" customFormat="false" ht="15" hidden="false" customHeight="false" outlineLevel="0" collapsed="false">
      <c r="A222" s="37"/>
      <c r="B222" s="36"/>
      <c r="C222" s="36"/>
      <c r="D222" s="36"/>
      <c r="E222" s="38"/>
      <c r="F222" s="36"/>
      <c r="G222" s="39" t="str">
        <f aca="false">IF(E222="","",IF(F222="Standard 5%",E222*VAT_RATE,0))</f>
        <v/>
      </c>
      <c r="H222" s="36"/>
      <c r="I222" s="39" t="str">
        <f aca="false">IF(E222="","",IF(AND(H222="Yes",F222="Standard 5%"),G222,0))</f>
        <v/>
      </c>
      <c r="J222" s="39" t="str">
        <f aca="false">IF(E222="","",E222+G222)</f>
        <v/>
      </c>
      <c r="K222" s="36"/>
      <c r="L222" s="36"/>
      <c r="M222" s="40" t="str">
        <f aca="false">IF(A222="","",IF(A222&lt;FY_START,0,(YEAR(A222)-YEAR(FY_START))*12+MONTH(A222)-MONTH(FY_START)+1))</f>
        <v/>
      </c>
      <c r="N222" s="40" t="str">
        <f aca="false">IF(A222="","",IF(AND(A222&gt;=VP_START,A222&lt;=VP_END),1,0))</f>
        <v/>
      </c>
    </row>
    <row r="223" customFormat="false" ht="15" hidden="false" customHeight="false" outlineLevel="0" collapsed="false">
      <c r="A223" s="37"/>
      <c r="B223" s="36"/>
      <c r="C223" s="36"/>
      <c r="D223" s="36"/>
      <c r="E223" s="38"/>
      <c r="F223" s="36"/>
      <c r="G223" s="39" t="str">
        <f aca="false">IF(E223="","",IF(F223="Standard 5%",E223*VAT_RATE,0))</f>
        <v/>
      </c>
      <c r="H223" s="36"/>
      <c r="I223" s="39" t="str">
        <f aca="false">IF(E223="","",IF(AND(H223="Yes",F223="Standard 5%"),G223,0))</f>
        <v/>
      </c>
      <c r="J223" s="39" t="str">
        <f aca="false">IF(E223="","",E223+G223)</f>
        <v/>
      </c>
      <c r="K223" s="36"/>
      <c r="L223" s="36"/>
      <c r="M223" s="40" t="str">
        <f aca="false">IF(A223="","",IF(A223&lt;FY_START,0,(YEAR(A223)-YEAR(FY_START))*12+MONTH(A223)-MONTH(FY_START)+1))</f>
        <v/>
      </c>
      <c r="N223" s="40" t="str">
        <f aca="false">IF(A223="","",IF(AND(A223&gt;=VP_START,A223&lt;=VP_END),1,0))</f>
        <v/>
      </c>
    </row>
    <row r="224" customFormat="false" ht="15" hidden="false" customHeight="false" outlineLevel="0" collapsed="false">
      <c r="A224" s="37"/>
      <c r="B224" s="36"/>
      <c r="C224" s="36"/>
      <c r="D224" s="36"/>
      <c r="E224" s="38"/>
      <c r="F224" s="36"/>
      <c r="G224" s="39" t="str">
        <f aca="false">IF(E224="","",IF(F224="Standard 5%",E224*VAT_RATE,0))</f>
        <v/>
      </c>
      <c r="H224" s="36"/>
      <c r="I224" s="39" t="str">
        <f aca="false">IF(E224="","",IF(AND(H224="Yes",F224="Standard 5%"),G224,0))</f>
        <v/>
      </c>
      <c r="J224" s="39" t="str">
        <f aca="false">IF(E224="","",E224+G224)</f>
        <v/>
      </c>
      <c r="K224" s="36"/>
      <c r="L224" s="36"/>
      <c r="M224" s="40" t="str">
        <f aca="false">IF(A224="","",IF(A224&lt;FY_START,0,(YEAR(A224)-YEAR(FY_START))*12+MONTH(A224)-MONTH(FY_START)+1))</f>
        <v/>
      </c>
      <c r="N224" s="40" t="str">
        <f aca="false">IF(A224="","",IF(AND(A224&gt;=VP_START,A224&lt;=VP_END),1,0))</f>
        <v/>
      </c>
    </row>
    <row r="225" customFormat="false" ht="15" hidden="false" customHeight="false" outlineLevel="0" collapsed="false">
      <c r="A225" s="37"/>
      <c r="B225" s="36"/>
      <c r="C225" s="36"/>
      <c r="D225" s="36"/>
      <c r="E225" s="38"/>
      <c r="F225" s="36"/>
      <c r="G225" s="39" t="str">
        <f aca="false">IF(E225="","",IF(F225="Standard 5%",E225*VAT_RATE,0))</f>
        <v/>
      </c>
      <c r="H225" s="36"/>
      <c r="I225" s="39" t="str">
        <f aca="false">IF(E225="","",IF(AND(H225="Yes",F225="Standard 5%"),G225,0))</f>
        <v/>
      </c>
      <c r="J225" s="39" t="str">
        <f aca="false">IF(E225="","",E225+G225)</f>
        <v/>
      </c>
      <c r="K225" s="36"/>
      <c r="L225" s="36"/>
      <c r="M225" s="40" t="str">
        <f aca="false">IF(A225="","",IF(A225&lt;FY_START,0,(YEAR(A225)-YEAR(FY_START))*12+MONTH(A225)-MONTH(FY_START)+1))</f>
        <v/>
      </c>
      <c r="N225" s="40" t="str">
        <f aca="false">IF(A225="","",IF(AND(A225&gt;=VP_START,A225&lt;=VP_END),1,0))</f>
        <v/>
      </c>
    </row>
    <row r="226" customFormat="false" ht="15" hidden="false" customHeight="false" outlineLevel="0" collapsed="false">
      <c r="A226" s="37"/>
      <c r="B226" s="36"/>
      <c r="C226" s="36"/>
      <c r="D226" s="36"/>
      <c r="E226" s="38"/>
      <c r="F226" s="36"/>
      <c r="G226" s="39" t="str">
        <f aca="false">IF(E226="","",IF(F226="Standard 5%",E226*VAT_RATE,0))</f>
        <v/>
      </c>
      <c r="H226" s="36"/>
      <c r="I226" s="39" t="str">
        <f aca="false">IF(E226="","",IF(AND(H226="Yes",F226="Standard 5%"),G226,0))</f>
        <v/>
      </c>
      <c r="J226" s="39" t="str">
        <f aca="false">IF(E226="","",E226+G226)</f>
        <v/>
      </c>
      <c r="K226" s="36"/>
      <c r="L226" s="36"/>
      <c r="M226" s="40" t="str">
        <f aca="false">IF(A226="","",IF(A226&lt;FY_START,0,(YEAR(A226)-YEAR(FY_START))*12+MONTH(A226)-MONTH(FY_START)+1))</f>
        <v/>
      </c>
      <c r="N226" s="40" t="str">
        <f aca="false">IF(A226="","",IF(AND(A226&gt;=VP_START,A226&lt;=VP_END),1,0))</f>
        <v/>
      </c>
    </row>
    <row r="227" customFormat="false" ht="15" hidden="false" customHeight="false" outlineLevel="0" collapsed="false">
      <c r="A227" s="37"/>
      <c r="B227" s="36"/>
      <c r="C227" s="36"/>
      <c r="D227" s="36"/>
      <c r="E227" s="38"/>
      <c r="F227" s="36"/>
      <c r="G227" s="39" t="str">
        <f aca="false">IF(E227="","",IF(F227="Standard 5%",E227*VAT_RATE,0))</f>
        <v/>
      </c>
      <c r="H227" s="36"/>
      <c r="I227" s="39" t="str">
        <f aca="false">IF(E227="","",IF(AND(H227="Yes",F227="Standard 5%"),G227,0))</f>
        <v/>
      </c>
      <c r="J227" s="39" t="str">
        <f aca="false">IF(E227="","",E227+G227)</f>
        <v/>
      </c>
      <c r="K227" s="36"/>
      <c r="L227" s="36"/>
      <c r="M227" s="40" t="str">
        <f aca="false">IF(A227="","",IF(A227&lt;FY_START,0,(YEAR(A227)-YEAR(FY_START))*12+MONTH(A227)-MONTH(FY_START)+1))</f>
        <v/>
      </c>
      <c r="N227" s="40" t="str">
        <f aca="false">IF(A227="","",IF(AND(A227&gt;=VP_START,A227&lt;=VP_END),1,0))</f>
        <v/>
      </c>
    </row>
    <row r="228" customFormat="false" ht="15" hidden="false" customHeight="false" outlineLevel="0" collapsed="false">
      <c r="A228" s="37"/>
      <c r="B228" s="36"/>
      <c r="C228" s="36"/>
      <c r="D228" s="36"/>
      <c r="E228" s="38"/>
      <c r="F228" s="36"/>
      <c r="G228" s="39" t="str">
        <f aca="false">IF(E228="","",IF(F228="Standard 5%",E228*VAT_RATE,0))</f>
        <v/>
      </c>
      <c r="H228" s="36"/>
      <c r="I228" s="39" t="str">
        <f aca="false">IF(E228="","",IF(AND(H228="Yes",F228="Standard 5%"),G228,0))</f>
        <v/>
      </c>
      <c r="J228" s="39" t="str">
        <f aca="false">IF(E228="","",E228+G228)</f>
        <v/>
      </c>
      <c r="K228" s="36"/>
      <c r="L228" s="36"/>
      <c r="M228" s="40" t="str">
        <f aca="false">IF(A228="","",IF(A228&lt;FY_START,0,(YEAR(A228)-YEAR(FY_START))*12+MONTH(A228)-MONTH(FY_START)+1))</f>
        <v/>
      </c>
      <c r="N228" s="40" t="str">
        <f aca="false">IF(A228="","",IF(AND(A228&gt;=VP_START,A228&lt;=VP_END),1,0))</f>
        <v/>
      </c>
    </row>
    <row r="229" customFormat="false" ht="15" hidden="false" customHeight="false" outlineLevel="0" collapsed="false">
      <c r="A229" s="37"/>
      <c r="B229" s="36"/>
      <c r="C229" s="36"/>
      <c r="D229" s="36"/>
      <c r="E229" s="38"/>
      <c r="F229" s="36"/>
      <c r="G229" s="39" t="str">
        <f aca="false">IF(E229="","",IF(F229="Standard 5%",E229*VAT_RATE,0))</f>
        <v/>
      </c>
      <c r="H229" s="36"/>
      <c r="I229" s="39" t="str">
        <f aca="false">IF(E229="","",IF(AND(H229="Yes",F229="Standard 5%"),G229,0))</f>
        <v/>
      </c>
      <c r="J229" s="39" t="str">
        <f aca="false">IF(E229="","",E229+G229)</f>
        <v/>
      </c>
      <c r="K229" s="36"/>
      <c r="L229" s="36"/>
      <c r="M229" s="40" t="str">
        <f aca="false">IF(A229="","",IF(A229&lt;FY_START,0,(YEAR(A229)-YEAR(FY_START))*12+MONTH(A229)-MONTH(FY_START)+1))</f>
        <v/>
      </c>
      <c r="N229" s="40" t="str">
        <f aca="false">IF(A229="","",IF(AND(A229&gt;=VP_START,A229&lt;=VP_END),1,0))</f>
        <v/>
      </c>
    </row>
    <row r="230" customFormat="false" ht="15" hidden="false" customHeight="false" outlineLevel="0" collapsed="false">
      <c r="A230" s="37"/>
      <c r="B230" s="36"/>
      <c r="C230" s="36"/>
      <c r="D230" s="36"/>
      <c r="E230" s="38"/>
      <c r="F230" s="36"/>
      <c r="G230" s="39" t="str">
        <f aca="false">IF(E230="","",IF(F230="Standard 5%",E230*VAT_RATE,0))</f>
        <v/>
      </c>
      <c r="H230" s="36"/>
      <c r="I230" s="39" t="str">
        <f aca="false">IF(E230="","",IF(AND(H230="Yes",F230="Standard 5%"),G230,0))</f>
        <v/>
      </c>
      <c r="J230" s="39" t="str">
        <f aca="false">IF(E230="","",E230+G230)</f>
        <v/>
      </c>
      <c r="K230" s="36"/>
      <c r="L230" s="36"/>
      <c r="M230" s="40" t="str">
        <f aca="false">IF(A230="","",IF(A230&lt;FY_START,0,(YEAR(A230)-YEAR(FY_START))*12+MONTH(A230)-MONTH(FY_START)+1))</f>
        <v/>
      </c>
      <c r="N230" s="40" t="str">
        <f aca="false">IF(A230="","",IF(AND(A230&gt;=VP_START,A230&lt;=VP_END),1,0))</f>
        <v/>
      </c>
    </row>
    <row r="231" customFormat="false" ht="15" hidden="false" customHeight="false" outlineLevel="0" collapsed="false">
      <c r="A231" s="37"/>
      <c r="B231" s="36"/>
      <c r="C231" s="36"/>
      <c r="D231" s="36"/>
      <c r="E231" s="38"/>
      <c r="F231" s="36"/>
      <c r="G231" s="39" t="str">
        <f aca="false">IF(E231="","",IF(F231="Standard 5%",E231*VAT_RATE,0))</f>
        <v/>
      </c>
      <c r="H231" s="36"/>
      <c r="I231" s="39" t="str">
        <f aca="false">IF(E231="","",IF(AND(H231="Yes",F231="Standard 5%"),G231,0))</f>
        <v/>
      </c>
      <c r="J231" s="39" t="str">
        <f aca="false">IF(E231="","",E231+G231)</f>
        <v/>
      </c>
      <c r="K231" s="36"/>
      <c r="L231" s="36"/>
      <c r="M231" s="40" t="str">
        <f aca="false">IF(A231="","",IF(A231&lt;FY_START,0,(YEAR(A231)-YEAR(FY_START))*12+MONTH(A231)-MONTH(FY_START)+1))</f>
        <v/>
      </c>
      <c r="N231" s="40" t="str">
        <f aca="false">IF(A231="","",IF(AND(A231&gt;=VP_START,A231&lt;=VP_END),1,0))</f>
        <v/>
      </c>
    </row>
    <row r="232" customFormat="false" ht="15" hidden="false" customHeight="false" outlineLevel="0" collapsed="false">
      <c r="A232" s="37"/>
      <c r="B232" s="36"/>
      <c r="C232" s="36"/>
      <c r="D232" s="36"/>
      <c r="E232" s="38"/>
      <c r="F232" s="36"/>
      <c r="G232" s="39" t="str">
        <f aca="false">IF(E232="","",IF(F232="Standard 5%",E232*VAT_RATE,0))</f>
        <v/>
      </c>
      <c r="H232" s="36"/>
      <c r="I232" s="39" t="str">
        <f aca="false">IF(E232="","",IF(AND(H232="Yes",F232="Standard 5%"),G232,0))</f>
        <v/>
      </c>
      <c r="J232" s="39" t="str">
        <f aca="false">IF(E232="","",E232+G232)</f>
        <v/>
      </c>
      <c r="K232" s="36"/>
      <c r="L232" s="36"/>
      <c r="M232" s="40" t="str">
        <f aca="false">IF(A232="","",IF(A232&lt;FY_START,0,(YEAR(A232)-YEAR(FY_START))*12+MONTH(A232)-MONTH(FY_START)+1))</f>
        <v/>
      </c>
      <c r="N232" s="40" t="str">
        <f aca="false">IF(A232="","",IF(AND(A232&gt;=VP_START,A232&lt;=VP_END),1,0))</f>
        <v/>
      </c>
    </row>
    <row r="233" customFormat="false" ht="15" hidden="false" customHeight="false" outlineLevel="0" collapsed="false">
      <c r="A233" s="37"/>
      <c r="B233" s="36"/>
      <c r="C233" s="36"/>
      <c r="D233" s="36"/>
      <c r="E233" s="38"/>
      <c r="F233" s="36"/>
      <c r="G233" s="39" t="str">
        <f aca="false">IF(E233="","",IF(F233="Standard 5%",E233*VAT_RATE,0))</f>
        <v/>
      </c>
      <c r="H233" s="36"/>
      <c r="I233" s="39" t="str">
        <f aca="false">IF(E233="","",IF(AND(H233="Yes",F233="Standard 5%"),G233,0))</f>
        <v/>
      </c>
      <c r="J233" s="39" t="str">
        <f aca="false">IF(E233="","",E233+G233)</f>
        <v/>
      </c>
      <c r="K233" s="36"/>
      <c r="L233" s="36"/>
      <c r="M233" s="40" t="str">
        <f aca="false">IF(A233="","",IF(A233&lt;FY_START,0,(YEAR(A233)-YEAR(FY_START))*12+MONTH(A233)-MONTH(FY_START)+1))</f>
        <v/>
      </c>
      <c r="N233" s="40" t="str">
        <f aca="false">IF(A233="","",IF(AND(A233&gt;=VP_START,A233&lt;=VP_END),1,0))</f>
        <v/>
      </c>
    </row>
    <row r="234" customFormat="false" ht="15" hidden="false" customHeight="false" outlineLevel="0" collapsed="false">
      <c r="A234" s="37"/>
      <c r="B234" s="36"/>
      <c r="C234" s="36"/>
      <c r="D234" s="36"/>
      <c r="E234" s="38"/>
      <c r="F234" s="36"/>
      <c r="G234" s="39" t="str">
        <f aca="false">IF(E234="","",IF(F234="Standard 5%",E234*VAT_RATE,0))</f>
        <v/>
      </c>
      <c r="H234" s="36"/>
      <c r="I234" s="39" t="str">
        <f aca="false">IF(E234="","",IF(AND(H234="Yes",F234="Standard 5%"),G234,0))</f>
        <v/>
      </c>
      <c r="J234" s="39" t="str">
        <f aca="false">IF(E234="","",E234+G234)</f>
        <v/>
      </c>
      <c r="K234" s="36"/>
      <c r="L234" s="36"/>
      <c r="M234" s="40" t="str">
        <f aca="false">IF(A234="","",IF(A234&lt;FY_START,0,(YEAR(A234)-YEAR(FY_START))*12+MONTH(A234)-MONTH(FY_START)+1))</f>
        <v/>
      </c>
      <c r="N234" s="40" t="str">
        <f aca="false">IF(A234="","",IF(AND(A234&gt;=VP_START,A234&lt;=VP_END),1,0))</f>
        <v/>
      </c>
    </row>
    <row r="235" customFormat="false" ht="15" hidden="false" customHeight="false" outlineLevel="0" collapsed="false">
      <c r="A235" s="37"/>
      <c r="B235" s="36"/>
      <c r="C235" s="36"/>
      <c r="D235" s="36"/>
      <c r="E235" s="38"/>
      <c r="F235" s="36"/>
      <c r="G235" s="39" t="str">
        <f aca="false">IF(E235="","",IF(F235="Standard 5%",E235*VAT_RATE,0))</f>
        <v/>
      </c>
      <c r="H235" s="36"/>
      <c r="I235" s="39" t="str">
        <f aca="false">IF(E235="","",IF(AND(H235="Yes",F235="Standard 5%"),G235,0))</f>
        <v/>
      </c>
      <c r="J235" s="39" t="str">
        <f aca="false">IF(E235="","",E235+G235)</f>
        <v/>
      </c>
      <c r="K235" s="36"/>
      <c r="L235" s="36"/>
      <c r="M235" s="40" t="str">
        <f aca="false">IF(A235="","",IF(A235&lt;FY_START,0,(YEAR(A235)-YEAR(FY_START))*12+MONTH(A235)-MONTH(FY_START)+1))</f>
        <v/>
      </c>
      <c r="N235" s="40" t="str">
        <f aca="false">IF(A235="","",IF(AND(A235&gt;=VP_START,A235&lt;=VP_END),1,0))</f>
        <v/>
      </c>
    </row>
    <row r="236" customFormat="false" ht="15" hidden="false" customHeight="false" outlineLevel="0" collapsed="false">
      <c r="A236" s="37"/>
      <c r="B236" s="36"/>
      <c r="C236" s="36"/>
      <c r="D236" s="36"/>
      <c r="E236" s="38"/>
      <c r="F236" s="36"/>
      <c r="G236" s="39" t="str">
        <f aca="false">IF(E236="","",IF(F236="Standard 5%",E236*VAT_RATE,0))</f>
        <v/>
      </c>
      <c r="H236" s="36"/>
      <c r="I236" s="39" t="str">
        <f aca="false">IF(E236="","",IF(AND(H236="Yes",F236="Standard 5%"),G236,0))</f>
        <v/>
      </c>
      <c r="J236" s="39" t="str">
        <f aca="false">IF(E236="","",E236+G236)</f>
        <v/>
      </c>
      <c r="K236" s="36"/>
      <c r="L236" s="36"/>
      <c r="M236" s="40" t="str">
        <f aca="false">IF(A236="","",IF(A236&lt;FY_START,0,(YEAR(A236)-YEAR(FY_START))*12+MONTH(A236)-MONTH(FY_START)+1))</f>
        <v/>
      </c>
      <c r="N236" s="40" t="str">
        <f aca="false">IF(A236="","",IF(AND(A236&gt;=VP_START,A236&lt;=VP_END),1,0))</f>
        <v/>
      </c>
    </row>
    <row r="237" customFormat="false" ht="15" hidden="false" customHeight="false" outlineLevel="0" collapsed="false">
      <c r="A237" s="37"/>
      <c r="B237" s="36"/>
      <c r="C237" s="36"/>
      <c r="D237" s="36"/>
      <c r="E237" s="38"/>
      <c r="F237" s="36"/>
      <c r="G237" s="39" t="str">
        <f aca="false">IF(E237="","",IF(F237="Standard 5%",E237*VAT_RATE,0))</f>
        <v/>
      </c>
      <c r="H237" s="36"/>
      <c r="I237" s="39" t="str">
        <f aca="false">IF(E237="","",IF(AND(H237="Yes",F237="Standard 5%"),G237,0))</f>
        <v/>
      </c>
      <c r="J237" s="39" t="str">
        <f aca="false">IF(E237="","",E237+G237)</f>
        <v/>
      </c>
      <c r="K237" s="36"/>
      <c r="L237" s="36"/>
      <c r="M237" s="40" t="str">
        <f aca="false">IF(A237="","",IF(A237&lt;FY_START,0,(YEAR(A237)-YEAR(FY_START))*12+MONTH(A237)-MONTH(FY_START)+1))</f>
        <v/>
      </c>
      <c r="N237" s="40" t="str">
        <f aca="false">IF(A237="","",IF(AND(A237&gt;=VP_START,A237&lt;=VP_END),1,0))</f>
        <v/>
      </c>
    </row>
    <row r="238" customFormat="false" ht="15" hidden="false" customHeight="false" outlineLevel="0" collapsed="false">
      <c r="A238" s="37"/>
      <c r="B238" s="36"/>
      <c r="C238" s="36"/>
      <c r="D238" s="36"/>
      <c r="E238" s="38"/>
      <c r="F238" s="36"/>
      <c r="G238" s="39" t="str">
        <f aca="false">IF(E238="","",IF(F238="Standard 5%",E238*VAT_RATE,0))</f>
        <v/>
      </c>
      <c r="H238" s="36"/>
      <c r="I238" s="39" t="str">
        <f aca="false">IF(E238="","",IF(AND(H238="Yes",F238="Standard 5%"),G238,0))</f>
        <v/>
      </c>
      <c r="J238" s="39" t="str">
        <f aca="false">IF(E238="","",E238+G238)</f>
        <v/>
      </c>
      <c r="K238" s="36"/>
      <c r="L238" s="36"/>
      <c r="M238" s="40" t="str">
        <f aca="false">IF(A238="","",IF(A238&lt;FY_START,0,(YEAR(A238)-YEAR(FY_START))*12+MONTH(A238)-MONTH(FY_START)+1))</f>
        <v/>
      </c>
      <c r="N238" s="40" t="str">
        <f aca="false">IF(A238="","",IF(AND(A238&gt;=VP_START,A238&lt;=VP_END),1,0))</f>
        <v/>
      </c>
    </row>
    <row r="239" customFormat="false" ht="15" hidden="false" customHeight="false" outlineLevel="0" collapsed="false">
      <c r="A239" s="37"/>
      <c r="B239" s="36"/>
      <c r="C239" s="36"/>
      <c r="D239" s="36"/>
      <c r="E239" s="38"/>
      <c r="F239" s="36"/>
      <c r="G239" s="39" t="str">
        <f aca="false">IF(E239="","",IF(F239="Standard 5%",E239*VAT_RATE,0))</f>
        <v/>
      </c>
      <c r="H239" s="36"/>
      <c r="I239" s="39" t="str">
        <f aca="false">IF(E239="","",IF(AND(H239="Yes",F239="Standard 5%"),G239,0))</f>
        <v/>
      </c>
      <c r="J239" s="39" t="str">
        <f aca="false">IF(E239="","",E239+G239)</f>
        <v/>
      </c>
      <c r="K239" s="36"/>
      <c r="L239" s="36"/>
      <c r="M239" s="40" t="str">
        <f aca="false">IF(A239="","",IF(A239&lt;FY_START,0,(YEAR(A239)-YEAR(FY_START))*12+MONTH(A239)-MONTH(FY_START)+1))</f>
        <v/>
      </c>
      <c r="N239" s="40" t="str">
        <f aca="false">IF(A239="","",IF(AND(A239&gt;=VP_START,A239&lt;=VP_END),1,0))</f>
        <v/>
      </c>
    </row>
    <row r="240" customFormat="false" ht="15" hidden="false" customHeight="false" outlineLevel="0" collapsed="false">
      <c r="A240" s="37"/>
      <c r="B240" s="36"/>
      <c r="C240" s="36"/>
      <c r="D240" s="36"/>
      <c r="E240" s="38"/>
      <c r="F240" s="36"/>
      <c r="G240" s="39" t="str">
        <f aca="false">IF(E240="","",IF(F240="Standard 5%",E240*VAT_RATE,0))</f>
        <v/>
      </c>
      <c r="H240" s="36"/>
      <c r="I240" s="39" t="str">
        <f aca="false">IF(E240="","",IF(AND(H240="Yes",F240="Standard 5%"),G240,0))</f>
        <v/>
      </c>
      <c r="J240" s="39" t="str">
        <f aca="false">IF(E240="","",E240+G240)</f>
        <v/>
      </c>
      <c r="K240" s="36"/>
      <c r="L240" s="36"/>
      <c r="M240" s="40" t="str">
        <f aca="false">IF(A240="","",IF(A240&lt;FY_START,0,(YEAR(A240)-YEAR(FY_START))*12+MONTH(A240)-MONTH(FY_START)+1))</f>
        <v/>
      </c>
      <c r="N240" s="40" t="str">
        <f aca="false">IF(A240="","",IF(AND(A240&gt;=VP_START,A240&lt;=VP_END),1,0))</f>
        <v/>
      </c>
    </row>
    <row r="241" customFormat="false" ht="15" hidden="false" customHeight="false" outlineLevel="0" collapsed="false">
      <c r="A241" s="37"/>
      <c r="B241" s="36"/>
      <c r="C241" s="36"/>
      <c r="D241" s="36"/>
      <c r="E241" s="38"/>
      <c r="F241" s="36"/>
      <c r="G241" s="39" t="str">
        <f aca="false">IF(E241="","",IF(F241="Standard 5%",E241*VAT_RATE,0))</f>
        <v/>
      </c>
      <c r="H241" s="36"/>
      <c r="I241" s="39" t="str">
        <f aca="false">IF(E241="","",IF(AND(H241="Yes",F241="Standard 5%"),G241,0))</f>
        <v/>
      </c>
      <c r="J241" s="39" t="str">
        <f aca="false">IF(E241="","",E241+G241)</f>
        <v/>
      </c>
      <c r="K241" s="36"/>
      <c r="L241" s="36"/>
      <c r="M241" s="40" t="str">
        <f aca="false">IF(A241="","",IF(A241&lt;FY_START,0,(YEAR(A241)-YEAR(FY_START))*12+MONTH(A241)-MONTH(FY_START)+1))</f>
        <v/>
      </c>
      <c r="N241" s="40" t="str">
        <f aca="false">IF(A241="","",IF(AND(A241&gt;=VP_START,A241&lt;=VP_END),1,0))</f>
        <v/>
      </c>
    </row>
    <row r="242" customFormat="false" ht="15" hidden="false" customHeight="false" outlineLevel="0" collapsed="false">
      <c r="A242" s="37"/>
      <c r="B242" s="36"/>
      <c r="C242" s="36"/>
      <c r="D242" s="36"/>
      <c r="E242" s="38"/>
      <c r="F242" s="36"/>
      <c r="G242" s="39" t="str">
        <f aca="false">IF(E242="","",IF(F242="Standard 5%",E242*VAT_RATE,0))</f>
        <v/>
      </c>
      <c r="H242" s="36"/>
      <c r="I242" s="39" t="str">
        <f aca="false">IF(E242="","",IF(AND(H242="Yes",F242="Standard 5%"),G242,0))</f>
        <v/>
      </c>
      <c r="J242" s="39" t="str">
        <f aca="false">IF(E242="","",E242+G242)</f>
        <v/>
      </c>
      <c r="K242" s="36"/>
      <c r="L242" s="36"/>
      <c r="M242" s="40" t="str">
        <f aca="false">IF(A242="","",IF(A242&lt;FY_START,0,(YEAR(A242)-YEAR(FY_START))*12+MONTH(A242)-MONTH(FY_START)+1))</f>
        <v/>
      </c>
      <c r="N242" s="40" t="str">
        <f aca="false">IF(A242="","",IF(AND(A242&gt;=VP_START,A242&lt;=VP_END),1,0))</f>
        <v/>
      </c>
    </row>
    <row r="243" customFormat="false" ht="15" hidden="false" customHeight="false" outlineLevel="0" collapsed="false">
      <c r="A243" s="37"/>
      <c r="B243" s="36"/>
      <c r="C243" s="36"/>
      <c r="D243" s="36"/>
      <c r="E243" s="38"/>
      <c r="F243" s="36"/>
      <c r="G243" s="39" t="str">
        <f aca="false">IF(E243="","",IF(F243="Standard 5%",E243*VAT_RATE,0))</f>
        <v/>
      </c>
      <c r="H243" s="36"/>
      <c r="I243" s="39" t="str">
        <f aca="false">IF(E243="","",IF(AND(H243="Yes",F243="Standard 5%"),G243,0))</f>
        <v/>
      </c>
      <c r="J243" s="39" t="str">
        <f aca="false">IF(E243="","",E243+G243)</f>
        <v/>
      </c>
      <c r="K243" s="36"/>
      <c r="L243" s="36"/>
      <c r="M243" s="40" t="str">
        <f aca="false">IF(A243="","",IF(A243&lt;FY_START,0,(YEAR(A243)-YEAR(FY_START))*12+MONTH(A243)-MONTH(FY_START)+1))</f>
        <v/>
      </c>
      <c r="N243" s="40" t="str">
        <f aca="false">IF(A243="","",IF(AND(A243&gt;=VP_START,A243&lt;=VP_END),1,0))</f>
        <v/>
      </c>
    </row>
    <row r="244" customFormat="false" ht="15" hidden="false" customHeight="false" outlineLevel="0" collapsed="false">
      <c r="A244" s="37"/>
      <c r="B244" s="36"/>
      <c r="C244" s="36"/>
      <c r="D244" s="36"/>
      <c r="E244" s="38"/>
      <c r="F244" s="36"/>
      <c r="G244" s="39" t="str">
        <f aca="false">IF(E244="","",IF(F244="Standard 5%",E244*VAT_RATE,0))</f>
        <v/>
      </c>
      <c r="H244" s="36"/>
      <c r="I244" s="39" t="str">
        <f aca="false">IF(E244="","",IF(AND(H244="Yes",F244="Standard 5%"),G244,0))</f>
        <v/>
      </c>
      <c r="J244" s="39" t="str">
        <f aca="false">IF(E244="","",E244+G244)</f>
        <v/>
      </c>
      <c r="K244" s="36"/>
      <c r="L244" s="36"/>
      <c r="M244" s="40" t="str">
        <f aca="false">IF(A244="","",IF(A244&lt;FY_START,0,(YEAR(A244)-YEAR(FY_START))*12+MONTH(A244)-MONTH(FY_START)+1))</f>
        <v/>
      </c>
      <c r="N244" s="40" t="str">
        <f aca="false">IF(A244="","",IF(AND(A244&gt;=VP_START,A244&lt;=VP_END),1,0))</f>
        <v/>
      </c>
    </row>
    <row r="245" customFormat="false" ht="15" hidden="false" customHeight="false" outlineLevel="0" collapsed="false">
      <c r="A245" s="37"/>
      <c r="B245" s="36"/>
      <c r="C245" s="36"/>
      <c r="D245" s="36"/>
      <c r="E245" s="38"/>
      <c r="F245" s="36"/>
      <c r="G245" s="39" t="str">
        <f aca="false">IF(E245="","",IF(F245="Standard 5%",E245*VAT_RATE,0))</f>
        <v/>
      </c>
      <c r="H245" s="36"/>
      <c r="I245" s="39" t="str">
        <f aca="false">IF(E245="","",IF(AND(H245="Yes",F245="Standard 5%"),G245,0))</f>
        <v/>
      </c>
      <c r="J245" s="39" t="str">
        <f aca="false">IF(E245="","",E245+G245)</f>
        <v/>
      </c>
      <c r="K245" s="36"/>
      <c r="L245" s="36"/>
      <c r="M245" s="40" t="str">
        <f aca="false">IF(A245="","",IF(A245&lt;FY_START,0,(YEAR(A245)-YEAR(FY_START))*12+MONTH(A245)-MONTH(FY_START)+1))</f>
        <v/>
      </c>
      <c r="N245" s="40" t="str">
        <f aca="false">IF(A245="","",IF(AND(A245&gt;=VP_START,A245&lt;=VP_END),1,0))</f>
        <v/>
      </c>
    </row>
    <row r="246" customFormat="false" ht="15" hidden="false" customHeight="false" outlineLevel="0" collapsed="false">
      <c r="A246" s="37"/>
      <c r="B246" s="36"/>
      <c r="C246" s="36"/>
      <c r="D246" s="36"/>
      <c r="E246" s="38"/>
      <c r="F246" s="36"/>
      <c r="G246" s="39" t="str">
        <f aca="false">IF(E246="","",IF(F246="Standard 5%",E246*VAT_RATE,0))</f>
        <v/>
      </c>
      <c r="H246" s="36"/>
      <c r="I246" s="39" t="str">
        <f aca="false">IF(E246="","",IF(AND(H246="Yes",F246="Standard 5%"),G246,0))</f>
        <v/>
      </c>
      <c r="J246" s="39" t="str">
        <f aca="false">IF(E246="","",E246+G246)</f>
        <v/>
      </c>
      <c r="K246" s="36"/>
      <c r="L246" s="36"/>
      <c r="M246" s="40" t="str">
        <f aca="false">IF(A246="","",IF(A246&lt;FY_START,0,(YEAR(A246)-YEAR(FY_START))*12+MONTH(A246)-MONTH(FY_START)+1))</f>
        <v/>
      </c>
      <c r="N246" s="40" t="str">
        <f aca="false">IF(A246="","",IF(AND(A246&gt;=VP_START,A246&lt;=VP_END),1,0))</f>
        <v/>
      </c>
    </row>
    <row r="247" customFormat="false" ht="15" hidden="false" customHeight="false" outlineLevel="0" collapsed="false">
      <c r="A247" s="37"/>
      <c r="B247" s="36"/>
      <c r="C247" s="36"/>
      <c r="D247" s="36"/>
      <c r="E247" s="38"/>
      <c r="F247" s="36"/>
      <c r="G247" s="39" t="str">
        <f aca="false">IF(E247="","",IF(F247="Standard 5%",E247*VAT_RATE,0))</f>
        <v/>
      </c>
      <c r="H247" s="36"/>
      <c r="I247" s="39" t="str">
        <f aca="false">IF(E247="","",IF(AND(H247="Yes",F247="Standard 5%"),G247,0))</f>
        <v/>
      </c>
      <c r="J247" s="39" t="str">
        <f aca="false">IF(E247="","",E247+G247)</f>
        <v/>
      </c>
      <c r="K247" s="36"/>
      <c r="L247" s="36"/>
      <c r="M247" s="40" t="str">
        <f aca="false">IF(A247="","",IF(A247&lt;FY_START,0,(YEAR(A247)-YEAR(FY_START))*12+MONTH(A247)-MONTH(FY_START)+1))</f>
        <v/>
      </c>
      <c r="N247" s="40" t="str">
        <f aca="false">IF(A247="","",IF(AND(A247&gt;=VP_START,A247&lt;=VP_END),1,0))</f>
        <v/>
      </c>
    </row>
    <row r="248" customFormat="false" ht="15" hidden="false" customHeight="false" outlineLevel="0" collapsed="false">
      <c r="A248" s="37"/>
      <c r="B248" s="36"/>
      <c r="C248" s="36"/>
      <c r="D248" s="36"/>
      <c r="E248" s="38"/>
      <c r="F248" s="36"/>
      <c r="G248" s="39" t="str">
        <f aca="false">IF(E248="","",IF(F248="Standard 5%",E248*VAT_RATE,0))</f>
        <v/>
      </c>
      <c r="H248" s="36"/>
      <c r="I248" s="39" t="str">
        <f aca="false">IF(E248="","",IF(AND(H248="Yes",F248="Standard 5%"),G248,0))</f>
        <v/>
      </c>
      <c r="J248" s="39" t="str">
        <f aca="false">IF(E248="","",E248+G248)</f>
        <v/>
      </c>
      <c r="K248" s="36"/>
      <c r="L248" s="36"/>
      <c r="M248" s="40" t="str">
        <f aca="false">IF(A248="","",IF(A248&lt;FY_START,0,(YEAR(A248)-YEAR(FY_START))*12+MONTH(A248)-MONTH(FY_START)+1))</f>
        <v/>
      </c>
      <c r="N248" s="40" t="str">
        <f aca="false">IF(A248="","",IF(AND(A248&gt;=VP_START,A248&lt;=VP_END),1,0))</f>
        <v/>
      </c>
    </row>
    <row r="249" customFormat="false" ht="15" hidden="false" customHeight="false" outlineLevel="0" collapsed="false">
      <c r="A249" s="37"/>
      <c r="B249" s="36"/>
      <c r="C249" s="36"/>
      <c r="D249" s="36"/>
      <c r="E249" s="38"/>
      <c r="F249" s="36"/>
      <c r="G249" s="39" t="str">
        <f aca="false">IF(E249="","",IF(F249="Standard 5%",E249*VAT_RATE,0))</f>
        <v/>
      </c>
      <c r="H249" s="36"/>
      <c r="I249" s="39" t="str">
        <f aca="false">IF(E249="","",IF(AND(H249="Yes",F249="Standard 5%"),G249,0))</f>
        <v/>
      </c>
      <c r="J249" s="39" t="str">
        <f aca="false">IF(E249="","",E249+G249)</f>
        <v/>
      </c>
      <c r="K249" s="36"/>
      <c r="L249" s="36"/>
      <c r="M249" s="40" t="str">
        <f aca="false">IF(A249="","",IF(A249&lt;FY_START,0,(YEAR(A249)-YEAR(FY_START))*12+MONTH(A249)-MONTH(FY_START)+1))</f>
        <v/>
      </c>
      <c r="N249" s="40" t="str">
        <f aca="false">IF(A249="","",IF(AND(A249&gt;=VP_START,A249&lt;=VP_END),1,0))</f>
        <v/>
      </c>
    </row>
    <row r="250" customFormat="false" ht="15" hidden="false" customHeight="false" outlineLevel="0" collapsed="false">
      <c r="A250" s="37"/>
      <c r="B250" s="36"/>
      <c r="C250" s="36"/>
      <c r="D250" s="36"/>
      <c r="E250" s="38"/>
      <c r="F250" s="36"/>
      <c r="G250" s="39" t="str">
        <f aca="false">IF(E250="","",IF(F250="Standard 5%",E250*VAT_RATE,0))</f>
        <v/>
      </c>
      <c r="H250" s="36"/>
      <c r="I250" s="39" t="str">
        <f aca="false">IF(E250="","",IF(AND(H250="Yes",F250="Standard 5%"),G250,0))</f>
        <v/>
      </c>
      <c r="J250" s="39" t="str">
        <f aca="false">IF(E250="","",E250+G250)</f>
        <v/>
      </c>
      <c r="K250" s="36"/>
      <c r="L250" s="36"/>
      <c r="M250" s="40" t="str">
        <f aca="false">IF(A250="","",IF(A250&lt;FY_START,0,(YEAR(A250)-YEAR(FY_START))*12+MONTH(A250)-MONTH(FY_START)+1))</f>
        <v/>
      </c>
      <c r="N250" s="40" t="str">
        <f aca="false">IF(A250="","",IF(AND(A250&gt;=VP_START,A250&lt;=VP_END),1,0))</f>
        <v/>
      </c>
    </row>
    <row r="251" customFormat="false" ht="15" hidden="false" customHeight="false" outlineLevel="0" collapsed="false">
      <c r="A251" s="37"/>
      <c r="B251" s="36"/>
      <c r="C251" s="36"/>
      <c r="D251" s="36"/>
      <c r="E251" s="38"/>
      <c r="F251" s="36"/>
      <c r="G251" s="39" t="str">
        <f aca="false">IF(E251="","",IF(F251="Standard 5%",E251*VAT_RATE,0))</f>
        <v/>
      </c>
      <c r="H251" s="36"/>
      <c r="I251" s="39" t="str">
        <f aca="false">IF(E251="","",IF(AND(H251="Yes",F251="Standard 5%"),G251,0))</f>
        <v/>
      </c>
      <c r="J251" s="39" t="str">
        <f aca="false">IF(E251="","",E251+G251)</f>
        <v/>
      </c>
      <c r="K251" s="36"/>
      <c r="L251" s="36"/>
      <c r="M251" s="40" t="str">
        <f aca="false">IF(A251="","",IF(A251&lt;FY_START,0,(YEAR(A251)-YEAR(FY_START))*12+MONTH(A251)-MONTH(FY_START)+1))</f>
        <v/>
      </c>
      <c r="N251" s="40" t="str">
        <f aca="false">IF(A251="","",IF(AND(A251&gt;=VP_START,A251&lt;=VP_END),1,0))</f>
        <v/>
      </c>
    </row>
    <row r="252" customFormat="false" ht="15" hidden="false" customHeight="false" outlineLevel="0" collapsed="false">
      <c r="A252" s="37"/>
      <c r="B252" s="36"/>
      <c r="C252" s="36"/>
      <c r="D252" s="36"/>
      <c r="E252" s="38"/>
      <c r="F252" s="36"/>
      <c r="G252" s="39" t="str">
        <f aca="false">IF(E252="","",IF(F252="Standard 5%",E252*VAT_RATE,0))</f>
        <v/>
      </c>
      <c r="H252" s="36"/>
      <c r="I252" s="39" t="str">
        <f aca="false">IF(E252="","",IF(AND(H252="Yes",F252="Standard 5%"),G252,0))</f>
        <v/>
      </c>
      <c r="J252" s="39" t="str">
        <f aca="false">IF(E252="","",E252+G252)</f>
        <v/>
      </c>
      <c r="K252" s="36"/>
      <c r="L252" s="36"/>
      <c r="M252" s="40" t="str">
        <f aca="false">IF(A252="","",IF(A252&lt;FY_START,0,(YEAR(A252)-YEAR(FY_START))*12+MONTH(A252)-MONTH(FY_START)+1))</f>
        <v/>
      </c>
      <c r="N252" s="40" t="str">
        <f aca="false">IF(A252="","",IF(AND(A252&gt;=VP_START,A252&lt;=VP_END),1,0))</f>
        <v/>
      </c>
    </row>
    <row r="253" customFormat="false" ht="15" hidden="false" customHeight="false" outlineLevel="0" collapsed="false">
      <c r="A253" s="37"/>
      <c r="B253" s="36"/>
      <c r="C253" s="36"/>
      <c r="D253" s="36"/>
      <c r="E253" s="38"/>
      <c r="F253" s="36"/>
      <c r="G253" s="39" t="str">
        <f aca="false">IF(E253="","",IF(F253="Standard 5%",E253*VAT_RATE,0))</f>
        <v/>
      </c>
      <c r="H253" s="36"/>
      <c r="I253" s="39" t="str">
        <f aca="false">IF(E253="","",IF(AND(H253="Yes",F253="Standard 5%"),G253,0))</f>
        <v/>
      </c>
      <c r="J253" s="39" t="str">
        <f aca="false">IF(E253="","",E253+G253)</f>
        <v/>
      </c>
      <c r="K253" s="36"/>
      <c r="L253" s="36"/>
      <c r="M253" s="40" t="str">
        <f aca="false">IF(A253="","",IF(A253&lt;FY_START,0,(YEAR(A253)-YEAR(FY_START))*12+MONTH(A253)-MONTH(FY_START)+1))</f>
        <v/>
      </c>
      <c r="N253" s="40" t="str">
        <f aca="false">IF(A253="","",IF(AND(A253&gt;=VP_START,A253&lt;=VP_END),1,0))</f>
        <v/>
      </c>
    </row>
    <row r="254" customFormat="false" ht="15" hidden="false" customHeight="false" outlineLevel="0" collapsed="false">
      <c r="A254" s="37"/>
      <c r="B254" s="36"/>
      <c r="C254" s="36"/>
      <c r="D254" s="36"/>
      <c r="E254" s="38"/>
      <c r="F254" s="36"/>
      <c r="G254" s="39" t="str">
        <f aca="false">IF(E254="","",IF(F254="Standard 5%",E254*VAT_RATE,0))</f>
        <v/>
      </c>
      <c r="H254" s="36"/>
      <c r="I254" s="39" t="str">
        <f aca="false">IF(E254="","",IF(AND(H254="Yes",F254="Standard 5%"),G254,0))</f>
        <v/>
      </c>
      <c r="J254" s="39" t="str">
        <f aca="false">IF(E254="","",E254+G254)</f>
        <v/>
      </c>
      <c r="K254" s="36"/>
      <c r="L254" s="36"/>
      <c r="M254" s="40" t="str">
        <f aca="false">IF(A254="","",IF(A254&lt;FY_START,0,(YEAR(A254)-YEAR(FY_START))*12+MONTH(A254)-MONTH(FY_START)+1))</f>
        <v/>
      </c>
      <c r="N254" s="40" t="str">
        <f aca="false">IF(A254="","",IF(AND(A254&gt;=VP_START,A254&lt;=VP_END),1,0))</f>
        <v/>
      </c>
    </row>
    <row r="255" customFormat="false" ht="15" hidden="false" customHeight="false" outlineLevel="0" collapsed="false">
      <c r="A255" s="37"/>
      <c r="B255" s="36"/>
      <c r="C255" s="36"/>
      <c r="D255" s="36"/>
      <c r="E255" s="38"/>
      <c r="F255" s="36"/>
      <c r="G255" s="39" t="str">
        <f aca="false">IF(E255="","",IF(F255="Standard 5%",E255*VAT_RATE,0))</f>
        <v/>
      </c>
      <c r="H255" s="36"/>
      <c r="I255" s="39" t="str">
        <f aca="false">IF(E255="","",IF(AND(H255="Yes",F255="Standard 5%"),G255,0))</f>
        <v/>
      </c>
      <c r="J255" s="39" t="str">
        <f aca="false">IF(E255="","",E255+G255)</f>
        <v/>
      </c>
      <c r="K255" s="36"/>
      <c r="L255" s="36"/>
      <c r="M255" s="40" t="str">
        <f aca="false">IF(A255="","",IF(A255&lt;FY_START,0,(YEAR(A255)-YEAR(FY_START))*12+MONTH(A255)-MONTH(FY_START)+1))</f>
        <v/>
      </c>
      <c r="N255" s="40" t="str">
        <f aca="false">IF(A255="","",IF(AND(A255&gt;=VP_START,A255&lt;=VP_END),1,0))</f>
        <v/>
      </c>
    </row>
    <row r="256" customFormat="false" ht="15" hidden="false" customHeight="false" outlineLevel="0" collapsed="false">
      <c r="A256" s="37"/>
      <c r="B256" s="36"/>
      <c r="C256" s="36"/>
      <c r="D256" s="36"/>
      <c r="E256" s="38"/>
      <c r="F256" s="36"/>
      <c r="G256" s="39" t="str">
        <f aca="false">IF(E256="","",IF(F256="Standard 5%",E256*VAT_RATE,0))</f>
        <v/>
      </c>
      <c r="H256" s="36"/>
      <c r="I256" s="39" t="str">
        <f aca="false">IF(E256="","",IF(AND(H256="Yes",F256="Standard 5%"),G256,0))</f>
        <v/>
      </c>
      <c r="J256" s="39" t="str">
        <f aca="false">IF(E256="","",E256+G256)</f>
        <v/>
      </c>
      <c r="K256" s="36"/>
      <c r="L256" s="36"/>
      <c r="M256" s="40" t="str">
        <f aca="false">IF(A256="","",IF(A256&lt;FY_START,0,(YEAR(A256)-YEAR(FY_START))*12+MONTH(A256)-MONTH(FY_START)+1))</f>
        <v/>
      </c>
      <c r="N256" s="40" t="str">
        <f aca="false">IF(A256="","",IF(AND(A256&gt;=VP_START,A256&lt;=VP_END),1,0))</f>
        <v/>
      </c>
    </row>
    <row r="257" customFormat="false" ht="15" hidden="false" customHeight="false" outlineLevel="0" collapsed="false">
      <c r="A257" s="37"/>
      <c r="B257" s="36"/>
      <c r="C257" s="36"/>
      <c r="D257" s="36"/>
      <c r="E257" s="38"/>
      <c r="F257" s="36"/>
      <c r="G257" s="39" t="str">
        <f aca="false">IF(E257="","",IF(F257="Standard 5%",E257*VAT_RATE,0))</f>
        <v/>
      </c>
      <c r="H257" s="36"/>
      <c r="I257" s="39" t="str">
        <f aca="false">IF(E257="","",IF(AND(H257="Yes",F257="Standard 5%"),G257,0))</f>
        <v/>
      </c>
      <c r="J257" s="39" t="str">
        <f aca="false">IF(E257="","",E257+G257)</f>
        <v/>
      </c>
      <c r="K257" s="36"/>
      <c r="L257" s="36"/>
      <c r="M257" s="40" t="str">
        <f aca="false">IF(A257="","",IF(A257&lt;FY_START,0,(YEAR(A257)-YEAR(FY_START))*12+MONTH(A257)-MONTH(FY_START)+1))</f>
        <v/>
      </c>
      <c r="N257" s="40" t="str">
        <f aca="false">IF(A257="","",IF(AND(A257&gt;=VP_START,A257&lt;=VP_END),1,0))</f>
        <v/>
      </c>
    </row>
    <row r="258" customFormat="false" ht="15" hidden="false" customHeight="false" outlineLevel="0" collapsed="false">
      <c r="A258" s="37"/>
      <c r="B258" s="36"/>
      <c r="C258" s="36"/>
      <c r="D258" s="36"/>
      <c r="E258" s="38"/>
      <c r="F258" s="36"/>
      <c r="G258" s="39" t="str">
        <f aca="false">IF(E258="","",IF(F258="Standard 5%",E258*VAT_RATE,0))</f>
        <v/>
      </c>
      <c r="H258" s="36"/>
      <c r="I258" s="39" t="str">
        <f aca="false">IF(E258="","",IF(AND(H258="Yes",F258="Standard 5%"),G258,0))</f>
        <v/>
      </c>
      <c r="J258" s="39" t="str">
        <f aca="false">IF(E258="","",E258+G258)</f>
        <v/>
      </c>
      <c r="K258" s="36"/>
      <c r="L258" s="36"/>
      <c r="M258" s="40" t="str">
        <f aca="false">IF(A258="","",IF(A258&lt;FY_START,0,(YEAR(A258)-YEAR(FY_START))*12+MONTH(A258)-MONTH(FY_START)+1))</f>
        <v/>
      </c>
      <c r="N258" s="40" t="str">
        <f aca="false">IF(A258="","",IF(AND(A258&gt;=VP_START,A258&lt;=VP_END),1,0))</f>
        <v/>
      </c>
    </row>
    <row r="259" customFormat="false" ht="15" hidden="false" customHeight="false" outlineLevel="0" collapsed="false">
      <c r="A259" s="37"/>
      <c r="B259" s="36"/>
      <c r="C259" s="36"/>
      <c r="D259" s="36"/>
      <c r="E259" s="38"/>
      <c r="F259" s="36"/>
      <c r="G259" s="39" t="str">
        <f aca="false">IF(E259="","",IF(F259="Standard 5%",E259*VAT_RATE,0))</f>
        <v/>
      </c>
      <c r="H259" s="36"/>
      <c r="I259" s="39" t="str">
        <f aca="false">IF(E259="","",IF(AND(H259="Yes",F259="Standard 5%"),G259,0))</f>
        <v/>
      </c>
      <c r="J259" s="39" t="str">
        <f aca="false">IF(E259="","",E259+G259)</f>
        <v/>
      </c>
      <c r="K259" s="36"/>
      <c r="L259" s="36"/>
      <c r="M259" s="40" t="str">
        <f aca="false">IF(A259="","",IF(A259&lt;FY_START,0,(YEAR(A259)-YEAR(FY_START))*12+MONTH(A259)-MONTH(FY_START)+1))</f>
        <v/>
      </c>
      <c r="N259" s="40" t="str">
        <f aca="false">IF(A259="","",IF(AND(A259&gt;=VP_START,A259&lt;=VP_END),1,0))</f>
        <v/>
      </c>
    </row>
    <row r="260" customFormat="false" ht="15" hidden="false" customHeight="false" outlineLevel="0" collapsed="false">
      <c r="A260" s="37"/>
      <c r="B260" s="36"/>
      <c r="C260" s="36"/>
      <c r="D260" s="36"/>
      <c r="E260" s="38"/>
      <c r="F260" s="36"/>
      <c r="G260" s="39" t="str">
        <f aca="false">IF(E260="","",IF(F260="Standard 5%",E260*VAT_RATE,0))</f>
        <v/>
      </c>
      <c r="H260" s="36"/>
      <c r="I260" s="39" t="str">
        <f aca="false">IF(E260="","",IF(AND(H260="Yes",F260="Standard 5%"),G260,0))</f>
        <v/>
      </c>
      <c r="J260" s="39" t="str">
        <f aca="false">IF(E260="","",E260+G260)</f>
        <v/>
      </c>
      <c r="K260" s="36"/>
      <c r="L260" s="36"/>
      <c r="M260" s="40" t="str">
        <f aca="false">IF(A260="","",IF(A260&lt;FY_START,0,(YEAR(A260)-YEAR(FY_START))*12+MONTH(A260)-MONTH(FY_START)+1))</f>
        <v/>
      </c>
      <c r="N260" s="40" t="str">
        <f aca="false">IF(A260="","",IF(AND(A260&gt;=VP_START,A260&lt;=VP_END),1,0))</f>
        <v/>
      </c>
    </row>
    <row r="261" customFormat="false" ht="15" hidden="false" customHeight="false" outlineLevel="0" collapsed="false">
      <c r="A261" s="37"/>
      <c r="B261" s="36"/>
      <c r="C261" s="36"/>
      <c r="D261" s="36"/>
      <c r="E261" s="38"/>
      <c r="F261" s="36"/>
      <c r="G261" s="39" t="str">
        <f aca="false">IF(E261="","",IF(F261="Standard 5%",E261*VAT_RATE,0))</f>
        <v/>
      </c>
      <c r="H261" s="36"/>
      <c r="I261" s="39" t="str">
        <f aca="false">IF(E261="","",IF(AND(H261="Yes",F261="Standard 5%"),G261,0))</f>
        <v/>
      </c>
      <c r="J261" s="39" t="str">
        <f aca="false">IF(E261="","",E261+G261)</f>
        <v/>
      </c>
      <c r="K261" s="36"/>
      <c r="L261" s="36"/>
      <c r="M261" s="40" t="str">
        <f aca="false">IF(A261="","",IF(A261&lt;FY_START,0,(YEAR(A261)-YEAR(FY_START))*12+MONTH(A261)-MONTH(FY_START)+1))</f>
        <v/>
      </c>
      <c r="N261" s="40" t="str">
        <f aca="false">IF(A261="","",IF(AND(A261&gt;=VP_START,A261&lt;=VP_END),1,0))</f>
        <v/>
      </c>
    </row>
    <row r="262" customFormat="false" ht="15" hidden="false" customHeight="false" outlineLevel="0" collapsed="false">
      <c r="A262" s="37"/>
      <c r="B262" s="36"/>
      <c r="C262" s="36"/>
      <c r="D262" s="36"/>
      <c r="E262" s="38"/>
      <c r="F262" s="36"/>
      <c r="G262" s="39" t="str">
        <f aca="false">IF(E262="","",IF(F262="Standard 5%",E262*VAT_RATE,0))</f>
        <v/>
      </c>
      <c r="H262" s="36"/>
      <c r="I262" s="39" t="str">
        <f aca="false">IF(E262="","",IF(AND(H262="Yes",F262="Standard 5%"),G262,0))</f>
        <v/>
      </c>
      <c r="J262" s="39" t="str">
        <f aca="false">IF(E262="","",E262+G262)</f>
        <v/>
      </c>
      <c r="K262" s="36"/>
      <c r="L262" s="36"/>
      <c r="M262" s="40" t="str">
        <f aca="false">IF(A262="","",IF(A262&lt;FY_START,0,(YEAR(A262)-YEAR(FY_START))*12+MONTH(A262)-MONTH(FY_START)+1))</f>
        <v/>
      </c>
      <c r="N262" s="40" t="str">
        <f aca="false">IF(A262="","",IF(AND(A262&gt;=VP_START,A262&lt;=VP_END),1,0))</f>
        <v/>
      </c>
    </row>
    <row r="263" customFormat="false" ht="15" hidden="false" customHeight="false" outlineLevel="0" collapsed="false">
      <c r="A263" s="37"/>
      <c r="B263" s="36"/>
      <c r="C263" s="36"/>
      <c r="D263" s="36"/>
      <c r="E263" s="38"/>
      <c r="F263" s="36"/>
      <c r="G263" s="39" t="str">
        <f aca="false">IF(E263="","",IF(F263="Standard 5%",E263*VAT_RATE,0))</f>
        <v/>
      </c>
      <c r="H263" s="36"/>
      <c r="I263" s="39" t="str">
        <f aca="false">IF(E263="","",IF(AND(H263="Yes",F263="Standard 5%"),G263,0))</f>
        <v/>
      </c>
      <c r="J263" s="39" t="str">
        <f aca="false">IF(E263="","",E263+G263)</f>
        <v/>
      </c>
      <c r="K263" s="36"/>
      <c r="L263" s="36"/>
      <c r="M263" s="40" t="str">
        <f aca="false">IF(A263="","",IF(A263&lt;FY_START,0,(YEAR(A263)-YEAR(FY_START))*12+MONTH(A263)-MONTH(FY_START)+1))</f>
        <v/>
      </c>
      <c r="N263" s="40" t="str">
        <f aca="false">IF(A263="","",IF(AND(A263&gt;=VP_START,A263&lt;=VP_END),1,0))</f>
        <v/>
      </c>
    </row>
    <row r="264" customFormat="false" ht="15" hidden="false" customHeight="false" outlineLevel="0" collapsed="false">
      <c r="A264" s="37"/>
      <c r="B264" s="36"/>
      <c r="C264" s="36"/>
      <c r="D264" s="36"/>
      <c r="E264" s="38"/>
      <c r="F264" s="36"/>
      <c r="G264" s="39" t="str">
        <f aca="false">IF(E264="","",IF(F264="Standard 5%",E264*VAT_RATE,0))</f>
        <v/>
      </c>
      <c r="H264" s="36"/>
      <c r="I264" s="39" t="str">
        <f aca="false">IF(E264="","",IF(AND(H264="Yes",F264="Standard 5%"),G264,0))</f>
        <v/>
      </c>
      <c r="J264" s="39" t="str">
        <f aca="false">IF(E264="","",E264+G264)</f>
        <v/>
      </c>
      <c r="K264" s="36"/>
      <c r="L264" s="36"/>
      <c r="M264" s="40" t="str">
        <f aca="false">IF(A264="","",IF(A264&lt;FY_START,0,(YEAR(A264)-YEAR(FY_START))*12+MONTH(A264)-MONTH(FY_START)+1))</f>
        <v/>
      </c>
      <c r="N264" s="40" t="str">
        <f aca="false">IF(A264="","",IF(AND(A264&gt;=VP_START,A264&lt;=VP_END),1,0))</f>
        <v/>
      </c>
    </row>
    <row r="265" customFormat="false" ht="15" hidden="false" customHeight="false" outlineLevel="0" collapsed="false">
      <c r="A265" s="37"/>
      <c r="B265" s="36"/>
      <c r="C265" s="36"/>
      <c r="D265" s="36"/>
      <c r="E265" s="38"/>
      <c r="F265" s="36"/>
      <c r="G265" s="39" t="str">
        <f aca="false">IF(E265="","",IF(F265="Standard 5%",E265*VAT_RATE,0))</f>
        <v/>
      </c>
      <c r="H265" s="36"/>
      <c r="I265" s="39" t="str">
        <f aca="false">IF(E265="","",IF(AND(H265="Yes",F265="Standard 5%"),G265,0))</f>
        <v/>
      </c>
      <c r="J265" s="39" t="str">
        <f aca="false">IF(E265="","",E265+G265)</f>
        <v/>
      </c>
      <c r="K265" s="36"/>
      <c r="L265" s="36"/>
      <c r="M265" s="40" t="str">
        <f aca="false">IF(A265="","",IF(A265&lt;FY_START,0,(YEAR(A265)-YEAR(FY_START))*12+MONTH(A265)-MONTH(FY_START)+1))</f>
        <v/>
      </c>
      <c r="N265" s="40" t="str">
        <f aca="false">IF(A265="","",IF(AND(A265&gt;=VP_START,A265&lt;=VP_END),1,0))</f>
        <v/>
      </c>
    </row>
    <row r="266" customFormat="false" ht="15" hidden="false" customHeight="false" outlineLevel="0" collapsed="false">
      <c r="A266" s="37"/>
      <c r="B266" s="36"/>
      <c r="C266" s="36"/>
      <c r="D266" s="36"/>
      <c r="E266" s="38"/>
      <c r="F266" s="36"/>
      <c r="G266" s="39" t="str">
        <f aca="false">IF(E266="","",IF(F266="Standard 5%",E266*VAT_RATE,0))</f>
        <v/>
      </c>
      <c r="H266" s="36"/>
      <c r="I266" s="39" t="str">
        <f aca="false">IF(E266="","",IF(AND(H266="Yes",F266="Standard 5%"),G266,0))</f>
        <v/>
      </c>
      <c r="J266" s="39" t="str">
        <f aca="false">IF(E266="","",E266+G266)</f>
        <v/>
      </c>
      <c r="K266" s="36"/>
      <c r="L266" s="36"/>
      <c r="M266" s="40" t="str">
        <f aca="false">IF(A266="","",IF(A266&lt;FY_START,0,(YEAR(A266)-YEAR(FY_START))*12+MONTH(A266)-MONTH(FY_START)+1))</f>
        <v/>
      </c>
      <c r="N266" s="40" t="str">
        <f aca="false">IF(A266="","",IF(AND(A266&gt;=VP_START,A266&lt;=VP_END),1,0))</f>
        <v/>
      </c>
    </row>
    <row r="267" customFormat="false" ht="15" hidden="false" customHeight="false" outlineLevel="0" collapsed="false">
      <c r="A267" s="37"/>
      <c r="B267" s="36"/>
      <c r="C267" s="36"/>
      <c r="D267" s="36"/>
      <c r="E267" s="38"/>
      <c r="F267" s="36"/>
      <c r="G267" s="39" t="str">
        <f aca="false">IF(E267="","",IF(F267="Standard 5%",E267*VAT_RATE,0))</f>
        <v/>
      </c>
      <c r="H267" s="36"/>
      <c r="I267" s="39" t="str">
        <f aca="false">IF(E267="","",IF(AND(H267="Yes",F267="Standard 5%"),G267,0))</f>
        <v/>
      </c>
      <c r="J267" s="39" t="str">
        <f aca="false">IF(E267="","",E267+G267)</f>
        <v/>
      </c>
      <c r="K267" s="36"/>
      <c r="L267" s="36"/>
      <c r="M267" s="40" t="str">
        <f aca="false">IF(A267="","",IF(A267&lt;FY_START,0,(YEAR(A267)-YEAR(FY_START))*12+MONTH(A267)-MONTH(FY_START)+1))</f>
        <v/>
      </c>
      <c r="N267" s="40" t="str">
        <f aca="false">IF(A267="","",IF(AND(A267&gt;=VP_START,A267&lt;=VP_END),1,0))</f>
        <v/>
      </c>
    </row>
    <row r="268" customFormat="false" ht="15" hidden="false" customHeight="false" outlineLevel="0" collapsed="false">
      <c r="A268" s="37"/>
      <c r="B268" s="36"/>
      <c r="C268" s="36"/>
      <c r="D268" s="36"/>
      <c r="E268" s="38"/>
      <c r="F268" s="36"/>
      <c r="G268" s="39" t="str">
        <f aca="false">IF(E268="","",IF(F268="Standard 5%",E268*VAT_RATE,0))</f>
        <v/>
      </c>
      <c r="H268" s="36"/>
      <c r="I268" s="39" t="str">
        <f aca="false">IF(E268="","",IF(AND(H268="Yes",F268="Standard 5%"),G268,0))</f>
        <v/>
      </c>
      <c r="J268" s="39" t="str">
        <f aca="false">IF(E268="","",E268+G268)</f>
        <v/>
      </c>
      <c r="K268" s="36"/>
      <c r="L268" s="36"/>
      <c r="M268" s="40" t="str">
        <f aca="false">IF(A268="","",IF(A268&lt;FY_START,0,(YEAR(A268)-YEAR(FY_START))*12+MONTH(A268)-MONTH(FY_START)+1))</f>
        <v/>
      </c>
      <c r="N268" s="40" t="str">
        <f aca="false">IF(A268="","",IF(AND(A268&gt;=VP_START,A268&lt;=VP_END),1,0))</f>
        <v/>
      </c>
    </row>
    <row r="269" customFormat="false" ht="15" hidden="false" customHeight="false" outlineLevel="0" collapsed="false">
      <c r="A269" s="37"/>
      <c r="B269" s="36"/>
      <c r="C269" s="36"/>
      <c r="D269" s="36"/>
      <c r="E269" s="38"/>
      <c r="F269" s="36"/>
      <c r="G269" s="39" t="str">
        <f aca="false">IF(E269="","",IF(F269="Standard 5%",E269*VAT_RATE,0))</f>
        <v/>
      </c>
      <c r="H269" s="36"/>
      <c r="I269" s="39" t="str">
        <f aca="false">IF(E269="","",IF(AND(H269="Yes",F269="Standard 5%"),G269,0))</f>
        <v/>
      </c>
      <c r="J269" s="39" t="str">
        <f aca="false">IF(E269="","",E269+G269)</f>
        <v/>
      </c>
      <c r="K269" s="36"/>
      <c r="L269" s="36"/>
      <c r="M269" s="40" t="str">
        <f aca="false">IF(A269="","",IF(A269&lt;FY_START,0,(YEAR(A269)-YEAR(FY_START))*12+MONTH(A269)-MONTH(FY_START)+1))</f>
        <v/>
      </c>
      <c r="N269" s="40" t="str">
        <f aca="false">IF(A269="","",IF(AND(A269&gt;=VP_START,A269&lt;=VP_END),1,0))</f>
        <v/>
      </c>
    </row>
    <row r="270" customFormat="false" ht="15" hidden="false" customHeight="false" outlineLevel="0" collapsed="false">
      <c r="A270" s="37"/>
      <c r="B270" s="36"/>
      <c r="C270" s="36"/>
      <c r="D270" s="36"/>
      <c r="E270" s="38"/>
      <c r="F270" s="36"/>
      <c r="G270" s="39" t="str">
        <f aca="false">IF(E270="","",IF(F270="Standard 5%",E270*VAT_RATE,0))</f>
        <v/>
      </c>
      <c r="H270" s="36"/>
      <c r="I270" s="39" t="str">
        <f aca="false">IF(E270="","",IF(AND(H270="Yes",F270="Standard 5%"),G270,0))</f>
        <v/>
      </c>
      <c r="J270" s="39" t="str">
        <f aca="false">IF(E270="","",E270+G270)</f>
        <v/>
      </c>
      <c r="K270" s="36"/>
      <c r="L270" s="36"/>
      <c r="M270" s="40" t="str">
        <f aca="false">IF(A270="","",IF(A270&lt;FY_START,0,(YEAR(A270)-YEAR(FY_START))*12+MONTH(A270)-MONTH(FY_START)+1))</f>
        <v/>
      </c>
      <c r="N270" s="40" t="str">
        <f aca="false">IF(A270="","",IF(AND(A270&gt;=VP_START,A270&lt;=VP_END),1,0))</f>
        <v/>
      </c>
    </row>
    <row r="271" customFormat="false" ht="15" hidden="false" customHeight="false" outlineLevel="0" collapsed="false">
      <c r="A271" s="37"/>
      <c r="B271" s="36"/>
      <c r="C271" s="36"/>
      <c r="D271" s="36"/>
      <c r="E271" s="38"/>
      <c r="F271" s="36"/>
      <c r="G271" s="39" t="str">
        <f aca="false">IF(E271="","",IF(F271="Standard 5%",E271*VAT_RATE,0))</f>
        <v/>
      </c>
      <c r="H271" s="36"/>
      <c r="I271" s="39" t="str">
        <f aca="false">IF(E271="","",IF(AND(H271="Yes",F271="Standard 5%"),G271,0))</f>
        <v/>
      </c>
      <c r="J271" s="39" t="str">
        <f aca="false">IF(E271="","",E271+G271)</f>
        <v/>
      </c>
      <c r="K271" s="36"/>
      <c r="L271" s="36"/>
      <c r="M271" s="40" t="str">
        <f aca="false">IF(A271="","",IF(A271&lt;FY_START,0,(YEAR(A271)-YEAR(FY_START))*12+MONTH(A271)-MONTH(FY_START)+1))</f>
        <v/>
      </c>
      <c r="N271" s="40" t="str">
        <f aca="false">IF(A271="","",IF(AND(A271&gt;=VP_START,A271&lt;=VP_END),1,0))</f>
        <v/>
      </c>
    </row>
    <row r="272" customFormat="false" ht="15" hidden="false" customHeight="false" outlineLevel="0" collapsed="false">
      <c r="A272" s="37"/>
      <c r="B272" s="36"/>
      <c r="C272" s="36"/>
      <c r="D272" s="36"/>
      <c r="E272" s="38"/>
      <c r="F272" s="36"/>
      <c r="G272" s="39" t="str">
        <f aca="false">IF(E272="","",IF(F272="Standard 5%",E272*VAT_RATE,0))</f>
        <v/>
      </c>
      <c r="H272" s="36"/>
      <c r="I272" s="39" t="str">
        <f aca="false">IF(E272="","",IF(AND(H272="Yes",F272="Standard 5%"),G272,0))</f>
        <v/>
      </c>
      <c r="J272" s="39" t="str">
        <f aca="false">IF(E272="","",E272+G272)</f>
        <v/>
      </c>
      <c r="K272" s="36"/>
      <c r="L272" s="36"/>
      <c r="M272" s="40" t="str">
        <f aca="false">IF(A272="","",IF(A272&lt;FY_START,0,(YEAR(A272)-YEAR(FY_START))*12+MONTH(A272)-MONTH(FY_START)+1))</f>
        <v/>
      </c>
      <c r="N272" s="40" t="str">
        <f aca="false">IF(A272="","",IF(AND(A272&gt;=VP_START,A272&lt;=VP_END),1,0))</f>
        <v/>
      </c>
    </row>
    <row r="273" customFormat="false" ht="15" hidden="false" customHeight="false" outlineLevel="0" collapsed="false">
      <c r="A273" s="37"/>
      <c r="B273" s="36"/>
      <c r="C273" s="36"/>
      <c r="D273" s="36"/>
      <c r="E273" s="38"/>
      <c r="F273" s="36"/>
      <c r="G273" s="39" t="str">
        <f aca="false">IF(E273="","",IF(F273="Standard 5%",E273*VAT_RATE,0))</f>
        <v/>
      </c>
      <c r="H273" s="36"/>
      <c r="I273" s="39" t="str">
        <f aca="false">IF(E273="","",IF(AND(H273="Yes",F273="Standard 5%"),G273,0))</f>
        <v/>
      </c>
      <c r="J273" s="39" t="str">
        <f aca="false">IF(E273="","",E273+G273)</f>
        <v/>
      </c>
      <c r="K273" s="36"/>
      <c r="L273" s="36"/>
      <c r="M273" s="40" t="str">
        <f aca="false">IF(A273="","",IF(A273&lt;FY_START,0,(YEAR(A273)-YEAR(FY_START))*12+MONTH(A273)-MONTH(FY_START)+1))</f>
        <v/>
      </c>
      <c r="N273" s="40" t="str">
        <f aca="false">IF(A273="","",IF(AND(A273&gt;=VP_START,A273&lt;=VP_END),1,0))</f>
        <v/>
      </c>
    </row>
    <row r="274" customFormat="false" ht="15" hidden="false" customHeight="false" outlineLevel="0" collapsed="false">
      <c r="A274" s="37"/>
      <c r="B274" s="36"/>
      <c r="C274" s="36"/>
      <c r="D274" s="36"/>
      <c r="E274" s="38"/>
      <c r="F274" s="36"/>
      <c r="G274" s="39" t="str">
        <f aca="false">IF(E274="","",IF(F274="Standard 5%",E274*VAT_RATE,0))</f>
        <v/>
      </c>
      <c r="H274" s="36"/>
      <c r="I274" s="39" t="str">
        <f aca="false">IF(E274="","",IF(AND(H274="Yes",F274="Standard 5%"),G274,0))</f>
        <v/>
      </c>
      <c r="J274" s="39" t="str">
        <f aca="false">IF(E274="","",E274+G274)</f>
        <v/>
      </c>
      <c r="K274" s="36"/>
      <c r="L274" s="36"/>
      <c r="M274" s="40" t="str">
        <f aca="false">IF(A274="","",IF(A274&lt;FY_START,0,(YEAR(A274)-YEAR(FY_START))*12+MONTH(A274)-MONTH(FY_START)+1))</f>
        <v/>
      </c>
      <c r="N274" s="40" t="str">
        <f aca="false">IF(A274="","",IF(AND(A274&gt;=VP_START,A274&lt;=VP_END),1,0))</f>
        <v/>
      </c>
    </row>
    <row r="275" customFormat="false" ht="15" hidden="false" customHeight="false" outlineLevel="0" collapsed="false">
      <c r="A275" s="37"/>
      <c r="B275" s="36"/>
      <c r="C275" s="36"/>
      <c r="D275" s="36"/>
      <c r="E275" s="38"/>
      <c r="F275" s="36"/>
      <c r="G275" s="39" t="str">
        <f aca="false">IF(E275="","",IF(F275="Standard 5%",E275*VAT_RATE,0))</f>
        <v/>
      </c>
      <c r="H275" s="36"/>
      <c r="I275" s="39" t="str">
        <f aca="false">IF(E275="","",IF(AND(H275="Yes",F275="Standard 5%"),G275,0))</f>
        <v/>
      </c>
      <c r="J275" s="39" t="str">
        <f aca="false">IF(E275="","",E275+G275)</f>
        <v/>
      </c>
      <c r="K275" s="36"/>
      <c r="L275" s="36"/>
      <c r="M275" s="40" t="str">
        <f aca="false">IF(A275="","",IF(A275&lt;FY_START,0,(YEAR(A275)-YEAR(FY_START))*12+MONTH(A275)-MONTH(FY_START)+1))</f>
        <v/>
      </c>
      <c r="N275" s="40" t="str">
        <f aca="false">IF(A275="","",IF(AND(A275&gt;=VP_START,A275&lt;=VP_END),1,0))</f>
        <v/>
      </c>
    </row>
    <row r="276" customFormat="false" ht="15" hidden="false" customHeight="false" outlineLevel="0" collapsed="false">
      <c r="A276" s="37"/>
      <c r="B276" s="36"/>
      <c r="C276" s="36"/>
      <c r="D276" s="36"/>
      <c r="E276" s="38"/>
      <c r="F276" s="36"/>
      <c r="G276" s="39" t="str">
        <f aca="false">IF(E276="","",IF(F276="Standard 5%",E276*VAT_RATE,0))</f>
        <v/>
      </c>
      <c r="H276" s="36"/>
      <c r="I276" s="39" t="str">
        <f aca="false">IF(E276="","",IF(AND(H276="Yes",F276="Standard 5%"),G276,0))</f>
        <v/>
      </c>
      <c r="J276" s="39" t="str">
        <f aca="false">IF(E276="","",E276+G276)</f>
        <v/>
      </c>
      <c r="K276" s="36"/>
      <c r="L276" s="36"/>
      <c r="M276" s="40" t="str">
        <f aca="false">IF(A276="","",IF(A276&lt;FY_START,0,(YEAR(A276)-YEAR(FY_START))*12+MONTH(A276)-MONTH(FY_START)+1))</f>
        <v/>
      </c>
      <c r="N276" s="40" t="str">
        <f aca="false">IF(A276="","",IF(AND(A276&gt;=VP_START,A276&lt;=VP_END),1,0))</f>
        <v/>
      </c>
    </row>
    <row r="277" customFormat="false" ht="15" hidden="false" customHeight="false" outlineLevel="0" collapsed="false">
      <c r="A277" s="37"/>
      <c r="B277" s="36"/>
      <c r="C277" s="36"/>
      <c r="D277" s="36"/>
      <c r="E277" s="38"/>
      <c r="F277" s="36"/>
      <c r="G277" s="39" t="str">
        <f aca="false">IF(E277="","",IF(F277="Standard 5%",E277*VAT_RATE,0))</f>
        <v/>
      </c>
      <c r="H277" s="36"/>
      <c r="I277" s="39" t="str">
        <f aca="false">IF(E277="","",IF(AND(H277="Yes",F277="Standard 5%"),G277,0))</f>
        <v/>
      </c>
      <c r="J277" s="39" t="str">
        <f aca="false">IF(E277="","",E277+G277)</f>
        <v/>
      </c>
      <c r="K277" s="36"/>
      <c r="L277" s="36"/>
      <c r="M277" s="40" t="str">
        <f aca="false">IF(A277="","",IF(A277&lt;FY_START,0,(YEAR(A277)-YEAR(FY_START))*12+MONTH(A277)-MONTH(FY_START)+1))</f>
        <v/>
      </c>
      <c r="N277" s="40" t="str">
        <f aca="false">IF(A277="","",IF(AND(A277&gt;=VP_START,A277&lt;=VP_END),1,0))</f>
        <v/>
      </c>
    </row>
    <row r="278" customFormat="false" ht="15" hidden="false" customHeight="false" outlineLevel="0" collapsed="false">
      <c r="A278" s="37"/>
      <c r="B278" s="36"/>
      <c r="C278" s="36"/>
      <c r="D278" s="36"/>
      <c r="E278" s="38"/>
      <c r="F278" s="36"/>
      <c r="G278" s="39" t="str">
        <f aca="false">IF(E278="","",IF(F278="Standard 5%",E278*VAT_RATE,0))</f>
        <v/>
      </c>
      <c r="H278" s="36"/>
      <c r="I278" s="39" t="str">
        <f aca="false">IF(E278="","",IF(AND(H278="Yes",F278="Standard 5%"),G278,0))</f>
        <v/>
      </c>
      <c r="J278" s="39" t="str">
        <f aca="false">IF(E278="","",E278+G278)</f>
        <v/>
      </c>
      <c r="K278" s="36"/>
      <c r="L278" s="36"/>
      <c r="M278" s="40" t="str">
        <f aca="false">IF(A278="","",IF(A278&lt;FY_START,0,(YEAR(A278)-YEAR(FY_START))*12+MONTH(A278)-MONTH(FY_START)+1))</f>
        <v/>
      </c>
      <c r="N278" s="40" t="str">
        <f aca="false">IF(A278="","",IF(AND(A278&gt;=VP_START,A278&lt;=VP_END),1,0))</f>
        <v/>
      </c>
    </row>
    <row r="279" customFormat="false" ht="15" hidden="false" customHeight="false" outlineLevel="0" collapsed="false">
      <c r="A279" s="37"/>
      <c r="B279" s="36"/>
      <c r="C279" s="36"/>
      <c r="D279" s="36"/>
      <c r="E279" s="38"/>
      <c r="F279" s="36"/>
      <c r="G279" s="39" t="str">
        <f aca="false">IF(E279="","",IF(F279="Standard 5%",E279*VAT_RATE,0))</f>
        <v/>
      </c>
      <c r="H279" s="36"/>
      <c r="I279" s="39" t="str">
        <f aca="false">IF(E279="","",IF(AND(H279="Yes",F279="Standard 5%"),G279,0))</f>
        <v/>
      </c>
      <c r="J279" s="39" t="str">
        <f aca="false">IF(E279="","",E279+G279)</f>
        <v/>
      </c>
      <c r="K279" s="36"/>
      <c r="L279" s="36"/>
      <c r="M279" s="40" t="str">
        <f aca="false">IF(A279="","",IF(A279&lt;FY_START,0,(YEAR(A279)-YEAR(FY_START))*12+MONTH(A279)-MONTH(FY_START)+1))</f>
        <v/>
      </c>
      <c r="N279" s="40" t="str">
        <f aca="false">IF(A279="","",IF(AND(A279&gt;=VP_START,A279&lt;=VP_END),1,0))</f>
        <v/>
      </c>
    </row>
    <row r="280" customFormat="false" ht="15" hidden="false" customHeight="false" outlineLevel="0" collapsed="false">
      <c r="A280" s="37"/>
      <c r="B280" s="36"/>
      <c r="C280" s="36"/>
      <c r="D280" s="36"/>
      <c r="E280" s="38"/>
      <c r="F280" s="36"/>
      <c r="G280" s="39" t="str">
        <f aca="false">IF(E280="","",IF(F280="Standard 5%",E280*VAT_RATE,0))</f>
        <v/>
      </c>
      <c r="H280" s="36"/>
      <c r="I280" s="39" t="str">
        <f aca="false">IF(E280="","",IF(AND(H280="Yes",F280="Standard 5%"),G280,0))</f>
        <v/>
      </c>
      <c r="J280" s="39" t="str">
        <f aca="false">IF(E280="","",E280+G280)</f>
        <v/>
      </c>
      <c r="K280" s="36"/>
      <c r="L280" s="36"/>
      <c r="M280" s="40" t="str">
        <f aca="false">IF(A280="","",IF(A280&lt;FY_START,0,(YEAR(A280)-YEAR(FY_START))*12+MONTH(A280)-MONTH(FY_START)+1))</f>
        <v/>
      </c>
      <c r="N280" s="40" t="str">
        <f aca="false">IF(A280="","",IF(AND(A280&gt;=VP_START,A280&lt;=VP_END),1,0))</f>
        <v/>
      </c>
    </row>
    <row r="281" customFormat="false" ht="15" hidden="false" customHeight="false" outlineLevel="0" collapsed="false">
      <c r="A281" s="37"/>
      <c r="B281" s="36"/>
      <c r="C281" s="36"/>
      <c r="D281" s="36"/>
      <c r="E281" s="38"/>
      <c r="F281" s="36"/>
      <c r="G281" s="39" t="str">
        <f aca="false">IF(E281="","",IF(F281="Standard 5%",E281*VAT_RATE,0))</f>
        <v/>
      </c>
      <c r="H281" s="36"/>
      <c r="I281" s="39" t="str">
        <f aca="false">IF(E281="","",IF(AND(H281="Yes",F281="Standard 5%"),G281,0))</f>
        <v/>
      </c>
      <c r="J281" s="39" t="str">
        <f aca="false">IF(E281="","",E281+G281)</f>
        <v/>
      </c>
      <c r="K281" s="36"/>
      <c r="L281" s="36"/>
      <c r="M281" s="40" t="str">
        <f aca="false">IF(A281="","",IF(A281&lt;FY_START,0,(YEAR(A281)-YEAR(FY_START))*12+MONTH(A281)-MONTH(FY_START)+1))</f>
        <v/>
      </c>
      <c r="N281" s="40" t="str">
        <f aca="false">IF(A281="","",IF(AND(A281&gt;=VP_START,A281&lt;=VP_END),1,0))</f>
        <v/>
      </c>
    </row>
    <row r="282" customFormat="false" ht="15" hidden="false" customHeight="false" outlineLevel="0" collapsed="false">
      <c r="A282" s="37"/>
      <c r="B282" s="36"/>
      <c r="C282" s="36"/>
      <c r="D282" s="36"/>
      <c r="E282" s="38"/>
      <c r="F282" s="36"/>
      <c r="G282" s="39" t="str">
        <f aca="false">IF(E282="","",IF(F282="Standard 5%",E282*VAT_RATE,0))</f>
        <v/>
      </c>
      <c r="H282" s="36"/>
      <c r="I282" s="39" t="str">
        <f aca="false">IF(E282="","",IF(AND(H282="Yes",F282="Standard 5%"),G282,0))</f>
        <v/>
      </c>
      <c r="J282" s="39" t="str">
        <f aca="false">IF(E282="","",E282+G282)</f>
        <v/>
      </c>
      <c r="K282" s="36"/>
      <c r="L282" s="36"/>
      <c r="M282" s="40" t="str">
        <f aca="false">IF(A282="","",IF(A282&lt;FY_START,0,(YEAR(A282)-YEAR(FY_START))*12+MONTH(A282)-MONTH(FY_START)+1))</f>
        <v/>
      </c>
      <c r="N282" s="40" t="str">
        <f aca="false">IF(A282="","",IF(AND(A282&gt;=VP_START,A282&lt;=VP_END),1,0))</f>
        <v/>
      </c>
    </row>
    <row r="283" customFormat="false" ht="15" hidden="false" customHeight="false" outlineLevel="0" collapsed="false">
      <c r="A283" s="37"/>
      <c r="B283" s="36"/>
      <c r="C283" s="36"/>
      <c r="D283" s="36"/>
      <c r="E283" s="38"/>
      <c r="F283" s="36"/>
      <c r="G283" s="39" t="str">
        <f aca="false">IF(E283="","",IF(F283="Standard 5%",E283*VAT_RATE,0))</f>
        <v/>
      </c>
      <c r="H283" s="36"/>
      <c r="I283" s="39" t="str">
        <f aca="false">IF(E283="","",IF(AND(H283="Yes",F283="Standard 5%"),G283,0))</f>
        <v/>
      </c>
      <c r="J283" s="39" t="str">
        <f aca="false">IF(E283="","",E283+G283)</f>
        <v/>
      </c>
      <c r="K283" s="36"/>
      <c r="L283" s="36"/>
      <c r="M283" s="40" t="str">
        <f aca="false">IF(A283="","",IF(A283&lt;FY_START,0,(YEAR(A283)-YEAR(FY_START))*12+MONTH(A283)-MONTH(FY_START)+1))</f>
        <v/>
      </c>
      <c r="N283" s="40" t="str">
        <f aca="false">IF(A283="","",IF(AND(A283&gt;=VP_START,A283&lt;=VP_END),1,0))</f>
        <v/>
      </c>
    </row>
    <row r="284" customFormat="false" ht="15" hidden="false" customHeight="false" outlineLevel="0" collapsed="false">
      <c r="A284" s="37"/>
      <c r="B284" s="36"/>
      <c r="C284" s="36"/>
      <c r="D284" s="36"/>
      <c r="E284" s="38"/>
      <c r="F284" s="36"/>
      <c r="G284" s="39" t="str">
        <f aca="false">IF(E284="","",IF(F284="Standard 5%",E284*VAT_RATE,0))</f>
        <v/>
      </c>
      <c r="H284" s="36"/>
      <c r="I284" s="39" t="str">
        <f aca="false">IF(E284="","",IF(AND(H284="Yes",F284="Standard 5%"),G284,0))</f>
        <v/>
      </c>
      <c r="J284" s="39" t="str">
        <f aca="false">IF(E284="","",E284+G284)</f>
        <v/>
      </c>
      <c r="K284" s="36"/>
      <c r="L284" s="36"/>
      <c r="M284" s="40" t="str">
        <f aca="false">IF(A284="","",IF(A284&lt;FY_START,0,(YEAR(A284)-YEAR(FY_START))*12+MONTH(A284)-MONTH(FY_START)+1))</f>
        <v/>
      </c>
      <c r="N284" s="40" t="str">
        <f aca="false">IF(A284="","",IF(AND(A284&gt;=VP_START,A284&lt;=VP_END),1,0))</f>
        <v/>
      </c>
    </row>
    <row r="285" customFormat="false" ht="15" hidden="false" customHeight="false" outlineLevel="0" collapsed="false">
      <c r="A285" s="37"/>
      <c r="B285" s="36"/>
      <c r="C285" s="36"/>
      <c r="D285" s="36"/>
      <c r="E285" s="38"/>
      <c r="F285" s="36"/>
      <c r="G285" s="39" t="str">
        <f aca="false">IF(E285="","",IF(F285="Standard 5%",E285*VAT_RATE,0))</f>
        <v/>
      </c>
      <c r="H285" s="36"/>
      <c r="I285" s="39" t="str">
        <f aca="false">IF(E285="","",IF(AND(H285="Yes",F285="Standard 5%"),G285,0))</f>
        <v/>
      </c>
      <c r="J285" s="39" t="str">
        <f aca="false">IF(E285="","",E285+G285)</f>
        <v/>
      </c>
      <c r="K285" s="36"/>
      <c r="L285" s="36"/>
      <c r="M285" s="40" t="str">
        <f aca="false">IF(A285="","",IF(A285&lt;FY_START,0,(YEAR(A285)-YEAR(FY_START))*12+MONTH(A285)-MONTH(FY_START)+1))</f>
        <v/>
      </c>
      <c r="N285" s="40" t="str">
        <f aca="false">IF(A285="","",IF(AND(A285&gt;=VP_START,A285&lt;=VP_END),1,0))</f>
        <v/>
      </c>
    </row>
    <row r="286" customFormat="false" ht="15" hidden="false" customHeight="false" outlineLevel="0" collapsed="false">
      <c r="A286" s="37"/>
      <c r="B286" s="36"/>
      <c r="C286" s="36"/>
      <c r="D286" s="36"/>
      <c r="E286" s="38"/>
      <c r="F286" s="36"/>
      <c r="G286" s="39" t="str">
        <f aca="false">IF(E286="","",IF(F286="Standard 5%",E286*VAT_RATE,0))</f>
        <v/>
      </c>
      <c r="H286" s="36"/>
      <c r="I286" s="39" t="str">
        <f aca="false">IF(E286="","",IF(AND(H286="Yes",F286="Standard 5%"),G286,0))</f>
        <v/>
      </c>
      <c r="J286" s="39" t="str">
        <f aca="false">IF(E286="","",E286+G286)</f>
        <v/>
      </c>
      <c r="K286" s="36"/>
      <c r="L286" s="36"/>
      <c r="M286" s="40" t="str">
        <f aca="false">IF(A286="","",IF(A286&lt;FY_START,0,(YEAR(A286)-YEAR(FY_START))*12+MONTH(A286)-MONTH(FY_START)+1))</f>
        <v/>
      </c>
      <c r="N286" s="40" t="str">
        <f aca="false">IF(A286="","",IF(AND(A286&gt;=VP_START,A286&lt;=VP_END),1,0))</f>
        <v/>
      </c>
    </row>
    <row r="287" customFormat="false" ht="15" hidden="false" customHeight="false" outlineLevel="0" collapsed="false">
      <c r="A287" s="37"/>
      <c r="B287" s="36"/>
      <c r="C287" s="36"/>
      <c r="D287" s="36"/>
      <c r="E287" s="38"/>
      <c r="F287" s="36"/>
      <c r="G287" s="39" t="str">
        <f aca="false">IF(E287="","",IF(F287="Standard 5%",E287*VAT_RATE,0))</f>
        <v/>
      </c>
      <c r="H287" s="36"/>
      <c r="I287" s="39" t="str">
        <f aca="false">IF(E287="","",IF(AND(H287="Yes",F287="Standard 5%"),G287,0))</f>
        <v/>
      </c>
      <c r="J287" s="39" t="str">
        <f aca="false">IF(E287="","",E287+G287)</f>
        <v/>
      </c>
      <c r="K287" s="36"/>
      <c r="L287" s="36"/>
      <c r="M287" s="40" t="str">
        <f aca="false">IF(A287="","",IF(A287&lt;FY_START,0,(YEAR(A287)-YEAR(FY_START))*12+MONTH(A287)-MONTH(FY_START)+1))</f>
        <v/>
      </c>
      <c r="N287" s="40" t="str">
        <f aca="false">IF(A287="","",IF(AND(A287&gt;=VP_START,A287&lt;=VP_END),1,0))</f>
        <v/>
      </c>
    </row>
    <row r="288" customFormat="false" ht="15" hidden="false" customHeight="false" outlineLevel="0" collapsed="false">
      <c r="A288" s="37"/>
      <c r="B288" s="36"/>
      <c r="C288" s="36"/>
      <c r="D288" s="36"/>
      <c r="E288" s="38"/>
      <c r="F288" s="36"/>
      <c r="G288" s="39" t="str">
        <f aca="false">IF(E288="","",IF(F288="Standard 5%",E288*VAT_RATE,0))</f>
        <v/>
      </c>
      <c r="H288" s="36"/>
      <c r="I288" s="39" t="str">
        <f aca="false">IF(E288="","",IF(AND(H288="Yes",F288="Standard 5%"),G288,0))</f>
        <v/>
      </c>
      <c r="J288" s="39" t="str">
        <f aca="false">IF(E288="","",E288+G288)</f>
        <v/>
      </c>
      <c r="K288" s="36"/>
      <c r="L288" s="36"/>
      <c r="M288" s="40" t="str">
        <f aca="false">IF(A288="","",IF(A288&lt;FY_START,0,(YEAR(A288)-YEAR(FY_START))*12+MONTH(A288)-MONTH(FY_START)+1))</f>
        <v/>
      </c>
      <c r="N288" s="40" t="str">
        <f aca="false">IF(A288="","",IF(AND(A288&gt;=VP_START,A288&lt;=VP_END),1,0))</f>
        <v/>
      </c>
    </row>
    <row r="289" customFormat="false" ht="15" hidden="false" customHeight="false" outlineLevel="0" collapsed="false">
      <c r="A289" s="37"/>
      <c r="B289" s="36"/>
      <c r="C289" s="36"/>
      <c r="D289" s="36"/>
      <c r="E289" s="38"/>
      <c r="F289" s="36"/>
      <c r="G289" s="39" t="str">
        <f aca="false">IF(E289="","",IF(F289="Standard 5%",E289*VAT_RATE,0))</f>
        <v/>
      </c>
      <c r="H289" s="36"/>
      <c r="I289" s="39" t="str">
        <f aca="false">IF(E289="","",IF(AND(H289="Yes",F289="Standard 5%"),G289,0))</f>
        <v/>
      </c>
      <c r="J289" s="39" t="str">
        <f aca="false">IF(E289="","",E289+G289)</f>
        <v/>
      </c>
      <c r="K289" s="36"/>
      <c r="L289" s="36"/>
      <c r="M289" s="40" t="str">
        <f aca="false">IF(A289="","",IF(A289&lt;FY_START,0,(YEAR(A289)-YEAR(FY_START))*12+MONTH(A289)-MONTH(FY_START)+1))</f>
        <v/>
      </c>
      <c r="N289" s="40" t="str">
        <f aca="false">IF(A289="","",IF(AND(A289&gt;=VP_START,A289&lt;=VP_END),1,0))</f>
        <v/>
      </c>
    </row>
    <row r="290" customFormat="false" ht="15" hidden="false" customHeight="false" outlineLevel="0" collapsed="false">
      <c r="A290" s="37"/>
      <c r="B290" s="36"/>
      <c r="C290" s="36"/>
      <c r="D290" s="36"/>
      <c r="E290" s="38"/>
      <c r="F290" s="36"/>
      <c r="G290" s="39" t="str">
        <f aca="false">IF(E290="","",IF(F290="Standard 5%",E290*VAT_RATE,0))</f>
        <v/>
      </c>
      <c r="H290" s="36"/>
      <c r="I290" s="39" t="str">
        <f aca="false">IF(E290="","",IF(AND(H290="Yes",F290="Standard 5%"),G290,0))</f>
        <v/>
      </c>
      <c r="J290" s="39" t="str">
        <f aca="false">IF(E290="","",E290+G290)</f>
        <v/>
      </c>
      <c r="K290" s="36"/>
      <c r="L290" s="36"/>
      <c r="M290" s="40" t="str">
        <f aca="false">IF(A290="","",IF(A290&lt;FY_START,0,(YEAR(A290)-YEAR(FY_START))*12+MONTH(A290)-MONTH(FY_START)+1))</f>
        <v/>
      </c>
      <c r="N290" s="40" t="str">
        <f aca="false">IF(A290="","",IF(AND(A290&gt;=VP_START,A290&lt;=VP_END),1,0))</f>
        <v/>
      </c>
    </row>
    <row r="291" customFormat="false" ht="15" hidden="false" customHeight="false" outlineLevel="0" collapsed="false">
      <c r="A291" s="37"/>
      <c r="B291" s="36"/>
      <c r="C291" s="36"/>
      <c r="D291" s="36"/>
      <c r="E291" s="38"/>
      <c r="F291" s="36"/>
      <c r="G291" s="39" t="str">
        <f aca="false">IF(E291="","",IF(F291="Standard 5%",E291*VAT_RATE,0))</f>
        <v/>
      </c>
      <c r="H291" s="36"/>
      <c r="I291" s="39" t="str">
        <f aca="false">IF(E291="","",IF(AND(H291="Yes",F291="Standard 5%"),G291,0))</f>
        <v/>
      </c>
      <c r="J291" s="39" t="str">
        <f aca="false">IF(E291="","",E291+G291)</f>
        <v/>
      </c>
      <c r="K291" s="36"/>
      <c r="L291" s="36"/>
      <c r="M291" s="40" t="str">
        <f aca="false">IF(A291="","",IF(A291&lt;FY_START,0,(YEAR(A291)-YEAR(FY_START))*12+MONTH(A291)-MONTH(FY_START)+1))</f>
        <v/>
      </c>
      <c r="N291" s="40" t="str">
        <f aca="false">IF(A291="","",IF(AND(A291&gt;=VP_START,A291&lt;=VP_END),1,0))</f>
        <v/>
      </c>
    </row>
    <row r="292" customFormat="false" ht="15" hidden="false" customHeight="false" outlineLevel="0" collapsed="false">
      <c r="A292" s="37"/>
      <c r="B292" s="36"/>
      <c r="C292" s="36"/>
      <c r="D292" s="36"/>
      <c r="E292" s="38"/>
      <c r="F292" s="36"/>
      <c r="G292" s="39" t="str">
        <f aca="false">IF(E292="","",IF(F292="Standard 5%",E292*VAT_RATE,0))</f>
        <v/>
      </c>
      <c r="H292" s="36"/>
      <c r="I292" s="39" t="str">
        <f aca="false">IF(E292="","",IF(AND(H292="Yes",F292="Standard 5%"),G292,0))</f>
        <v/>
      </c>
      <c r="J292" s="39" t="str">
        <f aca="false">IF(E292="","",E292+G292)</f>
        <v/>
      </c>
      <c r="K292" s="36"/>
      <c r="L292" s="36"/>
      <c r="M292" s="40" t="str">
        <f aca="false">IF(A292="","",IF(A292&lt;FY_START,0,(YEAR(A292)-YEAR(FY_START))*12+MONTH(A292)-MONTH(FY_START)+1))</f>
        <v/>
      </c>
      <c r="N292" s="40" t="str">
        <f aca="false">IF(A292="","",IF(AND(A292&gt;=VP_START,A292&lt;=VP_END),1,0))</f>
        <v/>
      </c>
    </row>
    <row r="293" customFormat="false" ht="15" hidden="false" customHeight="false" outlineLevel="0" collapsed="false">
      <c r="A293" s="37"/>
      <c r="B293" s="36"/>
      <c r="C293" s="36"/>
      <c r="D293" s="36"/>
      <c r="E293" s="38"/>
      <c r="F293" s="36"/>
      <c r="G293" s="39" t="str">
        <f aca="false">IF(E293="","",IF(F293="Standard 5%",E293*VAT_RATE,0))</f>
        <v/>
      </c>
      <c r="H293" s="36"/>
      <c r="I293" s="39" t="str">
        <f aca="false">IF(E293="","",IF(AND(H293="Yes",F293="Standard 5%"),G293,0))</f>
        <v/>
      </c>
      <c r="J293" s="39" t="str">
        <f aca="false">IF(E293="","",E293+G293)</f>
        <v/>
      </c>
      <c r="K293" s="36"/>
      <c r="L293" s="36"/>
      <c r="M293" s="40" t="str">
        <f aca="false">IF(A293="","",IF(A293&lt;FY_START,0,(YEAR(A293)-YEAR(FY_START))*12+MONTH(A293)-MONTH(FY_START)+1))</f>
        <v/>
      </c>
      <c r="N293" s="40" t="str">
        <f aca="false">IF(A293="","",IF(AND(A293&gt;=VP_START,A293&lt;=VP_END),1,0))</f>
        <v/>
      </c>
    </row>
    <row r="294" customFormat="false" ht="15" hidden="false" customHeight="false" outlineLevel="0" collapsed="false">
      <c r="A294" s="37"/>
      <c r="B294" s="36"/>
      <c r="C294" s="36"/>
      <c r="D294" s="36"/>
      <c r="E294" s="38"/>
      <c r="F294" s="36"/>
      <c r="G294" s="39" t="str">
        <f aca="false">IF(E294="","",IF(F294="Standard 5%",E294*VAT_RATE,0))</f>
        <v/>
      </c>
      <c r="H294" s="36"/>
      <c r="I294" s="39" t="str">
        <f aca="false">IF(E294="","",IF(AND(H294="Yes",F294="Standard 5%"),G294,0))</f>
        <v/>
      </c>
      <c r="J294" s="39" t="str">
        <f aca="false">IF(E294="","",E294+G294)</f>
        <v/>
      </c>
      <c r="K294" s="36"/>
      <c r="L294" s="36"/>
      <c r="M294" s="40" t="str">
        <f aca="false">IF(A294="","",IF(A294&lt;FY_START,0,(YEAR(A294)-YEAR(FY_START))*12+MONTH(A294)-MONTH(FY_START)+1))</f>
        <v/>
      </c>
      <c r="N294" s="40" t="str">
        <f aca="false">IF(A294="","",IF(AND(A294&gt;=VP_START,A294&lt;=VP_END),1,0))</f>
        <v/>
      </c>
    </row>
    <row r="295" customFormat="false" ht="15" hidden="false" customHeight="false" outlineLevel="0" collapsed="false">
      <c r="A295" s="37"/>
      <c r="B295" s="36"/>
      <c r="C295" s="36"/>
      <c r="D295" s="36"/>
      <c r="E295" s="38"/>
      <c r="F295" s="36"/>
      <c r="G295" s="39" t="str">
        <f aca="false">IF(E295="","",IF(F295="Standard 5%",E295*VAT_RATE,0))</f>
        <v/>
      </c>
      <c r="H295" s="36"/>
      <c r="I295" s="39" t="str">
        <f aca="false">IF(E295="","",IF(AND(H295="Yes",F295="Standard 5%"),G295,0))</f>
        <v/>
      </c>
      <c r="J295" s="39" t="str">
        <f aca="false">IF(E295="","",E295+G295)</f>
        <v/>
      </c>
      <c r="K295" s="36"/>
      <c r="L295" s="36"/>
      <c r="M295" s="40" t="str">
        <f aca="false">IF(A295="","",IF(A295&lt;FY_START,0,(YEAR(A295)-YEAR(FY_START))*12+MONTH(A295)-MONTH(FY_START)+1))</f>
        <v/>
      </c>
      <c r="N295" s="40" t="str">
        <f aca="false">IF(A295="","",IF(AND(A295&gt;=VP_START,A295&lt;=VP_END),1,0))</f>
        <v/>
      </c>
    </row>
    <row r="296" customFormat="false" ht="15" hidden="false" customHeight="false" outlineLevel="0" collapsed="false">
      <c r="A296" s="37"/>
      <c r="B296" s="36"/>
      <c r="C296" s="36"/>
      <c r="D296" s="36"/>
      <c r="E296" s="38"/>
      <c r="F296" s="36"/>
      <c r="G296" s="39" t="str">
        <f aca="false">IF(E296="","",IF(F296="Standard 5%",E296*VAT_RATE,0))</f>
        <v/>
      </c>
      <c r="H296" s="36"/>
      <c r="I296" s="39" t="str">
        <f aca="false">IF(E296="","",IF(AND(H296="Yes",F296="Standard 5%"),G296,0))</f>
        <v/>
      </c>
      <c r="J296" s="39" t="str">
        <f aca="false">IF(E296="","",E296+G296)</f>
        <v/>
      </c>
      <c r="K296" s="36"/>
      <c r="L296" s="36"/>
      <c r="M296" s="40" t="str">
        <f aca="false">IF(A296="","",IF(A296&lt;FY_START,0,(YEAR(A296)-YEAR(FY_START))*12+MONTH(A296)-MONTH(FY_START)+1))</f>
        <v/>
      </c>
      <c r="N296" s="40" t="str">
        <f aca="false">IF(A296="","",IF(AND(A296&gt;=VP_START,A296&lt;=VP_END),1,0))</f>
        <v/>
      </c>
    </row>
    <row r="297" customFormat="false" ht="15" hidden="false" customHeight="false" outlineLevel="0" collapsed="false">
      <c r="A297" s="37"/>
      <c r="B297" s="36"/>
      <c r="C297" s="36"/>
      <c r="D297" s="36"/>
      <c r="E297" s="38"/>
      <c r="F297" s="36"/>
      <c r="G297" s="39" t="str">
        <f aca="false">IF(E297="","",IF(F297="Standard 5%",E297*VAT_RATE,0))</f>
        <v/>
      </c>
      <c r="H297" s="36"/>
      <c r="I297" s="39" t="str">
        <f aca="false">IF(E297="","",IF(AND(H297="Yes",F297="Standard 5%"),G297,0))</f>
        <v/>
      </c>
      <c r="J297" s="39" t="str">
        <f aca="false">IF(E297="","",E297+G297)</f>
        <v/>
      </c>
      <c r="K297" s="36"/>
      <c r="L297" s="36"/>
      <c r="M297" s="40" t="str">
        <f aca="false">IF(A297="","",IF(A297&lt;FY_START,0,(YEAR(A297)-YEAR(FY_START))*12+MONTH(A297)-MONTH(FY_START)+1))</f>
        <v/>
      </c>
      <c r="N297" s="40" t="str">
        <f aca="false">IF(A297="","",IF(AND(A297&gt;=VP_START,A297&lt;=VP_END),1,0))</f>
        <v/>
      </c>
    </row>
    <row r="298" customFormat="false" ht="15" hidden="false" customHeight="false" outlineLevel="0" collapsed="false">
      <c r="A298" s="37"/>
      <c r="B298" s="36"/>
      <c r="C298" s="36"/>
      <c r="D298" s="36"/>
      <c r="E298" s="38"/>
      <c r="F298" s="36"/>
      <c r="G298" s="39" t="str">
        <f aca="false">IF(E298="","",IF(F298="Standard 5%",E298*VAT_RATE,0))</f>
        <v/>
      </c>
      <c r="H298" s="36"/>
      <c r="I298" s="39" t="str">
        <f aca="false">IF(E298="","",IF(AND(H298="Yes",F298="Standard 5%"),G298,0))</f>
        <v/>
      </c>
      <c r="J298" s="39" t="str">
        <f aca="false">IF(E298="","",E298+G298)</f>
        <v/>
      </c>
      <c r="K298" s="36"/>
      <c r="L298" s="36"/>
      <c r="M298" s="40" t="str">
        <f aca="false">IF(A298="","",IF(A298&lt;FY_START,0,(YEAR(A298)-YEAR(FY_START))*12+MONTH(A298)-MONTH(FY_START)+1))</f>
        <v/>
      </c>
      <c r="N298" s="40" t="str">
        <f aca="false">IF(A298="","",IF(AND(A298&gt;=VP_START,A298&lt;=VP_END),1,0))</f>
        <v/>
      </c>
    </row>
    <row r="299" customFormat="false" ht="15" hidden="false" customHeight="false" outlineLevel="0" collapsed="false">
      <c r="A299" s="37"/>
      <c r="B299" s="36"/>
      <c r="C299" s="36"/>
      <c r="D299" s="36"/>
      <c r="E299" s="38"/>
      <c r="F299" s="36"/>
      <c r="G299" s="39" t="str">
        <f aca="false">IF(E299="","",IF(F299="Standard 5%",E299*VAT_RATE,0))</f>
        <v/>
      </c>
      <c r="H299" s="36"/>
      <c r="I299" s="39" t="str">
        <f aca="false">IF(E299="","",IF(AND(H299="Yes",F299="Standard 5%"),G299,0))</f>
        <v/>
      </c>
      <c r="J299" s="39" t="str">
        <f aca="false">IF(E299="","",E299+G299)</f>
        <v/>
      </c>
      <c r="K299" s="36"/>
      <c r="L299" s="36"/>
      <c r="M299" s="40" t="str">
        <f aca="false">IF(A299="","",IF(A299&lt;FY_START,0,(YEAR(A299)-YEAR(FY_START))*12+MONTH(A299)-MONTH(FY_START)+1))</f>
        <v/>
      </c>
      <c r="N299" s="40" t="str">
        <f aca="false">IF(A299="","",IF(AND(A299&gt;=VP_START,A299&lt;=VP_END),1,0))</f>
        <v/>
      </c>
    </row>
    <row r="300" customFormat="false" ht="15" hidden="false" customHeight="false" outlineLevel="0" collapsed="false">
      <c r="A300" s="37"/>
      <c r="B300" s="36"/>
      <c r="C300" s="36"/>
      <c r="D300" s="36"/>
      <c r="E300" s="38"/>
      <c r="F300" s="36"/>
      <c r="G300" s="39" t="str">
        <f aca="false">IF(E300="","",IF(F300="Standard 5%",E300*VAT_RATE,0))</f>
        <v/>
      </c>
      <c r="H300" s="36"/>
      <c r="I300" s="39" t="str">
        <f aca="false">IF(E300="","",IF(AND(H300="Yes",F300="Standard 5%"),G300,0))</f>
        <v/>
      </c>
      <c r="J300" s="39" t="str">
        <f aca="false">IF(E300="","",E300+G300)</f>
        <v/>
      </c>
      <c r="K300" s="36"/>
      <c r="L300" s="36"/>
      <c r="M300" s="40" t="str">
        <f aca="false">IF(A300="","",IF(A300&lt;FY_START,0,(YEAR(A300)-YEAR(FY_START))*12+MONTH(A300)-MONTH(FY_START)+1))</f>
        <v/>
      </c>
      <c r="N300" s="40" t="str">
        <f aca="false">IF(A300="","",IF(AND(A300&gt;=VP_START,A300&lt;=VP_END),1,0))</f>
        <v/>
      </c>
    </row>
    <row r="301" customFormat="false" ht="15" hidden="false" customHeight="false" outlineLevel="0" collapsed="false">
      <c r="A301" s="37"/>
      <c r="B301" s="36"/>
      <c r="C301" s="36"/>
      <c r="D301" s="36"/>
      <c r="E301" s="38"/>
      <c r="F301" s="36"/>
      <c r="G301" s="39" t="str">
        <f aca="false">IF(E301="","",IF(F301="Standard 5%",E301*VAT_RATE,0))</f>
        <v/>
      </c>
      <c r="H301" s="36"/>
      <c r="I301" s="39" t="str">
        <f aca="false">IF(E301="","",IF(AND(H301="Yes",F301="Standard 5%"),G301,0))</f>
        <v/>
      </c>
      <c r="J301" s="39" t="str">
        <f aca="false">IF(E301="","",E301+G301)</f>
        <v/>
      </c>
      <c r="K301" s="36"/>
      <c r="L301" s="36"/>
      <c r="M301" s="40" t="str">
        <f aca="false">IF(A301="","",IF(A301&lt;FY_START,0,(YEAR(A301)-YEAR(FY_START))*12+MONTH(A301)-MONTH(FY_START)+1))</f>
        <v/>
      </c>
      <c r="N301" s="40" t="str">
        <f aca="false">IF(A301="","",IF(AND(A301&gt;=VP_START,A301&lt;=VP_END),1,0))</f>
        <v/>
      </c>
    </row>
    <row r="302" customFormat="false" ht="15" hidden="false" customHeight="false" outlineLevel="0" collapsed="false">
      <c r="A302" s="37"/>
      <c r="B302" s="36"/>
      <c r="C302" s="36"/>
      <c r="D302" s="36"/>
      <c r="E302" s="38"/>
      <c r="F302" s="36"/>
      <c r="G302" s="39" t="str">
        <f aca="false">IF(E302="","",IF(F302="Standard 5%",E302*VAT_RATE,0))</f>
        <v/>
      </c>
      <c r="H302" s="36"/>
      <c r="I302" s="39" t="str">
        <f aca="false">IF(E302="","",IF(AND(H302="Yes",F302="Standard 5%"),G302,0))</f>
        <v/>
      </c>
      <c r="J302" s="39" t="str">
        <f aca="false">IF(E302="","",E302+G302)</f>
        <v/>
      </c>
      <c r="K302" s="36"/>
      <c r="L302" s="36"/>
      <c r="M302" s="40" t="str">
        <f aca="false">IF(A302="","",IF(A302&lt;FY_START,0,(YEAR(A302)-YEAR(FY_START))*12+MONTH(A302)-MONTH(FY_START)+1))</f>
        <v/>
      </c>
      <c r="N302" s="40" t="str">
        <f aca="false">IF(A302="","",IF(AND(A302&gt;=VP_START,A302&lt;=VP_END),1,0))</f>
        <v/>
      </c>
    </row>
    <row r="303" customFormat="false" ht="15" hidden="false" customHeight="false" outlineLevel="0" collapsed="false">
      <c r="A303" s="37"/>
      <c r="B303" s="36"/>
      <c r="C303" s="36"/>
      <c r="D303" s="36"/>
      <c r="E303" s="38"/>
      <c r="F303" s="36"/>
      <c r="G303" s="39" t="str">
        <f aca="false">IF(E303="","",IF(F303="Standard 5%",E303*VAT_RATE,0))</f>
        <v/>
      </c>
      <c r="H303" s="36"/>
      <c r="I303" s="39" t="str">
        <f aca="false">IF(E303="","",IF(AND(H303="Yes",F303="Standard 5%"),G303,0))</f>
        <v/>
      </c>
      <c r="J303" s="39" t="str">
        <f aca="false">IF(E303="","",E303+G303)</f>
        <v/>
      </c>
      <c r="K303" s="36"/>
      <c r="L303" s="36"/>
      <c r="M303" s="40" t="str">
        <f aca="false">IF(A303="","",IF(A303&lt;FY_START,0,(YEAR(A303)-YEAR(FY_START))*12+MONTH(A303)-MONTH(FY_START)+1))</f>
        <v/>
      </c>
      <c r="N303" s="40" t="str">
        <f aca="false">IF(A303="","",IF(AND(A303&gt;=VP_START,A303&lt;=VP_END),1,0))</f>
        <v/>
      </c>
    </row>
    <row r="304" customFormat="false" ht="15" hidden="false" customHeight="false" outlineLevel="0" collapsed="false">
      <c r="A304" s="37"/>
      <c r="B304" s="36"/>
      <c r="C304" s="36"/>
      <c r="D304" s="36"/>
      <c r="E304" s="38"/>
      <c r="F304" s="36"/>
      <c r="G304" s="39" t="str">
        <f aca="false">IF(E304="","",IF(F304="Standard 5%",E304*VAT_RATE,0))</f>
        <v/>
      </c>
      <c r="H304" s="36"/>
      <c r="I304" s="39" t="str">
        <f aca="false">IF(E304="","",IF(AND(H304="Yes",F304="Standard 5%"),G304,0))</f>
        <v/>
      </c>
      <c r="J304" s="39" t="str">
        <f aca="false">IF(E304="","",E304+G304)</f>
        <v/>
      </c>
      <c r="K304" s="36"/>
      <c r="L304" s="36"/>
      <c r="M304" s="40" t="str">
        <f aca="false">IF(A304="","",IF(A304&lt;FY_START,0,(YEAR(A304)-YEAR(FY_START))*12+MONTH(A304)-MONTH(FY_START)+1))</f>
        <v/>
      </c>
      <c r="N304" s="40" t="str">
        <f aca="false">IF(A304="","",IF(AND(A304&gt;=VP_START,A304&lt;=VP_END),1,0))</f>
        <v/>
      </c>
    </row>
    <row r="305" customFormat="false" ht="15" hidden="false" customHeight="false" outlineLevel="0" collapsed="false">
      <c r="A305" s="37"/>
      <c r="B305" s="36"/>
      <c r="C305" s="36"/>
      <c r="D305" s="36"/>
      <c r="E305" s="38"/>
      <c r="F305" s="36"/>
      <c r="G305" s="39" t="str">
        <f aca="false">IF(E305="","",IF(F305="Standard 5%",E305*VAT_RATE,0))</f>
        <v/>
      </c>
      <c r="H305" s="36"/>
      <c r="I305" s="39" t="str">
        <f aca="false">IF(E305="","",IF(AND(H305="Yes",F305="Standard 5%"),G305,0))</f>
        <v/>
      </c>
      <c r="J305" s="39" t="str">
        <f aca="false">IF(E305="","",E305+G305)</f>
        <v/>
      </c>
      <c r="K305" s="36"/>
      <c r="L305" s="36"/>
      <c r="M305" s="40" t="str">
        <f aca="false">IF(A305="","",IF(A305&lt;FY_START,0,(YEAR(A305)-YEAR(FY_START))*12+MONTH(A305)-MONTH(FY_START)+1))</f>
        <v/>
      </c>
      <c r="N305" s="40" t="str">
        <f aca="false">IF(A305="","",IF(AND(A305&gt;=VP_START,A305&lt;=VP_END),1,0))</f>
        <v/>
      </c>
    </row>
    <row r="306" customFormat="false" ht="15" hidden="false" customHeight="false" outlineLevel="0" collapsed="false">
      <c r="A306" s="37"/>
      <c r="B306" s="36"/>
      <c r="C306" s="36"/>
      <c r="D306" s="36"/>
      <c r="E306" s="38"/>
      <c r="F306" s="36"/>
      <c r="G306" s="39" t="str">
        <f aca="false">IF(E306="","",IF(F306="Standard 5%",E306*VAT_RATE,0))</f>
        <v/>
      </c>
      <c r="H306" s="36"/>
      <c r="I306" s="39" t="str">
        <f aca="false">IF(E306="","",IF(AND(H306="Yes",F306="Standard 5%"),G306,0))</f>
        <v/>
      </c>
      <c r="J306" s="39" t="str">
        <f aca="false">IF(E306="","",E306+G306)</f>
        <v/>
      </c>
      <c r="K306" s="36"/>
      <c r="L306" s="36"/>
      <c r="M306" s="40" t="str">
        <f aca="false">IF(A306="","",IF(A306&lt;FY_START,0,(YEAR(A306)-YEAR(FY_START))*12+MONTH(A306)-MONTH(FY_START)+1))</f>
        <v/>
      </c>
      <c r="N306" s="40" t="str">
        <f aca="false">IF(A306="","",IF(AND(A306&gt;=VP_START,A306&lt;=VP_END),1,0))</f>
        <v/>
      </c>
    </row>
    <row r="307" customFormat="false" ht="15" hidden="false" customHeight="false" outlineLevel="0" collapsed="false">
      <c r="A307" s="37"/>
      <c r="B307" s="36"/>
      <c r="C307" s="36"/>
      <c r="D307" s="36"/>
      <c r="E307" s="38"/>
      <c r="F307" s="36"/>
      <c r="G307" s="39" t="str">
        <f aca="false">IF(E307="","",IF(F307="Standard 5%",E307*VAT_RATE,0))</f>
        <v/>
      </c>
      <c r="H307" s="36"/>
      <c r="I307" s="39" t="str">
        <f aca="false">IF(E307="","",IF(AND(H307="Yes",F307="Standard 5%"),G307,0))</f>
        <v/>
      </c>
      <c r="J307" s="39" t="str">
        <f aca="false">IF(E307="","",E307+G307)</f>
        <v/>
      </c>
      <c r="K307" s="36"/>
      <c r="L307" s="36"/>
      <c r="M307" s="40" t="str">
        <f aca="false">IF(A307="","",IF(A307&lt;FY_START,0,(YEAR(A307)-YEAR(FY_START))*12+MONTH(A307)-MONTH(FY_START)+1))</f>
        <v/>
      </c>
      <c r="N307" s="40" t="str">
        <f aca="false">IF(A307="","",IF(AND(A307&gt;=VP_START,A307&lt;=VP_END),1,0))</f>
        <v/>
      </c>
    </row>
    <row r="308" customFormat="false" ht="15" hidden="false" customHeight="false" outlineLevel="0" collapsed="false">
      <c r="A308" s="37"/>
      <c r="B308" s="36"/>
      <c r="C308" s="36"/>
      <c r="D308" s="36"/>
      <c r="E308" s="38"/>
      <c r="F308" s="36"/>
      <c r="G308" s="39" t="str">
        <f aca="false">IF(E308="","",IF(F308="Standard 5%",E308*VAT_RATE,0))</f>
        <v/>
      </c>
      <c r="H308" s="36"/>
      <c r="I308" s="39" t="str">
        <f aca="false">IF(E308="","",IF(AND(H308="Yes",F308="Standard 5%"),G308,0))</f>
        <v/>
      </c>
      <c r="J308" s="39" t="str">
        <f aca="false">IF(E308="","",E308+G308)</f>
        <v/>
      </c>
      <c r="K308" s="36"/>
      <c r="L308" s="36"/>
      <c r="M308" s="40" t="str">
        <f aca="false">IF(A308="","",IF(A308&lt;FY_START,0,(YEAR(A308)-YEAR(FY_START))*12+MONTH(A308)-MONTH(FY_START)+1))</f>
        <v/>
      </c>
      <c r="N308" s="40" t="str">
        <f aca="false">IF(A308="","",IF(AND(A308&gt;=VP_START,A308&lt;=VP_END),1,0))</f>
        <v/>
      </c>
    </row>
    <row r="309" customFormat="false" ht="15" hidden="false" customHeight="false" outlineLevel="0" collapsed="false">
      <c r="A309" s="37"/>
      <c r="B309" s="36"/>
      <c r="C309" s="36"/>
      <c r="D309" s="36"/>
      <c r="E309" s="38"/>
      <c r="F309" s="36"/>
      <c r="G309" s="39" t="str">
        <f aca="false">IF(E309="","",IF(F309="Standard 5%",E309*VAT_RATE,0))</f>
        <v/>
      </c>
      <c r="H309" s="36"/>
      <c r="I309" s="39" t="str">
        <f aca="false">IF(E309="","",IF(AND(H309="Yes",F309="Standard 5%"),G309,0))</f>
        <v/>
      </c>
      <c r="J309" s="39" t="str">
        <f aca="false">IF(E309="","",E309+G309)</f>
        <v/>
      </c>
      <c r="K309" s="36"/>
      <c r="L309" s="36"/>
      <c r="M309" s="40" t="str">
        <f aca="false">IF(A309="","",IF(A309&lt;FY_START,0,(YEAR(A309)-YEAR(FY_START))*12+MONTH(A309)-MONTH(FY_START)+1))</f>
        <v/>
      </c>
      <c r="N309" s="40" t="str">
        <f aca="false">IF(A309="","",IF(AND(A309&gt;=VP_START,A309&lt;=VP_END),1,0))</f>
        <v/>
      </c>
    </row>
    <row r="310" customFormat="false" ht="15" hidden="false" customHeight="false" outlineLevel="0" collapsed="false">
      <c r="A310" s="37"/>
      <c r="B310" s="36"/>
      <c r="C310" s="36"/>
      <c r="D310" s="36"/>
      <c r="E310" s="38"/>
      <c r="F310" s="36"/>
      <c r="G310" s="39" t="str">
        <f aca="false">IF(E310="","",IF(F310="Standard 5%",E310*VAT_RATE,0))</f>
        <v/>
      </c>
      <c r="H310" s="36"/>
      <c r="I310" s="39" t="str">
        <f aca="false">IF(E310="","",IF(AND(H310="Yes",F310="Standard 5%"),G310,0))</f>
        <v/>
      </c>
      <c r="J310" s="39" t="str">
        <f aca="false">IF(E310="","",E310+G310)</f>
        <v/>
      </c>
      <c r="K310" s="36"/>
      <c r="L310" s="36"/>
      <c r="M310" s="40" t="str">
        <f aca="false">IF(A310="","",IF(A310&lt;FY_START,0,(YEAR(A310)-YEAR(FY_START))*12+MONTH(A310)-MONTH(FY_START)+1))</f>
        <v/>
      </c>
      <c r="N310" s="40" t="str">
        <f aca="false">IF(A310="","",IF(AND(A310&gt;=VP_START,A310&lt;=VP_END),1,0))</f>
        <v/>
      </c>
    </row>
    <row r="311" customFormat="false" ht="15" hidden="false" customHeight="false" outlineLevel="0" collapsed="false">
      <c r="A311" s="37"/>
      <c r="B311" s="36"/>
      <c r="C311" s="36"/>
      <c r="D311" s="36"/>
      <c r="E311" s="38"/>
      <c r="F311" s="36"/>
      <c r="G311" s="39" t="str">
        <f aca="false">IF(E311="","",IF(F311="Standard 5%",E311*VAT_RATE,0))</f>
        <v/>
      </c>
      <c r="H311" s="36"/>
      <c r="I311" s="39" t="str">
        <f aca="false">IF(E311="","",IF(AND(H311="Yes",F311="Standard 5%"),G311,0))</f>
        <v/>
      </c>
      <c r="J311" s="39" t="str">
        <f aca="false">IF(E311="","",E311+G311)</f>
        <v/>
      </c>
      <c r="K311" s="36"/>
      <c r="L311" s="36"/>
      <c r="M311" s="40" t="str">
        <f aca="false">IF(A311="","",IF(A311&lt;FY_START,0,(YEAR(A311)-YEAR(FY_START))*12+MONTH(A311)-MONTH(FY_START)+1))</f>
        <v/>
      </c>
      <c r="N311" s="40" t="str">
        <f aca="false">IF(A311="","",IF(AND(A311&gt;=VP_START,A311&lt;=VP_END),1,0))</f>
        <v/>
      </c>
    </row>
    <row r="312" customFormat="false" ht="15" hidden="false" customHeight="false" outlineLevel="0" collapsed="false">
      <c r="A312" s="37"/>
      <c r="B312" s="36"/>
      <c r="C312" s="36"/>
      <c r="D312" s="36"/>
      <c r="E312" s="38"/>
      <c r="F312" s="36"/>
      <c r="G312" s="39" t="str">
        <f aca="false">IF(E312="","",IF(F312="Standard 5%",E312*VAT_RATE,0))</f>
        <v/>
      </c>
      <c r="H312" s="36"/>
      <c r="I312" s="39" t="str">
        <f aca="false">IF(E312="","",IF(AND(H312="Yes",F312="Standard 5%"),G312,0))</f>
        <v/>
      </c>
      <c r="J312" s="39" t="str">
        <f aca="false">IF(E312="","",E312+G312)</f>
        <v/>
      </c>
      <c r="K312" s="36"/>
      <c r="L312" s="36"/>
      <c r="M312" s="40" t="str">
        <f aca="false">IF(A312="","",IF(A312&lt;FY_START,0,(YEAR(A312)-YEAR(FY_START))*12+MONTH(A312)-MONTH(FY_START)+1))</f>
        <v/>
      </c>
      <c r="N312" s="40" t="str">
        <f aca="false">IF(A312="","",IF(AND(A312&gt;=VP_START,A312&lt;=VP_END),1,0))</f>
        <v/>
      </c>
    </row>
    <row r="313" customFormat="false" ht="15" hidden="false" customHeight="false" outlineLevel="0" collapsed="false">
      <c r="A313" s="37"/>
      <c r="B313" s="36"/>
      <c r="C313" s="36"/>
      <c r="D313" s="36"/>
      <c r="E313" s="38"/>
      <c r="F313" s="36"/>
      <c r="G313" s="39" t="str">
        <f aca="false">IF(E313="","",IF(F313="Standard 5%",E313*VAT_RATE,0))</f>
        <v/>
      </c>
      <c r="H313" s="36"/>
      <c r="I313" s="39" t="str">
        <f aca="false">IF(E313="","",IF(AND(H313="Yes",F313="Standard 5%"),G313,0))</f>
        <v/>
      </c>
      <c r="J313" s="39" t="str">
        <f aca="false">IF(E313="","",E313+G313)</f>
        <v/>
      </c>
      <c r="K313" s="36"/>
      <c r="L313" s="36"/>
      <c r="M313" s="40" t="str">
        <f aca="false">IF(A313="","",IF(A313&lt;FY_START,0,(YEAR(A313)-YEAR(FY_START))*12+MONTH(A313)-MONTH(FY_START)+1))</f>
        <v/>
      </c>
      <c r="N313" s="40" t="str">
        <f aca="false">IF(A313="","",IF(AND(A313&gt;=VP_START,A313&lt;=VP_END),1,0))</f>
        <v/>
      </c>
    </row>
    <row r="314" customFormat="false" ht="15" hidden="false" customHeight="false" outlineLevel="0" collapsed="false">
      <c r="A314" s="37"/>
      <c r="B314" s="36"/>
      <c r="C314" s="36"/>
      <c r="D314" s="36"/>
      <c r="E314" s="38"/>
      <c r="F314" s="36"/>
      <c r="G314" s="39" t="str">
        <f aca="false">IF(E314="","",IF(F314="Standard 5%",E314*VAT_RATE,0))</f>
        <v/>
      </c>
      <c r="H314" s="36"/>
      <c r="I314" s="39" t="str">
        <f aca="false">IF(E314="","",IF(AND(H314="Yes",F314="Standard 5%"),G314,0))</f>
        <v/>
      </c>
      <c r="J314" s="39" t="str">
        <f aca="false">IF(E314="","",E314+G314)</f>
        <v/>
      </c>
      <c r="K314" s="36"/>
      <c r="L314" s="36"/>
      <c r="M314" s="40" t="str">
        <f aca="false">IF(A314="","",IF(A314&lt;FY_START,0,(YEAR(A314)-YEAR(FY_START))*12+MONTH(A314)-MONTH(FY_START)+1))</f>
        <v/>
      </c>
      <c r="N314" s="40" t="str">
        <f aca="false">IF(A314="","",IF(AND(A314&gt;=VP_START,A314&lt;=VP_END),1,0))</f>
        <v/>
      </c>
    </row>
    <row r="315" customFormat="false" ht="15" hidden="false" customHeight="false" outlineLevel="0" collapsed="false">
      <c r="A315" s="37"/>
      <c r="B315" s="36"/>
      <c r="C315" s="36"/>
      <c r="D315" s="36"/>
      <c r="E315" s="38"/>
      <c r="F315" s="36"/>
      <c r="G315" s="39" t="str">
        <f aca="false">IF(E315="","",IF(F315="Standard 5%",E315*VAT_RATE,0))</f>
        <v/>
      </c>
      <c r="H315" s="36"/>
      <c r="I315" s="39" t="str">
        <f aca="false">IF(E315="","",IF(AND(H315="Yes",F315="Standard 5%"),G315,0))</f>
        <v/>
      </c>
      <c r="J315" s="39" t="str">
        <f aca="false">IF(E315="","",E315+G315)</f>
        <v/>
      </c>
      <c r="K315" s="36"/>
      <c r="L315" s="36"/>
      <c r="M315" s="40" t="str">
        <f aca="false">IF(A315="","",IF(A315&lt;FY_START,0,(YEAR(A315)-YEAR(FY_START))*12+MONTH(A315)-MONTH(FY_START)+1))</f>
        <v/>
      </c>
      <c r="N315" s="40" t="str">
        <f aca="false">IF(A315="","",IF(AND(A315&gt;=VP_START,A315&lt;=VP_END),1,0))</f>
        <v/>
      </c>
    </row>
    <row r="316" customFormat="false" ht="15" hidden="false" customHeight="false" outlineLevel="0" collapsed="false">
      <c r="A316" s="37"/>
      <c r="B316" s="36"/>
      <c r="C316" s="36"/>
      <c r="D316" s="36"/>
      <c r="E316" s="38"/>
      <c r="F316" s="36"/>
      <c r="G316" s="39" t="str">
        <f aca="false">IF(E316="","",IF(F316="Standard 5%",E316*VAT_RATE,0))</f>
        <v/>
      </c>
      <c r="H316" s="36"/>
      <c r="I316" s="39" t="str">
        <f aca="false">IF(E316="","",IF(AND(H316="Yes",F316="Standard 5%"),G316,0))</f>
        <v/>
      </c>
      <c r="J316" s="39" t="str">
        <f aca="false">IF(E316="","",E316+G316)</f>
        <v/>
      </c>
      <c r="K316" s="36"/>
      <c r="L316" s="36"/>
      <c r="M316" s="40" t="str">
        <f aca="false">IF(A316="","",IF(A316&lt;FY_START,0,(YEAR(A316)-YEAR(FY_START))*12+MONTH(A316)-MONTH(FY_START)+1))</f>
        <v/>
      </c>
      <c r="N316" s="40" t="str">
        <f aca="false">IF(A316="","",IF(AND(A316&gt;=VP_START,A316&lt;=VP_END),1,0))</f>
        <v/>
      </c>
    </row>
    <row r="317" customFormat="false" ht="15" hidden="false" customHeight="false" outlineLevel="0" collapsed="false">
      <c r="A317" s="37"/>
      <c r="B317" s="36"/>
      <c r="C317" s="36"/>
      <c r="D317" s="36"/>
      <c r="E317" s="38"/>
      <c r="F317" s="36"/>
      <c r="G317" s="39" t="str">
        <f aca="false">IF(E317="","",IF(F317="Standard 5%",E317*VAT_RATE,0))</f>
        <v/>
      </c>
      <c r="H317" s="36"/>
      <c r="I317" s="39" t="str">
        <f aca="false">IF(E317="","",IF(AND(H317="Yes",F317="Standard 5%"),G317,0))</f>
        <v/>
      </c>
      <c r="J317" s="39" t="str">
        <f aca="false">IF(E317="","",E317+G317)</f>
        <v/>
      </c>
      <c r="K317" s="36"/>
      <c r="L317" s="36"/>
      <c r="M317" s="40" t="str">
        <f aca="false">IF(A317="","",IF(A317&lt;FY_START,0,(YEAR(A317)-YEAR(FY_START))*12+MONTH(A317)-MONTH(FY_START)+1))</f>
        <v/>
      </c>
      <c r="N317" s="40" t="str">
        <f aca="false">IF(A317="","",IF(AND(A317&gt;=VP_START,A317&lt;=VP_END),1,0))</f>
        <v/>
      </c>
    </row>
    <row r="318" customFormat="false" ht="15" hidden="false" customHeight="false" outlineLevel="0" collapsed="false">
      <c r="A318" s="37"/>
      <c r="B318" s="36"/>
      <c r="C318" s="36"/>
      <c r="D318" s="36"/>
      <c r="E318" s="38"/>
      <c r="F318" s="36"/>
      <c r="G318" s="39" t="str">
        <f aca="false">IF(E318="","",IF(F318="Standard 5%",E318*VAT_RATE,0))</f>
        <v/>
      </c>
      <c r="H318" s="36"/>
      <c r="I318" s="39" t="str">
        <f aca="false">IF(E318="","",IF(AND(H318="Yes",F318="Standard 5%"),G318,0))</f>
        <v/>
      </c>
      <c r="J318" s="39" t="str">
        <f aca="false">IF(E318="","",E318+G318)</f>
        <v/>
      </c>
      <c r="K318" s="36"/>
      <c r="L318" s="36"/>
      <c r="M318" s="40" t="str">
        <f aca="false">IF(A318="","",IF(A318&lt;FY_START,0,(YEAR(A318)-YEAR(FY_START))*12+MONTH(A318)-MONTH(FY_START)+1))</f>
        <v/>
      </c>
      <c r="N318" s="40" t="str">
        <f aca="false">IF(A318="","",IF(AND(A318&gt;=VP_START,A318&lt;=VP_END),1,0))</f>
        <v/>
      </c>
    </row>
    <row r="319" customFormat="false" ht="15" hidden="false" customHeight="false" outlineLevel="0" collapsed="false">
      <c r="A319" s="37"/>
      <c r="B319" s="36"/>
      <c r="C319" s="36"/>
      <c r="D319" s="36"/>
      <c r="E319" s="38"/>
      <c r="F319" s="36"/>
      <c r="G319" s="39" t="str">
        <f aca="false">IF(E319="","",IF(F319="Standard 5%",E319*VAT_RATE,0))</f>
        <v/>
      </c>
      <c r="H319" s="36"/>
      <c r="I319" s="39" t="str">
        <f aca="false">IF(E319="","",IF(AND(H319="Yes",F319="Standard 5%"),G319,0))</f>
        <v/>
      </c>
      <c r="J319" s="39" t="str">
        <f aca="false">IF(E319="","",E319+G319)</f>
        <v/>
      </c>
      <c r="K319" s="36"/>
      <c r="L319" s="36"/>
      <c r="M319" s="40" t="str">
        <f aca="false">IF(A319="","",IF(A319&lt;FY_START,0,(YEAR(A319)-YEAR(FY_START))*12+MONTH(A319)-MONTH(FY_START)+1))</f>
        <v/>
      </c>
      <c r="N319" s="40" t="str">
        <f aca="false">IF(A319="","",IF(AND(A319&gt;=VP_START,A319&lt;=VP_END),1,0))</f>
        <v/>
      </c>
    </row>
    <row r="320" customFormat="false" ht="15" hidden="false" customHeight="false" outlineLevel="0" collapsed="false">
      <c r="A320" s="37"/>
      <c r="B320" s="36"/>
      <c r="C320" s="36"/>
      <c r="D320" s="36"/>
      <c r="E320" s="38"/>
      <c r="F320" s="36"/>
      <c r="G320" s="39" t="str">
        <f aca="false">IF(E320="","",IF(F320="Standard 5%",E320*VAT_RATE,0))</f>
        <v/>
      </c>
      <c r="H320" s="36"/>
      <c r="I320" s="39" t="str">
        <f aca="false">IF(E320="","",IF(AND(H320="Yes",F320="Standard 5%"),G320,0))</f>
        <v/>
      </c>
      <c r="J320" s="39" t="str">
        <f aca="false">IF(E320="","",E320+G320)</f>
        <v/>
      </c>
      <c r="K320" s="36"/>
      <c r="L320" s="36"/>
      <c r="M320" s="40" t="str">
        <f aca="false">IF(A320="","",IF(A320&lt;FY_START,0,(YEAR(A320)-YEAR(FY_START))*12+MONTH(A320)-MONTH(FY_START)+1))</f>
        <v/>
      </c>
      <c r="N320" s="40" t="str">
        <f aca="false">IF(A320="","",IF(AND(A320&gt;=VP_START,A320&lt;=VP_END),1,0))</f>
        <v/>
      </c>
    </row>
    <row r="321" customFormat="false" ht="15" hidden="false" customHeight="false" outlineLevel="0" collapsed="false">
      <c r="A321" s="37"/>
      <c r="B321" s="36"/>
      <c r="C321" s="36"/>
      <c r="D321" s="36"/>
      <c r="E321" s="38"/>
      <c r="F321" s="36"/>
      <c r="G321" s="39" t="str">
        <f aca="false">IF(E321="","",IF(F321="Standard 5%",E321*VAT_RATE,0))</f>
        <v/>
      </c>
      <c r="H321" s="36"/>
      <c r="I321" s="39" t="str">
        <f aca="false">IF(E321="","",IF(AND(H321="Yes",F321="Standard 5%"),G321,0))</f>
        <v/>
      </c>
      <c r="J321" s="39" t="str">
        <f aca="false">IF(E321="","",E321+G321)</f>
        <v/>
      </c>
      <c r="K321" s="36"/>
      <c r="L321" s="36"/>
      <c r="M321" s="40" t="str">
        <f aca="false">IF(A321="","",IF(A321&lt;FY_START,0,(YEAR(A321)-YEAR(FY_START))*12+MONTH(A321)-MONTH(FY_START)+1))</f>
        <v/>
      </c>
      <c r="N321" s="40" t="str">
        <f aca="false">IF(A321="","",IF(AND(A321&gt;=VP_START,A321&lt;=VP_END),1,0))</f>
        <v/>
      </c>
    </row>
    <row r="322" customFormat="false" ht="15" hidden="false" customHeight="false" outlineLevel="0" collapsed="false">
      <c r="A322" s="37"/>
      <c r="B322" s="36"/>
      <c r="C322" s="36"/>
      <c r="D322" s="36"/>
      <c r="E322" s="38"/>
      <c r="F322" s="36"/>
      <c r="G322" s="39" t="str">
        <f aca="false">IF(E322="","",IF(F322="Standard 5%",E322*VAT_RATE,0))</f>
        <v/>
      </c>
      <c r="H322" s="36"/>
      <c r="I322" s="39" t="str">
        <f aca="false">IF(E322="","",IF(AND(H322="Yes",F322="Standard 5%"),G322,0))</f>
        <v/>
      </c>
      <c r="J322" s="39" t="str">
        <f aca="false">IF(E322="","",E322+G322)</f>
        <v/>
      </c>
      <c r="K322" s="36"/>
      <c r="L322" s="36"/>
      <c r="M322" s="40" t="str">
        <f aca="false">IF(A322="","",IF(A322&lt;FY_START,0,(YEAR(A322)-YEAR(FY_START))*12+MONTH(A322)-MONTH(FY_START)+1))</f>
        <v/>
      </c>
      <c r="N322" s="40" t="str">
        <f aca="false">IF(A322="","",IF(AND(A322&gt;=VP_START,A322&lt;=VP_END),1,0))</f>
        <v/>
      </c>
    </row>
    <row r="323" customFormat="false" ht="15" hidden="false" customHeight="false" outlineLevel="0" collapsed="false">
      <c r="A323" s="37"/>
      <c r="B323" s="36"/>
      <c r="C323" s="36"/>
      <c r="D323" s="36"/>
      <c r="E323" s="38"/>
      <c r="F323" s="36"/>
      <c r="G323" s="39" t="str">
        <f aca="false">IF(E323="","",IF(F323="Standard 5%",E323*VAT_RATE,0))</f>
        <v/>
      </c>
      <c r="H323" s="36"/>
      <c r="I323" s="39" t="str">
        <f aca="false">IF(E323="","",IF(AND(H323="Yes",F323="Standard 5%"),G323,0))</f>
        <v/>
      </c>
      <c r="J323" s="39" t="str">
        <f aca="false">IF(E323="","",E323+G323)</f>
        <v/>
      </c>
      <c r="K323" s="36"/>
      <c r="L323" s="36"/>
      <c r="M323" s="40" t="str">
        <f aca="false">IF(A323="","",IF(A323&lt;FY_START,0,(YEAR(A323)-YEAR(FY_START))*12+MONTH(A323)-MONTH(FY_START)+1))</f>
        <v/>
      </c>
      <c r="N323" s="40" t="str">
        <f aca="false">IF(A323="","",IF(AND(A323&gt;=VP_START,A323&lt;=VP_END),1,0))</f>
        <v/>
      </c>
    </row>
    <row r="324" customFormat="false" ht="15" hidden="false" customHeight="false" outlineLevel="0" collapsed="false">
      <c r="A324" s="37"/>
      <c r="B324" s="36"/>
      <c r="C324" s="36"/>
      <c r="D324" s="36"/>
      <c r="E324" s="38"/>
      <c r="F324" s="36"/>
      <c r="G324" s="39" t="str">
        <f aca="false">IF(E324="","",IF(F324="Standard 5%",E324*VAT_RATE,0))</f>
        <v/>
      </c>
      <c r="H324" s="36"/>
      <c r="I324" s="39" t="str">
        <f aca="false">IF(E324="","",IF(AND(H324="Yes",F324="Standard 5%"),G324,0))</f>
        <v/>
      </c>
      <c r="J324" s="39" t="str">
        <f aca="false">IF(E324="","",E324+G324)</f>
        <v/>
      </c>
      <c r="K324" s="36"/>
      <c r="L324" s="36"/>
      <c r="M324" s="40" t="str">
        <f aca="false">IF(A324="","",IF(A324&lt;FY_START,0,(YEAR(A324)-YEAR(FY_START))*12+MONTH(A324)-MONTH(FY_START)+1))</f>
        <v/>
      </c>
      <c r="N324" s="40" t="str">
        <f aca="false">IF(A324="","",IF(AND(A324&gt;=VP_START,A324&lt;=VP_END),1,0))</f>
        <v/>
      </c>
    </row>
    <row r="325" customFormat="false" ht="15" hidden="false" customHeight="false" outlineLevel="0" collapsed="false">
      <c r="A325" s="37"/>
      <c r="B325" s="36"/>
      <c r="C325" s="36"/>
      <c r="D325" s="36"/>
      <c r="E325" s="38"/>
      <c r="F325" s="36"/>
      <c r="G325" s="39" t="str">
        <f aca="false">IF(E325="","",IF(F325="Standard 5%",E325*VAT_RATE,0))</f>
        <v/>
      </c>
      <c r="H325" s="36"/>
      <c r="I325" s="39" t="str">
        <f aca="false">IF(E325="","",IF(AND(H325="Yes",F325="Standard 5%"),G325,0))</f>
        <v/>
      </c>
      <c r="J325" s="39" t="str">
        <f aca="false">IF(E325="","",E325+G325)</f>
        <v/>
      </c>
      <c r="K325" s="36"/>
      <c r="L325" s="36"/>
      <c r="M325" s="40" t="str">
        <f aca="false">IF(A325="","",IF(A325&lt;FY_START,0,(YEAR(A325)-YEAR(FY_START))*12+MONTH(A325)-MONTH(FY_START)+1))</f>
        <v/>
      </c>
      <c r="N325" s="40" t="str">
        <f aca="false">IF(A325="","",IF(AND(A325&gt;=VP_START,A325&lt;=VP_END),1,0))</f>
        <v/>
      </c>
    </row>
    <row r="326" customFormat="false" ht="15" hidden="false" customHeight="false" outlineLevel="0" collapsed="false">
      <c r="A326" s="37"/>
      <c r="B326" s="36"/>
      <c r="C326" s="36"/>
      <c r="D326" s="36"/>
      <c r="E326" s="38"/>
      <c r="F326" s="36"/>
      <c r="G326" s="39" t="str">
        <f aca="false">IF(E326="","",IF(F326="Standard 5%",E326*VAT_RATE,0))</f>
        <v/>
      </c>
      <c r="H326" s="36"/>
      <c r="I326" s="39" t="str">
        <f aca="false">IF(E326="","",IF(AND(H326="Yes",F326="Standard 5%"),G326,0))</f>
        <v/>
      </c>
      <c r="J326" s="39" t="str">
        <f aca="false">IF(E326="","",E326+G326)</f>
        <v/>
      </c>
      <c r="K326" s="36"/>
      <c r="L326" s="36"/>
      <c r="M326" s="40" t="str">
        <f aca="false">IF(A326="","",IF(A326&lt;FY_START,0,(YEAR(A326)-YEAR(FY_START))*12+MONTH(A326)-MONTH(FY_START)+1))</f>
        <v/>
      </c>
      <c r="N326" s="40" t="str">
        <f aca="false">IF(A326="","",IF(AND(A326&gt;=VP_START,A326&lt;=VP_END),1,0))</f>
        <v/>
      </c>
    </row>
    <row r="327" customFormat="false" ht="15" hidden="false" customHeight="false" outlineLevel="0" collapsed="false">
      <c r="A327" s="37"/>
      <c r="B327" s="36"/>
      <c r="C327" s="36"/>
      <c r="D327" s="36"/>
      <c r="E327" s="38"/>
      <c r="F327" s="36"/>
      <c r="G327" s="39" t="str">
        <f aca="false">IF(E327="","",IF(F327="Standard 5%",E327*VAT_RATE,0))</f>
        <v/>
      </c>
      <c r="H327" s="36"/>
      <c r="I327" s="39" t="str">
        <f aca="false">IF(E327="","",IF(AND(H327="Yes",F327="Standard 5%"),G327,0))</f>
        <v/>
      </c>
      <c r="J327" s="39" t="str">
        <f aca="false">IF(E327="","",E327+G327)</f>
        <v/>
      </c>
      <c r="K327" s="36"/>
      <c r="L327" s="36"/>
      <c r="M327" s="40" t="str">
        <f aca="false">IF(A327="","",IF(A327&lt;FY_START,0,(YEAR(A327)-YEAR(FY_START))*12+MONTH(A327)-MONTH(FY_START)+1))</f>
        <v/>
      </c>
      <c r="N327" s="40" t="str">
        <f aca="false">IF(A327="","",IF(AND(A327&gt;=VP_START,A327&lt;=VP_END),1,0))</f>
        <v/>
      </c>
    </row>
    <row r="328" customFormat="false" ht="15" hidden="false" customHeight="false" outlineLevel="0" collapsed="false">
      <c r="A328" s="37"/>
      <c r="B328" s="36"/>
      <c r="C328" s="36"/>
      <c r="D328" s="36"/>
      <c r="E328" s="38"/>
      <c r="F328" s="36"/>
      <c r="G328" s="39" t="str">
        <f aca="false">IF(E328="","",IF(F328="Standard 5%",E328*VAT_RATE,0))</f>
        <v/>
      </c>
      <c r="H328" s="36"/>
      <c r="I328" s="39" t="str">
        <f aca="false">IF(E328="","",IF(AND(H328="Yes",F328="Standard 5%"),G328,0))</f>
        <v/>
      </c>
      <c r="J328" s="39" t="str">
        <f aca="false">IF(E328="","",E328+G328)</f>
        <v/>
      </c>
      <c r="K328" s="36"/>
      <c r="L328" s="36"/>
      <c r="M328" s="40" t="str">
        <f aca="false">IF(A328="","",IF(A328&lt;FY_START,0,(YEAR(A328)-YEAR(FY_START))*12+MONTH(A328)-MONTH(FY_START)+1))</f>
        <v/>
      </c>
      <c r="N328" s="40" t="str">
        <f aca="false">IF(A328="","",IF(AND(A328&gt;=VP_START,A328&lt;=VP_END),1,0))</f>
        <v/>
      </c>
    </row>
    <row r="329" customFormat="false" ht="15" hidden="false" customHeight="false" outlineLevel="0" collapsed="false">
      <c r="A329" s="37"/>
      <c r="B329" s="36"/>
      <c r="C329" s="36"/>
      <c r="D329" s="36"/>
      <c r="E329" s="38"/>
      <c r="F329" s="36"/>
      <c r="G329" s="39" t="str">
        <f aca="false">IF(E329="","",IF(F329="Standard 5%",E329*VAT_RATE,0))</f>
        <v/>
      </c>
      <c r="H329" s="36"/>
      <c r="I329" s="39" t="str">
        <f aca="false">IF(E329="","",IF(AND(H329="Yes",F329="Standard 5%"),G329,0))</f>
        <v/>
      </c>
      <c r="J329" s="39" t="str">
        <f aca="false">IF(E329="","",E329+G329)</f>
        <v/>
      </c>
      <c r="K329" s="36"/>
      <c r="L329" s="36"/>
      <c r="M329" s="40" t="str">
        <f aca="false">IF(A329="","",IF(A329&lt;FY_START,0,(YEAR(A329)-YEAR(FY_START))*12+MONTH(A329)-MONTH(FY_START)+1))</f>
        <v/>
      </c>
      <c r="N329" s="40" t="str">
        <f aca="false">IF(A329="","",IF(AND(A329&gt;=VP_START,A329&lt;=VP_END),1,0))</f>
        <v/>
      </c>
    </row>
    <row r="330" customFormat="false" ht="15" hidden="false" customHeight="false" outlineLevel="0" collapsed="false">
      <c r="A330" s="37"/>
      <c r="B330" s="36"/>
      <c r="C330" s="36"/>
      <c r="D330" s="36"/>
      <c r="E330" s="38"/>
      <c r="F330" s="36"/>
      <c r="G330" s="39" t="str">
        <f aca="false">IF(E330="","",IF(F330="Standard 5%",E330*VAT_RATE,0))</f>
        <v/>
      </c>
      <c r="H330" s="36"/>
      <c r="I330" s="39" t="str">
        <f aca="false">IF(E330="","",IF(AND(H330="Yes",F330="Standard 5%"),G330,0))</f>
        <v/>
      </c>
      <c r="J330" s="39" t="str">
        <f aca="false">IF(E330="","",E330+G330)</f>
        <v/>
      </c>
      <c r="K330" s="36"/>
      <c r="L330" s="36"/>
      <c r="M330" s="40" t="str">
        <f aca="false">IF(A330="","",IF(A330&lt;FY_START,0,(YEAR(A330)-YEAR(FY_START))*12+MONTH(A330)-MONTH(FY_START)+1))</f>
        <v/>
      </c>
      <c r="N330" s="40" t="str">
        <f aca="false">IF(A330="","",IF(AND(A330&gt;=VP_START,A330&lt;=VP_END),1,0))</f>
        <v/>
      </c>
    </row>
    <row r="331" customFormat="false" ht="15" hidden="false" customHeight="false" outlineLevel="0" collapsed="false">
      <c r="A331" s="37"/>
      <c r="B331" s="36"/>
      <c r="C331" s="36"/>
      <c r="D331" s="36"/>
      <c r="E331" s="38"/>
      <c r="F331" s="36"/>
      <c r="G331" s="39" t="str">
        <f aca="false">IF(E331="","",IF(F331="Standard 5%",E331*VAT_RATE,0))</f>
        <v/>
      </c>
      <c r="H331" s="36"/>
      <c r="I331" s="39" t="str">
        <f aca="false">IF(E331="","",IF(AND(H331="Yes",F331="Standard 5%"),G331,0))</f>
        <v/>
      </c>
      <c r="J331" s="39" t="str">
        <f aca="false">IF(E331="","",E331+G331)</f>
        <v/>
      </c>
      <c r="K331" s="36"/>
      <c r="L331" s="36"/>
      <c r="M331" s="40" t="str">
        <f aca="false">IF(A331="","",IF(A331&lt;FY_START,0,(YEAR(A331)-YEAR(FY_START))*12+MONTH(A331)-MONTH(FY_START)+1))</f>
        <v/>
      </c>
      <c r="N331" s="40" t="str">
        <f aca="false">IF(A331="","",IF(AND(A331&gt;=VP_START,A331&lt;=VP_END),1,0))</f>
        <v/>
      </c>
    </row>
    <row r="332" customFormat="false" ht="15" hidden="false" customHeight="false" outlineLevel="0" collapsed="false">
      <c r="A332" s="37"/>
      <c r="B332" s="36"/>
      <c r="C332" s="36"/>
      <c r="D332" s="36"/>
      <c r="E332" s="38"/>
      <c r="F332" s="36"/>
      <c r="G332" s="39" t="str">
        <f aca="false">IF(E332="","",IF(F332="Standard 5%",E332*VAT_RATE,0))</f>
        <v/>
      </c>
      <c r="H332" s="36"/>
      <c r="I332" s="39" t="str">
        <f aca="false">IF(E332="","",IF(AND(H332="Yes",F332="Standard 5%"),G332,0))</f>
        <v/>
      </c>
      <c r="J332" s="39" t="str">
        <f aca="false">IF(E332="","",E332+G332)</f>
        <v/>
      </c>
      <c r="K332" s="36"/>
      <c r="L332" s="36"/>
      <c r="M332" s="40" t="str">
        <f aca="false">IF(A332="","",IF(A332&lt;FY_START,0,(YEAR(A332)-YEAR(FY_START))*12+MONTH(A332)-MONTH(FY_START)+1))</f>
        <v/>
      </c>
      <c r="N332" s="40" t="str">
        <f aca="false">IF(A332="","",IF(AND(A332&gt;=VP_START,A332&lt;=VP_END),1,0))</f>
        <v/>
      </c>
    </row>
    <row r="333" customFormat="false" ht="15" hidden="false" customHeight="false" outlineLevel="0" collapsed="false">
      <c r="A333" s="37"/>
      <c r="B333" s="36"/>
      <c r="C333" s="36"/>
      <c r="D333" s="36"/>
      <c r="E333" s="38"/>
      <c r="F333" s="36"/>
      <c r="G333" s="39" t="str">
        <f aca="false">IF(E333="","",IF(F333="Standard 5%",E333*VAT_RATE,0))</f>
        <v/>
      </c>
      <c r="H333" s="36"/>
      <c r="I333" s="39" t="str">
        <f aca="false">IF(E333="","",IF(AND(H333="Yes",F333="Standard 5%"),G333,0))</f>
        <v/>
      </c>
      <c r="J333" s="39" t="str">
        <f aca="false">IF(E333="","",E333+G333)</f>
        <v/>
      </c>
      <c r="K333" s="36"/>
      <c r="L333" s="36"/>
      <c r="M333" s="40" t="str">
        <f aca="false">IF(A333="","",IF(A333&lt;FY_START,0,(YEAR(A333)-YEAR(FY_START))*12+MONTH(A333)-MONTH(FY_START)+1))</f>
        <v/>
      </c>
      <c r="N333" s="40" t="str">
        <f aca="false">IF(A333="","",IF(AND(A333&gt;=VP_START,A333&lt;=VP_END),1,0))</f>
        <v/>
      </c>
    </row>
    <row r="334" customFormat="false" ht="15" hidden="false" customHeight="false" outlineLevel="0" collapsed="false">
      <c r="A334" s="37"/>
      <c r="B334" s="36"/>
      <c r="C334" s="36"/>
      <c r="D334" s="36"/>
      <c r="E334" s="38"/>
      <c r="F334" s="36"/>
      <c r="G334" s="39" t="str">
        <f aca="false">IF(E334="","",IF(F334="Standard 5%",E334*VAT_RATE,0))</f>
        <v/>
      </c>
      <c r="H334" s="36"/>
      <c r="I334" s="39" t="str">
        <f aca="false">IF(E334="","",IF(AND(H334="Yes",F334="Standard 5%"),G334,0))</f>
        <v/>
      </c>
      <c r="J334" s="39" t="str">
        <f aca="false">IF(E334="","",E334+G334)</f>
        <v/>
      </c>
      <c r="K334" s="36"/>
      <c r="L334" s="36"/>
      <c r="M334" s="40" t="str">
        <f aca="false">IF(A334="","",IF(A334&lt;FY_START,0,(YEAR(A334)-YEAR(FY_START))*12+MONTH(A334)-MONTH(FY_START)+1))</f>
        <v/>
      </c>
      <c r="N334" s="40" t="str">
        <f aca="false">IF(A334="","",IF(AND(A334&gt;=VP_START,A334&lt;=VP_END),1,0))</f>
        <v/>
      </c>
    </row>
    <row r="335" customFormat="false" ht="15" hidden="false" customHeight="false" outlineLevel="0" collapsed="false">
      <c r="A335" s="37"/>
      <c r="B335" s="36"/>
      <c r="C335" s="36"/>
      <c r="D335" s="36"/>
      <c r="E335" s="38"/>
      <c r="F335" s="36"/>
      <c r="G335" s="39" t="str">
        <f aca="false">IF(E335="","",IF(F335="Standard 5%",E335*VAT_RATE,0))</f>
        <v/>
      </c>
      <c r="H335" s="36"/>
      <c r="I335" s="39" t="str">
        <f aca="false">IF(E335="","",IF(AND(H335="Yes",F335="Standard 5%"),G335,0))</f>
        <v/>
      </c>
      <c r="J335" s="39" t="str">
        <f aca="false">IF(E335="","",E335+G335)</f>
        <v/>
      </c>
      <c r="K335" s="36"/>
      <c r="L335" s="36"/>
      <c r="M335" s="40" t="str">
        <f aca="false">IF(A335="","",IF(A335&lt;FY_START,0,(YEAR(A335)-YEAR(FY_START))*12+MONTH(A335)-MONTH(FY_START)+1))</f>
        <v/>
      </c>
      <c r="N335" s="40" t="str">
        <f aca="false">IF(A335="","",IF(AND(A335&gt;=VP_START,A335&lt;=VP_END),1,0))</f>
        <v/>
      </c>
    </row>
    <row r="336" customFormat="false" ht="15" hidden="false" customHeight="false" outlineLevel="0" collapsed="false">
      <c r="A336" s="37"/>
      <c r="B336" s="36"/>
      <c r="C336" s="36"/>
      <c r="D336" s="36"/>
      <c r="E336" s="38"/>
      <c r="F336" s="36"/>
      <c r="G336" s="39" t="str">
        <f aca="false">IF(E336="","",IF(F336="Standard 5%",E336*VAT_RATE,0))</f>
        <v/>
      </c>
      <c r="H336" s="36"/>
      <c r="I336" s="39" t="str">
        <f aca="false">IF(E336="","",IF(AND(H336="Yes",F336="Standard 5%"),G336,0))</f>
        <v/>
      </c>
      <c r="J336" s="39" t="str">
        <f aca="false">IF(E336="","",E336+G336)</f>
        <v/>
      </c>
      <c r="K336" s="36"/>
      <c r="L336" s="36"/>
      <c r="M336" s="40" t="str">
        <f aca="false">IF(A336="","",IF(A336&lt;FY_START,0,(YEAR(A336)-YEAR(FY_START))*12+MONTH(A336)-MONTH(FY_START)+1))</f>
        <v/>
      </c>
      <c r="N336" s="40" t="str">
        <f aca="false">IF(A336="","",IF(AND(A336&gt;=VP_START,A336&lt;=VP_END),1,0))</f>
        <v/>
      </c>
    </row>
    <row r="337" customFormat="false" ht="15" hidden="false" customHeight="false" outlineLevel="0" collapsed="false">
      <c r="A337" s="37"/>
      <c r="B337" s="36"/>
      <c r="C337" s="36"/>
      <c r="D337" s="36"/>
      <c r="E337" s="38"/>
      <c r="F337" s="36"/>
      <c r="G337" s="39" t="str">
        <f aca="false">IF(E337="","",IF(F337="Standard 5%",E337*VAT_RATE,0))</f>
        <v/>
      </c>
      <c r="H337" s="36"/>
      <c r="I337" s="39" t="str">
        <f aca="false">IF(E337="","",IF(AND(H337="Yes",F337="Standard 5%"),G337,0))</f>
        <v/>
      </c>
      <c r="J337" s="39" t="str">
        <f aca="false">IF(E337="","",E337+G337)</f>
        <v/>
      </c>
      <c r="K337" s="36"/>
      <c r="L337" s="36"/>
      <c r="M337" s="40" t="str">
        <f aca="false">IF(A337="","",IF(A337&lt;FY_START,0,(YEAR(A337)-YEAR(FY_START))*12+MONTH(A337)-MONTH(FY_START)+1))</f>
        <v/>
      </c>
      <c r="N337" s="40" t="str">
        <f aca="false">IF(A337="","",IF(AND(A337&gt;=VP_START,A337&lt;=VP_END),1,0))</f>
        <v/>
      </c>
    </row>
    <row r="338" customFormat="false" ht="15" hidden="false" customHeight="false" outlineLevel="0" collapsed="false">
      <c r="A338" s="37"/>
      <c r="B338" s="36"/>
      <c r="C338" s="36"/>
      <c r="D338" s="36"/>
      <c r="E338" s="38"/>
      <c r="F338" s="36"/>
      <c r="G338" s="39" t="str">
        <f aca="false">IF(E338="","",IF(F338="Standard 5%",E338*VAT_RATE,0))</f>
        <v/>
      </c>
      <c r="H338" s="36"/>
      <c r="I338" s="39" t="str">
        <f aca="false">IF(E338="","",IF(AND(H338="Yes",F338="Standard 5%"),G338,0))</f>
        <v/>
      </c>
      <c r="J338" s="39" t="str">
        <f aca="false">IF(E338="","",E338+G338)</f>
        <v/>
      </c>
      <c r="K338" s="36"/>
      <c r="L338" s="36"/>
      <c r="M338" s="40" t="str">
        <f aca="false">IF(A338="","",IF(A338&lt;FY_START,0,(YEAR(A338)-YEAR(FY_START))*12+MONTH(A338)-MONTH(FY_START)+1))</f>
        <v/>
      </c>
      <c r="N338" s="40" t="str">
        <f aca="false">IF(A338="","",IF(AND(A338&gt;=VP_START,A338&lt;=VP_END),1,0))</f>
        <v/>
      </c>
    </row>
    <row r="339" customFormat="false" ht="15" hidden="false" customHeight="false" outlineLevel="0" collapsed="false">
      <c r="A339" s="37"/>
      <c r="B339" s="36"/>
      <c r="C339" s="36"/>
      <c r="D339" s="36"/>
      <c r="E339" s="38"/>
      <c r="F339" s="36"/>
      <c r="G339" s="39" t="str">
        <f aca="false">IF(E339="","",IF(F339="Standard 5%",E339*VAT_RATE,0))</f>
        <v/>
      </c>
      <c r="H339" s="36"/>
      <c r="I339" s="39" t="str">
        <f aca="false">IF(E339="","",IF(AND(H339="Yes",F339="Standard 5%"),G339,0))</f>
        <v/>
      </c>
      <c r="J339" s="39" t="str">
        <f aca="false">IF(E339="","",E339+G339)</f>
        <v/>
      </c>
      <c r="K339" s="36"/>
      <c r="L339" s="36"/>
      <c r="M339" s="40" t="str">
        <f aca="false">IF(A339="","",IF(A339&lt;FY_START,0,(YEAR(A339)-YEAR(FY_START))*12+MONTH(A339)-MONTH(FY_START)+1))</f>
        <v/>
      </c>
      <c r="N339" s="40" t="str">
        <f aca="false">IF(A339="","",IF(AND(A339&gt;=VP_START,A339&lt;=VP_END),1,0))</f>
        <v/>
      </c>
    </row>
    <row r="340" customFormat="false" ht="15" hidden="false" customHeight="false" outlineLevel="0" collapsed="false">
      <c r="A340" s="37"/>
      <c r="B340" s="36"/>
      <c r="C340" s="36"/>
      <c r="D340" s="36"/>
      <c r="E340" s="38"/>
      <c r="F340" s="36"/>
      <c r="G340" s="39" t="str">
        <f aca="false">IF(E340="","",IF(F340="Standard 5%",E340*VAT_RATE,0))</f>
        <v/>
      </c>
      <c r="H340" s="36"/>
      <c r="I340" s="39" t="str">
        <f aca="false">IF(E340="","",IF(AND(H340="Yes",F340="Standard 5%"),G340,0))</f>
        <v/>
      </c>
      <c r="J340" s="39" t="str">
        <f aca="false">IF(E340="","",E340+G340)</f>
        <v/>
      </c>
      <c r="K340" s="36"/>
      <c r="L340" s="36"/>
      <c r="M340" s="40" t="str">
        <f aca="false">IF(A340="","",IF(A340&lt;FY_START,0,(YEAR(A340)-YEAR(FY_START))*12+MONTH(A340)-MONTH(FY_START)+1))</f>
        <v/>
      </c>
      <c r="N340" s="40" t="str">
        <f aca="false">IF(A340="","",IF(AND(A340&gt;=VP_START,A340&lt;=VP_END),1,0))</f>
        <v/>
      </c>
    </row>
    <row r="341" customFormat="false" ht="15" hidden="false" customHeight="false" outlineLevel="0" collapsed="false">
      <c r="A341" s="37"/>
      <c r="B341" s="36"/>
      <c r="C341" s="36"/>
      <c r="D341" s="36"/>
      <c r="E341" s="38"/>
      <c r="F341" s="36"/>
      <c r="G341" s="39" t="str">
        <f aca="false">IF(E341="","",IF(F341="Standard 5%",E341*VAT_RATE,0))</f>
        <v/>
      </c>
      <c r="H341" s="36"/>
      <c r="I341" s="39" t="str">
        <f aca="false">IF(E341="","",IF(AND(H341="Yes",F341="Standard 5%"),G341,0))</f>
        <v/>
      </c>
      <c r="J341" s="39" t="str">
        <f aca="false">IF(E341="","",E341+G341)</f>
        <v/>
      </c>
      <c r="K341" s="36"/>
      <c r="L341" s="36"/>
      <c r="M341" s="40" t="str">
        <f aca="false">IF(A341="","",IF(A341&lt;FY_START,0,(YEAR(A341)-YEAR(FY_START))*12+MONTH(A341)-MONTH(FY_START)+1))</f>
        <v/>
      </c>
      <c r="N341" s="40" t="str">
        <f aca="false">IF(A341="","",IF(AND(A341&gt;=VP_START,A341&lt;=VP_END),1,0))</f>
        <v/>
      </c>
    </row>
    <row r="342" customFormat="false" ht="15" hidden="false" customHeight="false" outlineLevel="0" collapsed="false">
      <c r="A342" s="37"/>
      <c r="B342" s="36"/>
      <c r="C342" s="36"/>
      <c r="D342" s="36"/>
      <c r="E342" s="38"/>
      <c r="F342" s="36"/>
      <c r="G342" s="39" t="str">
        <f aca="false">IF(E342="","",IF(F342="Standard 5%",E342*VAT_RATE,0))</f>
        <v/>
      </c>
      <c r="H342" s="36"/>
      <c r="I342" s="39" t="str">
        <f aca="false">IF(E342="","",IF(AND(H342="Yes",F342="Standard 5%"),G342,0))</f>
        <v/>
      </c>
      <c r="J342" s="39" t="str">
        <f aca="false">IF(E342="","",E342+G342)</f>
        <v/>
      </c>
      <c r="K342" s="36"/>
      <c r="L342" s="36"/>
      <c r="M342" s="40" t="str">
        <f aca="false">IF(A342="","",IF(A342&lt;FY_START,0,(YEAR(A342)-YEAR(FY_START))*12+MONTH(A342)-MONTH(FY_START)+1))</f>
        <v/>
      </c>
      <c r="N342" s="40" t="str">
        <f aca="false">IF(A342="","",IF(AND(A342&gt;=VP_START,A342&lt;=VP_END),1,0))</f>
        <v/>
      </c>
    </row>
    <row r="343" customFormat="false" ht="15" hidden="false" customHeight="false" outlineLevel="0" collapsed="false">
      <c r="A343" s="37"/>
      <c r="B343" s="36"/>
      <c r="C343" s="36"/>
      <c r="D343" s="36"/>
      <c r="E343" s="38"/>
      <c r="F343" s="36"/>
      <c r="G343" s="39" t="str">
        <f aca="false">IF(E343="","",IF(F343="Standard 5%",E343*VAT_RATE,0))</f>
        <v/>
      </c>
      <c r="H343" s="36"/>
      <c r="I343" s="39" t="str">
        <f aca="false">IF(E343="","",IF(AND(H343="Yes",F343="Standard 5%"),G343,0))</f>
        <v/>
      </c>
      <c r="J343" s="39" t="str">
        <f aca="false">IF(E343="","",E343+G343)</f>
        <v/>
      </c>
      <c r="K343" s="36"/>
      <c r="L343" s="36"/>
      <c r="M343" s="40" t="str">
        <f aca="false">IF(A343="","",IF(A343&lt;FY_START,0,(YEAR(A343)-YEAR(FY_START))*12+MONTH(A343)-MONTH(FY_START)+1))</f>
        <v/>
      </c>
      <c r="N343" s="40" t="str">
        <f aca="false">IF(A343="","",IF(AND(A343&gt;=VP_START,A343&lt;=VP_END),1,0))</f>
        <v/>
      </c>
    </row>
    <row r="344" customFormat="false" ht="15" hidden="false" customHeight="false" outlineLevel="0" collapsed="false">
      <c r="A344" s="37"/>
      <c r="B344" s="36"/>
      <c r="C344" s="36"/>
      <c r="D344" s="36"/>
      <c r="E344" s="38"/>
      <c r="F344" s="36"/>
      <c r="G344" s="39" t="str">
        <f aca="false">IF(E344="","",IF(F344="Standard 5%",E344*VAT_RATE,0))</f>
        <v/>
      </c>
      <c r="H344" s="36"/>
      <c r="I344" s="39" t="str">
        <f aca="false">IF(E344="","",IF(AND(H344="Yes",F344="Standard 5%"),G344,0))</f>
        <v/>
      </c>
      <c r="J344" s="39" t="str">
        <f aca="false">IF(E344="","",E344+G344)</f>
        <v/>
      </c>
      <c r="K344" s="36"/>
      <c r="L344" s="36"/>
      <c r="M344" s="40" t="str">
        <f aca="false">IF(A344="","",IF(A344&lt;FY_START,0,(YEAR(A344)-YEAR(FY_START))*12+MONTH(A344)-MONTH(FY_START)+1))</f>
        <v/>
      </c>
      <c r="N344" s="40" t="str">
        <f aca="false">IF(A344="","",IF(AND(A344&gt;=VP_START,A344&lt;=VP_END),1,0))</f>
        <v/>
      </c>
    </row>
    <row r="345" customFormat="false" ht="15" hidden="false" customHeight="false" outlineLevel="0" collapsed="false">
      <c r="A345" s="37"/>
      <c r="B345" s="36"/>
      <c r="C345" s="36"/>
      <c r="D345" s="36"/>
      <c r="E345" s="38"/>
      <c r="F345" s="36"/>
      <c r="G345" s="39" t="str">
        <f aca="false">IF(E345="","",IF(F345="Standard 5%",E345*VAT_RATE,0))</f>
        <v/>
      </c>
      <c r="H345" s="36"/>
      <c r="I345" s="39" t="str">
        <f aca="false">IF(E345="","",IF(AND(H345="Yes",F345="Standard 5%"),G345,0))</f>
        <v/>
      </c>
      <c r="J345" s="39" t="str">
        <f aca="false">IF(E345="","",E345+G345)</f>
        <v/>
      </c>
      <c r="K345" s="36"/>
      <c r="L345" s="36"/>
      <c r="M345" s="40" t="str">
        <f aca="false">IF(A345="","",IF(A345&lt;FY_START,0,(YEAR(A345)-YEAR(FY_START))*12+MONTH(A345)-MONTH(FY_START)+1))</f>
        <v/>
      </c>
      <c r="N345" s="40" t="str">
        <f aca="false">IF(A345="","",IF(AND(A345&gt;=VP_START,A345&lt;=VP_END),1,0))</f>
        <v/>
      </c>
    </row>
    <row r="346" customFormat="false" ht="15" hidden="false" customHeight="false" outlineLevel="0" collapsed="false">
      <c r="A346" s="37"/>
      <c r="B346" s="36"/>
      <c r="C346" s="36"/>
      <c r="D346" s="36"/>
      <c r="E346" s="38"/>
      <c r="F346" s="36"/>
      <c r="G346" s="39" t="str">
        <f aca="false">IF(E346="","",IF(F346="Standard 5%",E346*VAT_RATE,0))</f>
        <v/>
      </c>
      <c r="H346" s="36"/>
      <c r="I346" s="39" t="str">
        <f aca="false">IF(E346="","",IF(AND(H346="Yes",F346="Standard 5%"),G346,0))</f>
        <v/>
      </c>
      <c r="J346" s="39" t="str">
        <f aca="false">IF(E346="","",E346+G346)</f>
        <v/>
      </c>
      <c r="K346" s="36"/>
      <c r="L346" s="36"/>
      <c r="M346" s="40" t="str">
        <f aca="false">IF(A346="","",IF(A346&lt;FY_START,0,(YEAR(A346)-YEAR(FY_START))*12+MONTH(A346)-MONTH(FY_START)+1))</f>
        <v/>
      </c>
      <c r="N346" s="40" t="str">
        <f aca="false">IF(A346="","",IF(AND(A346&gt;=VP_START,A346&lt;=VP_END),1,0))</f>
        <v/>
      </c>
    </row>
    <row r="347" customFormat="false" ht="15" hidden="false" customHeight="false" outlineLevel="0" collapsed="false">
      <c r="A347" s="37"/>
      <c r="B347" s="36"/>
      <c r="C347" s="36"/>
      <c r="D347" s="36"/>
      <c r="E347" s="38"/>
      <c r="F347" s="36"/>
      <c r="G347" s="39" t="str">
        <f aca="false">IF(E347="","",IF(F347="Standard 5%",E347*VAT_RATE,0))</f>
        <v/>
      </c>
      <c r="H347" s="36"/>
      <c r="I347" s="39" t="str">
        <f aca="false">IF(E347="","",IF(AND(H347="Yes",F347="Standard 5%"),G347,0))</f>
        <v/>
      </c>
      <c r="J347" s="39" t="str">
        <f aca="false">IF(E347="","",E347+G347)</f>
        <v/>
      </c>
      <c r="K347" s="36"/>
      <c r="L347" s="36"/>
      <c r="M347" s="40" t="str">
        <f aca="false">IF(A347="","",IF(A347&lt;FY_START,0,(YEAR(A347)-YEAR(FY_START))*12+MONTH(A347)-MONTH(FY_START)+1))</f>
        <v/>
      </c>
      <c r="N347" s="40" t="str">
        <f aca="false">IF(A347="","",IF(AND(A347&gt;=VP_START,A347&lt;=VP_END),1,0))</f>
        <v/>
      </c>
    </row>
    <row r="348" customFormat="false" ht="15" hidden="false" customHeight="false" outlineLevel="0" collapsed="false">
      <c r="A348" s="37"/>
      <c r="B348" s="36"/>
      <c r="C348" s="36"/>
      <c r="D348" s="36"/>
      <c r="E348" s="38"/>
      <c r="F348" s="36"/>
      <c r="G348" s="39" t="str">
        <f aca="false">IF(E348="","",IF(F348="Standard 5%",E348*VAT_RATE,0))</f>
        <v/>
      </c>
      <c r="H348" s="36"/>
      <c r="I348" s="39" t="str">
        <f aca="false">IF(E348="","",IF(AND(H348="Yes",F348="Standard 5%"),G348,0))</f>
        <v/>
      </c>
      <c r="J348" s="39" t="str">
        <f aca="false">IF(E348="","",E348+G348)</f>
        <v/>
      </c>
      <c r="K348" s="36"/>
      <c r="L348" s="36"/>
      <c r="M348" s="40" t="str">
        <f aca="false">IF(A348="","",IF(A348&lt;FY_START,0,(YEAR(A348)-YEAR(FY_START))*12+MONTH(A348)-MONTH(FY_START)+1))</f>
        <v/>
      </c>
      <c r="N348" s="40" t="str">
        <f aca="false">IF(A348="","",IF(AND(A348&gt;=VP_START,A348&lt;=VP_END),1,0))</f>
        <v/>
      </c>
    </row>
    <row r="349" customFormat="false" ht="15" hidden="false" customHeight="false" outlineLevel="0" collapsed="false">
      <c r="A349" s="37"/>
      <c r="B349" s="36"/>
      <c r="C349" s="36"/>
      <c r="D349" s="36"/>
      <c r="E349" s="38"/>
      <c r="F349" s="36"/>
      <c r="G349" s="39" t="str">
        <f aca="false">IF(E349="","",IF(F349="Standard 5%",E349*VAT_RATE,0))</f>
        <v/>
      </c>
      <c r="H349" s="36"/>
      <c r="I349" s="39" t="str">
        <f aca="false">IF(E349="","",IF(AND(H349="Yes",F349="Standard 5%"),G349,0))</f>
        <v/>
      </c>
      <c r="J349" s="39" t="str">
        <f aca="false">IF(E349="","",E349+G349)</f>
        <v/>
      </c>
      <c r="K349" s="36"/>
      <c r="L349" s="36"/>
      <c r="M349" s="40" t="str">
        <f aca="false">IF(A349="","",IF(A349&lt;FY_START,0,(YEAR(A349)-YEAR(FY_START))*12+MONTH(A349)-MONTH(FY_START)+1))</f>
        <v/>
      </c>
      <c r="N349" s="40" t="str">
        <f aca="false">IF(A349="","",IF(AND(A349&gt;=VP_START,A349&lt;=VP_END),1,0))</f>
        <v/>
      </c>
    </row>
    <row r="350" customFormat="false" ht="15" hidden="false" customHeight="false" outlineLevel="0" collapsed="false">
      <c r="A350" s="37"/>
      <c r="B350" s="36"/>
      <c r="C350" s="36"/>
      <c r="D350" s="36"/>
      <c r="E350" s="38"/>
      <c r="F350" s="36"/>
      <c r="G350" s="39" t="str">
        <f aca="false">IF(E350="","",IF(F350="Standard 5%",E350*VAT_RATE,0))</f>
        <v/>
      </c>
      <c r="H350" s="36"/>
      <c r="I350" s="39" t="str">
        <f aca="false">IF(E350="","",IF(AND(H350="Yes",F350="Standard 5%"),G350,0))</f>
        <v/>
      </c>
      <c r="J350" s="39" t="str">
        <f aca="false">IF(E350="","",E350+G350)</f>
        <v/>
      </c>
      <c r="K350" s="36"/>
      <c r="L350" s="36"/>
      <c r="M350" s="40" t="str">
        <f aca="false">IF(A350="","",IF(A350&lt;FY_START,0,(YEAR(A350)-YEAR(FY_START))*12+MONTH(A350)-MONTH(FY_START)+1))</f>
        <v/>
      </c>
      <c r="N350" s="40" t="str">
        <f aca="false">IF(A350="","",IF(AND(A350&gt;=VP_START,A350&lt;=VP_END),1,0))</f>
        <v/>
      </c>
    </row>
    <row r="351" customFormat="false" ht="15" hidden="false" customHeight="false" outlineLevel="0" collapsed="false">
      <c r="A351" s="37"/>
      <c r="B351" s="36"/>
      <c r="C351" s="36"/>
      <c r="D351" s="36"/>
      <c r="E351" s="38"/>
      <c r="F351" s="36"/>
      <c r="G351" s="39" t="str">
        <f aca="false">IF(E351="","",IF(F351="Standard 5%",E351*VAT_RATE,0))</f>
        <v/>
      </c>
      <c r="H351" s="36"/>
      <c r="I351" s="39" t="str">
        <f aca="false">IF(E351="","",IF(AND(H351="Yes",F351="Standard 5%"),G351,0))</f>
        <v/>
      </c>
      <c r="J351" s="39" t="str">
        <f aca="false">IF(E351="","",E351+G351)</f>
        <v/>
      </c>
      <c r="K351" s="36"/>
      <c r="L351" s="36"/>
      <c r="M351" s="40" t="str">
        <f aca="false">IF(A351="","",IF(A351&lt;FY_START,0,(YEAR(A351)-YEAR(FY_START))*12+MONTH(A351)-MONTH(FY_START)+1))</f>
        <v/>
      </c>
      <c r="N351" s="40" t="str">
        <f aca="false">IF(A351="","",IF(AND(A351&gt;=VP_START,A351&lt;=VP_END),1,0))</f>
        <v/>
      </c>
    </row>
    <row r="352" customFormat="false" ht="15" hidden="false" customHeight="false" outlineLevel="0" collapsed="false">
      <c r="A352" s="37"/>
      <c r="B352" s="36"/>
      <c r="C352" s="36"/>
      <c r="D352" s="36"/>
      <c r="E352" s="38"/>
      <c r="F352" s="36"/>
      <c r="G352" s="39" t="str">
        <f aca="false">IF(E352="","",IF(F352="Standard 5%",E352*VAT_RATE,0))</f>
        <v/>
      </c>
      <c r="H352" s="36"/>
      <c r="I352" s="39" t="str">
        <f aca="false">IF(E352="","",IF(AND(H352="Yes",F352="Standard 5%"),G352,0))</f>
        <v/>
      </c>
      <c r="J352" s="39" t="str">
        <f aca="false">IF(E352="","",E352+G352)</f>
        <v/>
      </c>
      <c r="K352" s="36"/>
      <c r="L352" s="36"/>
      <c r="M352" s="40" t="str">
        <f aca="false">IF(A352="","",IF(A352&lt;FY_START,0,(YEAR(A352)-YEAR(FY_START))*12+MONTH(A352)-MONTH(FY_START)+1))</f>
        <v/>
      </c>
      <c r="N352" s="40" t="str">
        <f aca="false">IF(A352="","",IF(AND(A352&gt;=VP_START,A352&lt;=VP_END),1,0))</f>
        <v/>
      </c>
    </row>
    <row r="353" customFormat="false" ht="15" hidden="false" customHeight="false" outlineLevel="0" collapsed="false">
      <c r="A353" s="37"/>
      <c r="B353" s="36"/>
      <c r="C353" s="36"/>
      <c r="D353" s="36"/>
      <c r="E353" s="38"/>
      <c r="F353" s="36"/>
      <c r="G353" s="39" t="str">
        <f aca="false">IF(E353="","",IF(F353="Standard 5%",E353*VAT_RATE,0))</f>
        <v/>
      </c>
      <c r="H353" s="36"/>
      <c r="I353" s="39" t="str">
        <f aca="false">IF(E353="","",IF(AND(H353="Yes",F353="Standard 5%"),G353,0))</f>
        <v/>
      </c>
      <c r="J353" s="39" t="str">
        <f aca="false">IF(E353="","",E353+G353)</f>
        <v/>
      </c>
      <c r="K353" s="36"/>
      <c r="L353" s="36"/>
      <c r="M353" s="40" t="str">
        <f aca="false">IF(A353="","",IF(A353&lt;FY_START,0,(YEAR(A353)-YEAR(FY_START))*12+MONTH(A353)-MONTH(FY_START)+1))</f>
        <v/>
      </c>
      <c r="N353" s="40" t="str">
        <f aca="false">IF(A353="","",IF(AND(A353&gt;=VP_START,A353&lt;=VP_END),1,0))</f>
        <v/>
      </c>
    </row>
    <row r="354" customFormat="false" ht="15" hidden="false" customHeight="false" outlineLevel="0" collapsed="false">
      <c r="A354" s="37"/>
      <c r="B354" s="36"/>
      <c r="C354" s="36"/>
      <c r="D354" s="36"/>
      <c r="E354" s="38"/>
      <c r="F354" s="36"/>
      <c r="G354" s="39" t="str">
        <f aca="false">IF(E354="","",IF(F354="Standard 5%",E354*VAT_RATE,0))</f>
        <v/>
      </c>
      <c r="H354" s="36"/>
      <c r="I354" s="39" t="str">
        <f aca="false">IF(E354="","",IF(AND(H354="Yes",F354="Standard 5%"),G354,0))</f>
        <v/>
      </c>
      <c r="J354" s="39" t="str">
        <f aca="false">IF(E354="","",E354+G354)</f>
        <v/>
      </c>
      <c r="K354" s="36"/>
      <c r="L354" s="36"/>
      <c r="M354" s="40" t="str">
        <f aca="false">IF(A354="","",IF(A354&lt;FY_START,0,(YEAR(A354)-YEAR(FY_START))*12+MONTH(A354)-MONTH(FY_START)+1))</f>
        <v/>
      </c>
      <c r="N354" s="40" t="str">
        <f aca="false">IF(A354="","",IF(AND(A354&gt;=VP_START,A354&lt;=VP_END),1,0))</f>
        <v/>
      </c>
    </row>
    <row r="355" customFormat="false" ht="15" hidden="false" customHeight="false" outlineLevel="0" collapsed="false">
      <c r="A355" s="37"/>
      <c r="B355" s="36"/>
      <c r="C355" s="36"/>
      <c r="D355" s="36"/>
      <c r="E355" s="38"/>
      <c r="F355" s="36"/>
      <c r="G355" s="39" t="str">
        <f aca="false">IF(E355="","",IF(F355="Standard 5%",E355*VAT_RATE,0))</f>
        <v/>
      </c>
      <c r="H355" s="36"/>
      <c r="I355" s="39" t="str">
        <f aca="false">IF(E355="","",IF(AND(H355="Yes",F355="Standard 5%"),G355,0))</f>
        <v/>
      </c>
      <c r="J355" s="39" t="str">
        <f aca="false">IF(E355="","",E355+G355)</f>
        <v/>
      </c>
      <c r="K355" s="36"/>
      <c r="L355" s="36"/>
      <c r="M355" s="40" t="str">
        <f aca="false">IF(A355="","",IF(A355&lt;FY_START,0,(YEAR(A355)-YEAR(FY_START))*12+MONTH(A355)-MONTH(FY_START)+1))</f>
        <v/>
      </c>
      <c r="N355" s="40" t="str">
        <f aca="false">IF(A355="","",IF(AND(A355&gt;=VP_START,A355&lt;=VP_END),1,0))</f>
        <v/>
      </c>
    </row>
    <row r="356" customFormat="false" ht="15" hidden="false" customHeight="false" outlineLevel="0" collapsed="false">
      <c r="A356" s="37"/>
      <c r="B356" s="36"/>
      <c r="C356" s="36"/>
      <c r="D356" s="36"/>
      <c r="E356" s="38"/>
      <c r="F356" s="36"/>
      <c r="G356" s="39" t="str">
        <f aca="false">IF(E356="","",IF(F356="Standard 5%",E356*VAT_RATE,0))</f>
        <v/>
      </c>
      <c r="H356" s="36"/>
      <c r="I356" s="39" t="str">
        <f aca="false">IF(E356="","",IF(AND(H356="Yes",F356="Standard 5%"),G356,0))</f>
        <v/>
      </c>
      <c r="J356" s="39" t="str">
        <f aca="false">IF(E356="","",E356+G356)</f>
        <v/>
      </c>
      <c r="K356" s="36"/>
      <c r="L356" s="36"/>
      <c r="M356" s="40" t="str">
        <f aca="false">IF(A356="","",IF(A356&lt;FY_START,0,(YEAR(A356)-YEAR(FY_START))*12+MONTH(A356)-MONTH(FY_START)+1))</f>
        <v/>
      </c>
      <c r="N356" s="40" t="str">
        <f aca="false">IF(A356="","",IF(AND(A356&gt;=VP_START,A356&lt;=VP_END),1,0))</f>
        <v/>
      </c>
    </row>
    <row r="357" customFormat="false" ht="15" hidden="false" customHeight="false" outlineLevel="0" collapsed="false">
      <c r="A357" s="37"/>
      <c r="B357" s="36"/>
      <c r="C357" s="36"/>
      <c r="D357" s="36"/>
      <c r="E357" s="38"/>
      <c r="F357" s="36"/>
      <c r="G357" s="39" t="str">
        <f aca="false">IF(E357="","",IF(F357="Standard 5%",E357*VAT_RATE,0))</f>
        <v/>
      </c>
      <c r="H357" s="36"/>
      <c r="I357" s="39" t="str">
        <f aca="false">IF(E357="","",IF(AND(H357="Yes",F357="Standard 5%"),G357,0))</f>
        <v/>
      </c>
      <c r="J357" s="39" t="str">
        <f aca="false">IF(E357="","",E357+G357)</f>
        <v/>
      </c>
      <c r="K357" s="36"/>
      <c r="L357" s="36"/>
      <c r="M357" s="40" t="str">
        <f aca="false">IF(A357="","",IF(A357&lt;FY_START,0,(YEAR(A357)-YEAR(FY_START))*12+MONTH(A357)-MONTH(FY_START)+1))</f>
        <v/>
      </c>
      <c r="N357" s="40" t="str">
        <f aca="false">IF(A357="","",IF(AND(A357&gt;=VP_START,A357&lt;=VP_END),1,0))</f>
        <v/>
      </c>
    </row>
    <row r="358" customFormat="false" ht="15" hidden="false" customHeight="false" outlineLevel="0" collapsed="false">
      <c r="A358" s="37"/>
      <c r="B358" s="36"/>
      <c r="C358" s="36"/>
      <c r="D358" s="36"/>
      <c r="E358" s="38"/>
      <c r="F358" s="36"/>
      <c r="G358" s="39" t="str">
        <f aca="false">IF(E358="","",IF(F358="Standard 5%",E358*VAT_RATE,0))</f>
        <v/>
      </c>
      <c r="H358" s="36"/>
      <c r="I358" s="39" t="str">
        <f aca="false">IF(E358="","",IF(AND(H358="Yes",F358="Standard 5%"),G358,0))</f>
        <v/>
      </c>
      <c r="J358" s="39" t="str">
        <f aca="false">IF(E358="","",E358+G358)</f>
        <v/>
      </c>
      <c r="K358" s="36"/>
      <c r="L358" s="36"/>
      <c r="M358" s="40" t="str">
        <f aca="false">IF(A358="","",IF(A358&lt;FY_START,0,(YEAR(A358)-YEAR(FY_START))*12+MONTH(A358)-MONTH(FY_START)+1))</f>
        <v/>
      </c>
      <c r="N358" s="40" t="str">
        <f aca="false">IF(A358="","",IF(AND(A358&gt;=VP_START,A358&lt;=VP_END),1,0))</f>
        <v/>
      </c>
    </row>
    <row r="359" customFormat="false" ht="15" hidden="false" customHeight="false" outlineLevel="0" collapsed="false">
      <c r="A359" s="37"/>
      <c r="B359" s="36"/>
      <c r="C359" s="36"/>
      <c r="D359" s="36"/>
      <c r="E359" s="38"/>
      <c r="F359" s="36"/>
      <c r="G359" s="39" t="str">
        <f aca="false">IF(E359="","",IF(F359="Standard 5%",E359*VAT_RATE,0))</f>
        <v/>
      </c>
      <c r="H359" s="36"/>
      <c r="I359" s="39" t="str">
        <f aca="false">IF(E359="","",IF(AND(H359="Yes",F359="Standard 5%"),G359,0))</f>
        <v/>
      </c>
      <c r="J359" s="39" t="str">
        <f aca="false">IF(E359="","",E359+G359)</f>
        <v/>
      </c>
      <c r="K359" s="36"/>
      <c r="L359" s="36"/>
      <c r="M359" s="40" t="str">
        <f aca="false">IF(A359="","",IF(A359&lt;FY_START,0,(YEAR(A359)-YEAR(FY_START))*12+MONTH(A359)-MONTH(FY_START)+1))</f>
        <v/>
      </c>
      <c r="N359" s="40" t="str">
        <f aca="false">IF(A359="","",IF(AND(A359&gt;=VP_START,A359&lt;=VP_END),1,0))</f>
        <v/>
      </c>
    </row>
    <row r="360" customFormat="false" ht="15" hidden="false" customHeight="false" outlineLevel="0" collapsed="false">
      <c r="A360" s="37"/>
      <c r="B360" s="36"/>
      <c r="C360" s="36"/>
      <c r="D360" s="36"/>
      <c r="E360" s="38"/>
      <c r="F360" s="36"/>
      <c r="G360" s="39" t="str">
        <f aca="false">IF(E360="","",IF(F360="Standard 5%",E360*VAT_RATE,0))</f>
        <v/>
      </c>
      <c r="H360" s="36"/>
      <c r="I360" s="39" t="str">
        <f aca="false">IF(E360="","",IF(AND(H360="Yes",F360="Standard 5%"),G360,0))</f>
        <v/>
      </c>
      <c r="J360" s="39" t="str">
        <f aca="false">IF(E360="","",E360+G360)</f>
        <v/>
      </c>
      <c r="K360" s="36"/>
      <c r="L360" s="36"/>
      <c r="M360" s="40" t="str">
        <f aca="false">IF(A360="","",IF(A360&lt;FY_START,0,(YEAR(A360)-YEAR(FY_START))*12+MONTH(A360)-MONTH(FY_START)+1))</f>
        <v/>
      </c>
      <c r="N360" s="40" t="str">
        <f aca="false">IF(A360="","",IF(AND(A360&gt;=VP_START,A360&lt;=VP_END),1,0))</f>
        <v/>
      </c>
    </row>
    <row r="361" customFormat="false" ht="15" hidden="false" customHeight="false" outlineLevel="0" collapsed="false">
      <c r="A361" s="37"/>
      <c r="B361" s="36"/>
      <c r="C361" s="36"/>
      <c r="D361" s="36"/>
      <c r="E361" s="38"/>
      <c r="F361" s="36"/>
      <c r="G361" s="39" t="str">
        <f aca="false">IF(E361="","",IF(F361="Standard 5%",E361*VAT_RATE,0))</f>
        <v/>
      </c>
      <c r="H361" s="36"/>
      <c r="I361" s="39" t="str">
        <f aca="false">IF(E361="","",IF(AND(H361="Yes",F361="Standard 5%"),G361,0))</f>
        <v/>
      </c>
      <c r="J361" s="39" t="str">
        <f aca="false">IF(E361="","",E361+G361)</f>
        <v/>
      </c>
      <c r="K361" s="36"/>
      <c r="L361" s="36"/>
      <c r="M361" s="40" t="str">
        <f aca="false">IF(A361="","",IF(A361&lt;FY_START,0,(YEAR(A361)-YEAR(FY_START))*12+MONTH(A361)-MONTH(FY_START)+1))</f>
        <v/>
      </c>
      <c r="N361" s="40" t="str">
        <f aca="false">IF(A361="","",IF(AND(A361&gt;=VP_START,A361&lt;=VP_END),1,0))</f>
        <v/>
      </c>
    </row>
    <row r="362" customFormat="false" ht="15" hidden="false" customHeight="false" outlineLevel="0" collapsed="false">
      <c r="A362" s="37"/>
      <c r="B362" s="36"/>
      <c r="C362" s="36"/>
      <c r="D362" s="36"/>
      <c r="E362" s="38"/>
      <c r="F362" s="36"/>
      <c r="G362" s="39" t="str">
        <f aca="false">IF(E362="","",IF(F362="Standard 5%",E362*VAT_RATE,0))</f>
        <v/>
      </c>
      <c r="H362" s="36"/>
      <c r="I362" s="39" t="str">
        <f aca="false">IF(E362="","",IF(AND(H362="Yes",F362="Standard 5%"),G362,0))</f>
        <v/>
      </c>
      <c r="J362" s="39" t="str">
        <f aca="false">IF(E362="","",E362+G362)</f>
        <v/>
      </c>
      <c r="K362" s="36"/>
      <c r="L362" s="36"/>
      <c r="M362" s="40" t="str">
        <f aca="false">IF(A362="","",IF(A362&lt;FY_START,0,(YEAR(A362)-YEAR(FY_START))*12+MONTH(A362)-MONTH(FY_START)+1))</f>
        <v/>
      </c>
      <c r="N362" s="40" t="str">
        <f aca="false">IF(A362="","",IF(AND(A362&gt;=VP_START,A362&lt;=VP_END),1,0))</f>
        <v/>
      </c>
    </row>
    <row r="363" customFormat="false" ht="15" hidden="false" customHeight="false" outlineLevel="0" collapsed="false">
      <c r="A363" s="37"/>
      <c r="B363" s="36"/>
      <c r="C363" s="36"/>
      <c r="D363" s="36"/>
      <c r="E363" s="38"/>
      <c r="F363" s="36"/>
      <c r="G363" s="39" t="str">
        <f aca="false">IF(E363="","",IF(F363="Standard 5%",E363*VAT_RATE,0))</f>
        <v/>
      </c>
      <c r="H363" s="36"/>
      <c r="I363" s="39" t="str">
        <f aca="false">IF(E363="","",IF(AND(H363="Yes",F363="Standard 5%"),G363,0))</f>
        <v/>
      </c>
      <c r="J363" s="39" t="str">
        <f aca="false">IF(E363="","",E363+G363)</f>
        <v/>
      </c>
      <c r="K363" s="36"/>
      <c r="L363" s="36"/>
      <c r="M363" s="40" t="str">
        <f aca="false">IF(A363="","",IF(A363&lt;FY_START,0,(YEAR(A363)-YEAR(FY_START))*12+MONTH(A363)-MONTH(FY_START)+1))</f>
        <v/>
      </c>
      <c r="N363" s="40" t="str">
        <f aca="false">IF(A363="","",IF(AND(A363&gt;=VP_START,A363&lt;=VP_END),1,0))</f>
        <v/>
      </c>
    </row>
    <row r="364" customFormat="false" ht="15" hidden="false" customHeight="false" outlineLevel="0" collapsed="false">
      <c r="A364" s="37"/>
      <c r="B364" s="36"/>
      <c r="C364" s="36"/>
      <c r="D364" s="36"/>
      <c r="E364" s="38"/>
      <c r="F364" s="36"/>
      <c r="G364" s="39" t="str">
        <f aca="false">IF(E364="","",IF(F364="Standard 5%",E364*VAT_RATE,0))</f>
        <v/>
      </c>
      <c r="H364" s="36"/>
      <c r="I364" s="39" t="str">
        <f aca="false">IF(E364="","",IF(AND(H364="Yes",F364="Standard 5%"),G364,0))</f>
        <v/>
      </c>
      <c r="J364" s="39" t="str">
        <f aca="false">IF(E364="","",E364+G364)</f>
        <v/>
      </c>
      <c r="K364" s="36"/>
      <c r="L364" s="36"/>
      <c r="M364" s="40" t="str">
        <f aca="false">IF(A364="","",IF(A364&lt;FY_START,0,(YEAR(A364)-YEAR(FY_START))*12+MONTH(A364)-MONTH(FY_START)+1))</f>
        <v/>
      </c>
      <c r="N364" s="40" t="str">
        <f aca="false">IF(A364="","",IF(AND(A364&gt;=VP_START,A364&lt;=VP_END),1,0))</f>
        <v/>
      </c>
    </row>
    <row r="365" customFormat="false" ht="15" hidden="false" customHeight="false" outlineLevel="0" collapsed="false">
      <c r="A365" s="37"/>
      <c r="B365" s="36"/>
      <c r="C365" s="36"/>
      <c r="D365" s="36"/>
      <c r="E365" s="38"/>
      <c r="F365" s="36"/>
      <c r="G365" s="39" t="str">
        <f aca="false">IF(E365="","",IF(F365="Standard 5%",E365*VAT_RATE,0))</f>
        <v/>
      </c>
      <c r="H365" s="36"/>
      <c r="I365" s="39" t="str">
        <f aca="false">IF(E365="","",IF(AND(H365="Yes",F365="Standard 5%"),G365,0))</f>
        <v/>
      </c>
      <c r="J365" s="39" t="str">
        <f aca="false">IF(E365="","",E365+G365)</f>
        <v/>
      </c>
      <c r="K365" s="36"/>
      <c r="L365" s="36"/>
      <c r="M365" s="40" t="str">
        <f aca="false">IF(A365="","",IF(A365&lt;FY_START,0,(YEAR(A365)-YEAR(FY_START))*12+MONTH(A365)-MONTH(FY_START)+1))</f>
        <v/>
      </c>
      <c r="N365" s="40" t="str">
        <f aca="false">IF(A365="","",IF(AND(A365&gt;=VP_START,A365&lt;=VP_END),1,0))</f>
        <v/>
      </c>
    </row>
    <row r="366" customFormat="false" ht="15" hidden="false" customHeight="false" outlineLevel="0" collapsed="false">
      <c r="A366" s="37"/>
      <c r="B366" s="36"/>
      <c r="C366" s="36"/>
      <c r="D366" s="36"/>
      <c r="E366" s="38"/>
      <c r="F366" s="36"/>
      <c r="G366" s="39" t="str">
        <f aca="false">IF(E366="","",IF(F366="Standard 5%",E366*VAT_RATE,0))</f>
        <v/>
      </c>
      <c r="H366" s="36"/>
      <c r="I366" s="39" t="str">
        <f aca="false">IF(E366="","",IF(AND(H366="Yes",F366="Standard 5%"),G366,0))</f>
        <v/>
      </c>
      <c r="J366" s="39" t="str">
        <f aca="false">IF(E366="","",E366+G366)</f>
        <v/>
      </c>
      <c r="K366" s="36"/>
      <c r="L366" s="36"/>
      <c r="M366" s="40" t="str">
        <f aca="false">IF(A366="","",IF(A366&lt;FY_START,0,(YEAR(A366)-YEAR(FY_START))*12+MONTH(A366)-MONTH(FY_START)+1))</f>
        <v/>
      </c>
      <c r="N366" s="40" t="str">
        <f aca="false">IF(A366="","",IF(AND(A366&gt;=VP_START,A366&lt;=VP_END),1,0))</f>
        <v/>
      </c>
    </row>
    <row r="367" customFormat="false" ht="15" hidden="false" customHeight="false" outlineLevel="0" collapsed="false">
      <c r="A367" s="37"/>
      <c r="B367" s="36"/>
      <c r="C367" s="36"/>
      <c r="D367" s="36"/>
      <c r="E367" s="38"/>
      <c r="F367" s="36"/>
      <c r="G367" s="39" t="str">
        <f aca="false">IF(E367="","",IF(F367="Standard 5%",E367*VAT_RATE,0))</f>
        <v/>
      </c>
      <c r="H367" s="36"/>
      <c r="I367" s="39" t="str">
        <f aca="false">IF(E367="","",IF(AND(H367="Yes",F367="Standard 5%"),G367,0))</f>
        <v/>
      </c>
      <c r="J367" s="39" t="str">
        <f aca="false">IF(E367="","",E367+G367)</f>
        <v/>
      </c>
      <c r="K367" s="36"/>
      <c r="L367" s="36"/>
      <c r="M367" s="40" t="str">
        <f aca="false">IF(A367="","",IF(A367&lt;FY_START,0,(YEAR(A367)-YEAR(FY_START))*12+MONTH(A367)-MONTH(FY_START)+1))</f>
        <v/>
      </c>
      <c r="N367" s="40" t="str">
        <f aca="false">IF(A367="","",IF(AND(A367&gt;=VP_START,A367&lt;=VP_END),1,0))</f>
        <v/>
      </c>
    </row>
    <row r="368" customFormat="false" ht="15" hidden="false" customHeight="false" outlineLevel="0" collapsed="false">
      <c r="A368" s="37"/>
      <c r="B368" s="36"/>
      <c r="C368" s="36"/>
      <c r="D368" s="36"/>
      <c r="E368" s="38"/>
      <c r="F368" s="36"/>
      <c r="G368" s="39" t="str">
        <f aca="false">IF(E368="","",IF(F368="Standard 5%",E368*VAT_RATE,0))</f>
        <v/>
      </c>
      <c r="H368" s="36"/>
      <c r="I368" s="39" t="str">
        <f aca="false">IF(E368="","",IF(AND(H368="Yes",F368="Standard 5%"),G368,0))</f>
        <v/>
      </c>
      <c r="J368" s="39" t="str">
        <f aca="false">IF(E368="","",E368+G368)</f>
        <v/>
      </c>
      <c r="K368" s="36"/>
      <c r="L368" s="36"/>
      <c r="M368" s="40" t="str">
        <f aca="false">IF(A368="","",IF(A368&lt;FY_START,0,(YEAR(A368)-YEAR(FY_START))*12+MONTH(A368)-MONTH(FY_START)+1))</f>
        <v/>
      </c>
      <c r="N368" s="40" t="str">
        <f aca="false">IF(A368="","",IF(AND(A368&gt;=VP_START,A368&lt;=VP_END),1,0))</f>
        <v/>
      </c>
    </row>
    <row r="369" customFormat="false" ht="15" hidden="false" customHeight="false" outlineLevel="0" collapsed="false">
      <c r="A369" s="37"/>
      <c r="B369" s="36"/>
      <c r="C369" s="36"/>
      <c r="D369" s="36"/>
      <c r="E369" s="38"/>
      <c r="F369" s="36"/>
      <c r="G369" s="39" t="str">
        <f aca="false">IF(E369="","",IF(F369="Standard 5%",E369*VAT_RATE,0))</f>
        <v/>
      </c>
      <c r="H369" s="36"/>
      <c r="I369" s="39" t="str">
        <f aca="false">IF(E369="","",IF(AND(H369="Yes",F369="Standard 5%"),G369,0))</f>
        <v/>
      </c>
      <c r="J369" s="39" t="str">
        <f aca="false">IF(E369="","",E369+G369)</f>
        <v/>
      </c>
      <c r="K369" s="36"/>
      <c r="L369" s="36"/>
      <c r="M369" s="40" t="str">
        <f aca="false">IF(A369="","",IF(A369&lt;FY_START,0,(YEAR(A369)-YEAR(FY_START))*12+MONTH(A369)-MONTH(FY_START)+1))</f>
        <v/>
      </c>
      <c r="N369" s="40" t="str">
        <f aca="false">IF(A369="","",IF(AND(A369&gt;=VP_START,A369&lt;=VP_END),1,0))</f>
        <v/>
      </c>
    </row>
    <row r="370" customFormat="false" ht="15" hidden="false" customHeight="false" outlineLevel="0" collapsed="false">
      <c r="A370" s="37"/>
      <c r="B370" s="36"/>
      <c r="C370" s="36"/>
      <c r="D370" s="36"/>
      <c r="E370" s="38"/>
      <c r="F370" s="36"/>
      <c r="G370" s="39" t="str">
        <f aca="false">IF(E370="","",IF(F370="Standard 5%",E370*VAT_RATE,0))</f>
        <v/>
      </c>
      <c r="H370" s="36"/>
      <c r="I370" s="39" t="str">
        <f aca="false">IF(E370="","",IF(AND(H370="Yes",F370="Standard 5%"),G370,0))</f>
        <v/>
      </c>
      <c r="J370" s="39" t="str">
        <f aca="false">IF(E370="","",E370+G370)</f>
        <v/>
      </c>
      <c r="K370" s="36"/>
      <c r="L370" s="36"/>
      <c r="M370" s="40" t="str">
        <f aca="false">IF(A370="","",IF(A370&lt;FY_START,0,(YEAR(A370)-YEAR(FY_START))*12+MONTH(A370)-MONTH(FY_START)+1))</f>
        <v/>
      </c>
      <c r="N370" s="40" t="str">
        <f aca="false">IF(A370="","",IF(AND(A370&gt;=VP_START,A370&lt;=VP_END),1,0))</f>
        <v/>
      </c>
    </row>
    <row r="371" customFormat="false" ht="15" hidden="false" customHeight="false" outlineLevel="0" collapsed="false">
      <c r="A371" s="37"/>
      <c r="B371" s="36"/>
      <c r="C371" s="36"/>
      <c r="D371" s="36"/>
      <c r="E371" s="38"/>
      <c r="F371" s="36"/>
      <c r="G371" s="39" t="str">
        <f aca="false">IF(E371="","",IF(F371="Standard 5%",E371*VAT_RATE,0))</f>
        <v/>
      </c>
      <c r="H371" s="36"/>
      <c r="I371" s="39" t="str">
        <f aca="false">IF(E371="","",IF(AND(H371="Yes",F371="Standard 5%"),G371,0))</f>
        <v/>
      </c>
      <c r="J371" s="39" t="str">
        <f aca="false">IF(E371="","",E371+G371)</f>
        <v/>
      </c>
      <c r="K371" s="36"/>
      <c r="L371" s="36"/>
      <c r="M371" s="40" t="str">
        <f aca="false">IF(A371="","",IF(A371&lt;FY_START,0,(YEAR(A371)-YEAR(FY_START))*12+MONTH(A371)-MONTH(FY_START)+1))</f>
        <v/>
      </c>
      <c r="N371" s="40" t="str">
        <f aca="false">IF(A371="","",IF(AND(A371&gt;=VP_START,A371&lt;=VP_END),1,0))</f>
        <v/>
      </c>
    </row>
    <row r="372" customFormat="false" ht="15" hidden="false" customHeight="false" outlineLevel="0" collapsed="false">
      <c r="A372" s="37"/>
      <c r="B372" s="36"/>
      <c r="C372" s="36"/>
      <c r="D372" s="36"/>
      <c r="E372" s="38"/>
      <c r="F372" s="36"/>
      <c r="G372" s="39" t="str">
        <f aca="false">IF(E372="","",IF(F372="Standard 5%",E372*VAT_RATE,0))</f>
        <v/>
      </c>
      <c r="H372" s="36"/>
      <c r="I372" s="39" t="str">
        <f aca="false">IF(E372="","",IF(AND(H372="Yes",F372="Standard 5%"),G372,0))</f>
        <v/>
      </c>
      <c r="J372" s="39" t="str">
        <f aca="false">IF(E372="","",E372+G372)</f>
        <v/>
      </c>
      <c r="K372" s="36"/>
      <c r="L372" s="36"/>
      <c r="M372" s="40" t="str">
        <f aca="false">IF(A372="","",IF(A372&lt;FY_START,0,(YEAR(A372)-YEAR(FY_START))*12+MONTH(A372)-MONTH(FY_START)+1))</f>
        <v/>
      </c>
      <c r="N372" s="40" t="str">
        <f aca="false">IF(A372="","",IF(AND(A372&gt;=VP_START,A372&lt;=VP_END),1,0))</f>
        <v/>
      </c>
    </row>
    <row r="373" customFormat="false" ht="15" hidden="false" customHeight="false" outlineLevel="0" collapsed="false">
      <c r="A373" s="37"/>
      <c r="B373" s="36"/>
      <c r="C373" s="36"/>
      <c r="D373" s="36"/>
      <c r="E373" s="38"/>
      <c r="F373" s="36"/>
      <c r="G373" s="39" t="str">
        <f aca="false">IF(E373="","",IF(F373="Standard 5%",E373*VAT_RATE,0))</f>
        <v/>
      </c>
      <c r="H373" s="36"/>
      <c r="I373" s="39" t="str">
        <f aca="false">IF(E373="","",IF(AND(H373="Yes",F373="Standard 5%"),G373,0))</f>
        <v/>
      </c>
      <c r="J373" s="39" t="str">
        <f aca="false">IF(E373="","",E373+G373)</f>
        <v/>
      </c>
      <c r="K373" s="36"/>
      <c r="L373" s="36"/>
      <c r="M373" s="40" t="str">
        <f aca="false">IF(A373="","",IF(A373&lt;FY_START,0,(YEAR(A373)-YEAR(FY_START))*12+MONTH(A373)-MONTH(FY_START)+1))</f>
        <v/>
      </c>
      <c r="N373" s="40" t="str">
        <f aca="false">IF(A373="","",IF(AND(A373&gt;=VP_START,A373&lt;=VP_END),1,0))</f>
        <v/>
      </c>
    </row>
    <row r="374" customFormat="false" ht="15" hidden="false" customHeight="false" outlineLevel="0" collapsed="false">
      <c r="A374" s="37"/>
      <c r="B374" s="36"/>
      <c r="C374" s="36"/>
      <c r="D374" s="36"/>
      <c r="E374" s="38"/>
      <c r="F374" s="36"/>
      <c r="G374" s="39" t="str">
        <f aca="false">IF(E374="","",IF(F374="Standard 5%",E374*VAT_RATE,0))</f>
        <v/>
      </c>
      <c r="H374" s="36"/>
      <c r="I374" s="39" t="str">
        <f aca="false">IF(E374="","",IF(AND(H374="Yes",F374="Standard 5%"),G374,0))</f>
        <v/>
      </c>
      <c r="J374" s="39" t="str">
        <f aca="false">IF(E374="","",E374+G374)</f>
        <v/>
      </c>
      <c r="K374" s="36"/>
      <c r="L374" s="36"/>
      <c r="M374" s="40" t="str">
        <f aca="false">IF(A374="","",IF(A374&lt;FY_START,0,(YEAR(A374)-YEAR(FY_START))*12+MONTH(A374)-MONTH(FY_START)+1))</f>
        <v/>
      </c>
      <c r="N374" s="40" t="str">
        <f aca="false">IF(A374="","",IF(AND(A374&gt;=VP_START,A374&lt;=VP_END),1,0))</f>
        <v/>
      </c>
    </row>
    <row r="375" customFormat="false" ht="15" hidden="false" customHeight="false" outlineLevel="0" collapsed="false">
      <c r="A375" s="37"/>
      <c r="B375" s="36"/>
      <c r="C375" s="36"/>
      <c r="D375" s="36"/>
      <c r="E375" s="38"/>
      <c r="F375" s="36"/>
      <c r="G375" s="39" t="str">
        <f aca="false">IF(E375="","",IF(F375="Standard 5%",E375*VAT_RATE,0))</f>
        <v/>
      </c>
      <c r="H375" s="36"/>
      <c r="I375" s="39" t="str">
        <f aca="false">IF(E375="","",IF(AND(H375="Yes",F375="Standard 5%"),G375,0))</f>
        <v/>
      </c>
      <c r="J375" s="39" t="str">
        <f aca="false">IF(E375="","",E375+G375)</f>
        <v/>
      </c>
      <c r="K375" s="36"/>
      <c r="L375" s="36"/>
      <c r="M375" s="40" t="str">
        <f aca="false">IF(A375="","",IF(A375&lt;FY_START,0,(YEAR(A375)-YEAR(FY_START))*12+MONTH(A375)-MONTH(FY_START)+1))</f>
        <v/>
      </c>
      <c r="N375" s="40" t="str">
        <f aca="false">IF(A375="","",IF(AND(A375&gt;=VP_START,A375&lt;=VP_END),1,0))</f>
        <v/>
      </c>
    </row>
    <row r="376" customFormat="false" ht="15" hidden="false" customHeight="false" outlineLevel="0" collapsed="false">
      <c r="A376" s="37"/>
      <c r="B376" s="36"/>
      <c r="C376" s="36"/>
      <c r="D376" s="36"/>
      <c r="E376" s="38"/>
      <c r="F376" s="36"/>
      <c r="G376" s="39" t="str">
        <f aca="false">IF(E376="","",IF(F376="Standard 5%",E376*VAT_RATE,0))</f>
        <v/>
      </c>
      <c r="H376" s="36"/>
      <c r="I376" s="39" t="str">
        <f aca="false">IF(E376="","",IF(AND(H376="Yes",F376="Standard 5%"),G376,0))</f>
        <v/>
      </c>
      <c r="J376" s="39" t="str">
        <f aca="false">IF(E376="","",E376+G376)</f>
        <v/>
      </c>
      <c r="K376" s="36"/>
      <c r="L376" s="36"/>
      <c r="M376" s="40" t="str">
        <f aca="false">IF(A376="","",IF(A376&lt;FY_START,0,(YEAR(A376)-YEAR(FY_START))*12+MONTH(A376)-MONTH(FY_START)+1))</f>
        <v/>
      </c>
      <c r="N376" s="40" t="str">
        <f aca="false">IF(A376="","",IF(AND(A376&gt;=VP_START,A376&lt;=VP_END),1,0))</f>
        <v/>
      </c>
    </row>
    <row r="377" customFormat="false" ht="15" hidden="false" customHeight="false" outlineLevel="0" collapsed="false">
      <c r="A377" s="37"/>
      <c r="B377" s="36"/>
      <c r="C377" s="36"/>
      <c r="D377" s="36"/>
      <c r="E377" s="38"/>
      <c r="F377" s="36"/>
      <c r="G377" s="39" t="str">
        <f aca="false">IF(E377="","",IF(F377="Standard 5%",E377*VAT_RATE,0))</f>
        <v/>
      </c>
      <c r="H377" s="36"/>
      <c r="I377" s="39" t="str">
        <f aca="false">IF(E377="","",IF(AND(H377="Yes",F377="Standard 5%"),G377,0))</f>
        <v/>
      </c>
      <c r="J377" s="39" t="str">
        <f aca="false">IF(E377="","",E377+G377)</f>
        <v/>
      </c>
      <c r="K377" s="36"/>
      <c r="L377" s="36"/>
      <c r="M377" s="40" t="str">
        <f aca="false">IF(A377="","",IF(A377&lt;FY_START,0,(YEAR(A377)-YEAR(FY_START))*12+MONTH(A377)-MONTH(FY_START)+1))</f>
        <v/>
      </c>
      <c r="N377" s="40" t="str">
        <f aca="false">IF(A377="","",IF(AND(A377&gt;=VP_START,A377&lt;=VP_END),1,0))</f>
        <v/>
      </c>
    </row>
    <row r="378" customFormat="false" ht="15" hidden="false" customHeight="false" outlineLevel="0" collapsed="false">
      <c r="A378" s="37"/>
      <c r="B378" s="36"/>
      <c r="C378" s="36"/>
      <c r="D378" s="36"/>
      <c r="E378" s="38"/>
      <c r="F378" s="36"/>
      <c r="G378" s="39" t="str">
        <f aca="false">IF(E378="","",IF(F378="Standard 5%",E378*VAT_RATE,0))</f>
        <v/>
      </c>
      <c r="H378" s="36"/>
      <c r="I378" s="39" t="str">
        <f aca="false">IF(E378="","",IF(AND(H378="Yes",F378="Standard 5%"),G378,0))</f>
        <v/>
      </c>
      <c r="J378" s="39" t="str">
        <f aca="false">IF(E378="","",E378+G378)</f>
        <v/>
      </c>
      <c r="K378" s="36"/>
      <c r="L378" s="36"/>
      <c r="M378" s="40" t="str">
        <f aca="false">IF(A378="","",IF(A378&lt;FY_START,0,(YEAR(A378)-YEAR(FY_START))*12+MONTH(A378)-MONTH(FY_START)+1))</f>
        <v/>
      </c>
      <c r="N378" s="40" t="str">
        <f aca="false">IF(A378="","",IF(AND(A378&gt;=VP_START,A378&lt;=VP_END),1,0))</f>
        <v/>
      </c>
    </row>
    <row r="379" customFormat="false" ht="15" hidden="false" customHeight="false" outlineLevel="0" collapsed="false">
      <c r="A379" s="37"/>
      <c r="B379" s="36"/>
      <c r="C379" s="36"/>
      <c r="D379" s="36"/>
      <c r="E379" s="38"/>
      <c r="F379" s="36"/>
      <c r="G379" s="39" t="str">
        <f aca="false">IF(E379="","",IF(F379="Standard 5%",E379*VAT_RATE,0))</f>
        <v/>
      </c>
      <c r="H379" s="36"/>
      <c r="I379" s="39" t="str">
        <f aca="false">IF(E379="","",IF(AND(H379="Yes",F379="Standard 5%"),G379,0))</f>
        <v/>
      </c>
      <c r="J379" s="39" t="str">
        <f aca="false">IF(E379="","",E379+G379)</f>
        <v/>
      </c>
      <c r="K379" s="36"/>
      <c r="L379" s="36"/>
      <c r="M379" s="40" t="str">
        <f aca="false">IF(A379="","",IF(A379&lt;FY_START,0,(YEAR(A379)-YEAR(FY_START))*12+MONTH(A379)-MONTH(FY_START)+1))</f>
        <v/>
      </c>
      <c r="N379" s="40" t="str">
        <f aca="false">IF(A379="","",IF(AND(A379&gt;=VP_START,A379&lt;=VP_END),1,0))</f>
        <v/>
      </c>
    </row>
    <row r="380" customFormat="false" ht="15" hidden="false" customHeight="false" outlineLevel="0" collapsed="false">
      <c r="A380" s="37"/>
      <c r="B380" s="36"/>
      <c r="C380" s="36"/>
      <c r="D380" s="36"/>
      <c r="E380" s="38"/>
      <c r="F380" s="36"/>
      <c r="G380" s="39" t="str">
        <f aca="false">IF(E380="","",IF(F380="Standard 5%",E380*VAT_RATE,0))</f>
        <v/>
      </c>
      <c r="H380" s="36"/>
      <c r="I380" s="39" t="str">
        <f aca="false">IF(E380="","",IF(AND(H380="Yes",F380="Standard 5%"),G380,0))</f>
        <v/>
      </c>
      <c r="J380" s="39" t="str">
        <f aca="false">IF(E380="","",E380+G380)</f>
        <v/>
      </c>
      <c r="K380" s="36"/>
      <c r="L380" s="36"/>
      <c r="M380" s="40" t="str">
        <f aca="false">IF(A380="","",IF(A380&lt;FY_START,0,(YEAR(A380)-YEAR(FY_START))*12+MONTH(A380)-MONTH(FY_START)+1))</f>
        <v/>
      </c>
      <c r="N380" s="40" t="str">
        <f aca="false">IF(A380="","",IF(AND(A380&gt;=VP_START,A380&lt;=VP_END),1,0))</f>
        <v/>
      </c>
    </row>
    <row r="381" customFormat="false" ht="15" hidden="false" customHeight="false" outlineLevel="0" collapsed="false">
      <c r="A381" s="37"/>
      <c r="B381" s="36"/>
      <c r="C381" s="36"/>
      <c r="D381" s="36"/>
      <c r="E381" s="38"/>
      <c r="F381" s="36"/>
      <c r="G381" s="39" t="str">
        <f aca="false">IF(E381="","",IF(F381="Standard 5%",E381*VAT_RATE,0))</f>
        <v/>
      </c>
      <c r="H381" s="36"/>
      <c r="I381" s="39" t="str">
        <f aca="false">IF(E381="","",IF(AND(H381="Yes",F381="Standard 5%"),G381,0))</f>
        <v/>
      </c>
      <c r="J381" s="39" t="str">
        <f aca="false">IF(E381="","",E381+G381)</f>
        <v/>
      </c>
      <c r="K381" s="36"/>
      <c r="L381" s="36"/>
      <c r="M381" s="40" t="str">
        <f aca="false">IF(A381="","",IF(A381&lt;FY_START,0,(YEAR(A381)-YEAR(FY_START))*12+MONTH(A381)-MONTH(FY_START)+1))</f>
        <v/>
      </c>
      <c r="N381" s="40" t="str">
        <f aca="false">IF(A381="","",IF(AND(A381&gt;=VP_START,A381&lt;=VP_END),1,0))</f>
        <v/>
      </c>
    </row>
    <row r="382" customFormat="false" ht="15" hidden="false" customHeight="false" outlineLevel="0" collapsed="false">
      <c r="A382" s="37"/>
      <c r="B382" s="36"/>
      <c r="C382" s="36"/>
      <c r="D382" s="36"/>
      <c r="E382" s="38"/>
      <c r="F382" s="36"/>
      <c r="G382" s="39" t="str">
        <f aca="false">IF(E382="","",IF(F382="Standard 5%",E382*VAT_RATE,0))</f>
        <v/>
      </c>
      <c r="H382" s="36"/>
      <c r="I382" s="39" t="str">
        <f aca="false">IF(E382="","",IF(AND(H382="Yes",F382="Standard 5%"),G382,0))</f>
        <v/>
      </c>
      <c r="J382" s="39" t="str">
        <f aca="false">IF(E382="","",E382+G382)</f>
        <v/>
      </c>
      <c r="K382" s="36"/>
      <c r="L382" s="36"/>
      <c r="M382" s="40" t="str">
        <f aca="false">IF(A382="","",IF(A382&lt;FY_START,0,(YEAR(A382)-YEAR(FY_START))*12+MONTH(A382)-MONTH(FY_START)+1))</f>
        <v/>
      </c>
      <c r="N382" s="40" t="str">
        <f aca="false">IF(A382="","",IF(AND(A382&gt;=VP_START,A382&lt;=VP_END),1,0))</f>
        <v/>
      </c>
    </row>
    <row r="383" customFormat="false" ht="15" hidden="false" customHeight="false" outlineLevel="0" collapsed="false">
      <c r="A383" s="37"/>
      <c r="B383" s="36"/>
      <c r="C383" s="36"/>
      <c r="D383" s="36"/>
      <c r="E383" s="38"/>
      <c r="F383" s="36"/>
      <c r="G383" s="39" t="str">
        <f aca="false">IF(E383="","",IF(F383="Standard 5%",E383*VAT_RATE,0))</f>
        <v/>
      </c>
      <c r="H383" s="36"/>
      <c r="I383" s="39" t="str">
        <f aca="false">IF(E383="","",IF(AND(H383="Yes",F383="Standard 5%"),G383,0))</f>
        <v/>
      </c>
      <c r="J383" s="39" t="str">
        <f aca="false">IF(E383="","",E383+G383)</f>
        <v/>
      </c>
      <c r="K383" s="36"/>
      <c r="L383" s="36"/>
      <c r="M383" s="40" t="str">
        <f aca="false">IF(A383="","",IF(A383&lt;FY_START,0,(YEAR(A383)-YEAR(FY_START))*12+MONTH(A383)-MONTH(FY_START)+1))</f>
        <v/>
      </c>
      <c r="N383" s="40" t="str">
        <f aca="false">IF(A383="","",IF(AND(A383&gt;=VP_START,A383&lt;=VP_END),1,0))</f>
        <v/>
      </c>
    </row>
    <row r="384" customFormat="false" ht="15" hidden="false" customHeight="false" outlineLevel="0" collapsed="false">
      <c r="A384" s="37"/>
      <c r="B384" s="36"/>
      <c r="C384" s="36"/>
      <c r="D384" s="36"/>
      <c r="E384" s="38"/>
      <c r="F384" s="36"/>
      <c r="G384" s="39" t="str">
        <f aca="false">IF(E384="","",IF(F384="Standard 5%",E384*VAT_RATE,0))</f>
        <v/>
      </c>
      <c r="H384" s="36"/>
      <c r="I384" s="39" t="str">
        <f aca="false">IF(E384="","",IF(AND(H384="Yes",F384="Standard 5%"),G384,0))</f>
        <v/>
      </c>
      <c r="J384" s="39" t="str">
        <f aca="false">IF(E384="","",E384+G384)</f>
        <v/>
      </c>
      <c r="K384" s="36"/>
      <c r="L384" s="36"/>
      <c r="M384" s="40" t="str">
        <f aca="false">IF(A384="","",IF(A384&lt;FY_START,0,(YEAR(A384)-YEAR(FY_START))*12+MONTH(A384)-MONTH(FY_START)+1))</f>
        <v/>
      </c>
      <c r="N384" s="40" t="str">
        <f aca="false">IF(A384="","",IF(AND(A384&gt;=VP_START,A384&lt;=VP_END),1,0))</f>
        <v/>
      </c>
    </row>
    <row r="385" customFormat="false" ht="15" hidden="false" customHeight="false" outlineLevel="0" collapsed="false">
      <c r="A385" s="37"/>
      <c r="B385" s="36"/>
      <c r="C385" s="36"/>
      <c r="D385" s="36"/>
      <c r="E385" s="38"/>
      <c r="F385" s="36"/>
      <c r="G385" s="39" t="str">
        <f aca="false">IF(E385="","",IF(F385="Standard 5%",E385*VAT_RATE,0))</f>
        <v/>
      </c>
      <c r="H385" s="36"/>
      <c r="I385" s="39" t="str">
        <f aca="false">IF(E385="","",IF(AND(H385="Yes",F385="Standard 5%"),G385,0))</f>
        <v/>
      </c>
      <c r="J385" s="39" t="str">
        <f aca="false">IF(E385="","",E385+G385)</f>
        <v/>
      </c>
      <c r="K385" s="36"/>
      <c r="L385" s="36"/>
      <c r="M385" s="40" t="str">
        <f aca="false">IF(A385="","",IF(A385&lt;FY_START,0,(YEAR(A385)-YEAR(FY_START))*12+MONTH(A385)-MONTH(FY_START)+1))</f>
        <v/>
      </c>
      <c r="N385" s="40" t="str">
        <f aca="false">IF(A385="","",IF(AND(A385&gt;=VP_START,A385&lt;=VP_END),1,0))</f>
        <v/>
      </c>
    </row>
    <row r="386" customFormat="false" ht="15" hidden="false" customHeight="false" outlineLevel="0" collapsed="false">
      <c r="A386" s="37"/>
      <c r="B386" s="36"/>
      <c r="C386" s="36"/>
      <c r="D386" s="36"/>
      <c r="E386" s="38"/>
      <c r="F386" s="36"/>
      <c r="G386" s="39" t="str">
        <f aca="false">IF(E386="","",IF(F386="Standard 5%",E386*VAT_RATE,0))</f>
        <v/>
      </c>
      <c r="H386" s="36"/>
      <c r="I386" s="39" t="str">
        <f aca="false">IF(E386="","",IF(AND(H386="Yes",F386="Standard 5%"),G386,0))</f>
        <v/>
      </c>
      <c r="J386" s="39" t="str">
        <f aca="false">IF(E386="","",E386+G386)</f>
        <v/>
      </c>
      <c r="K386" s="36"/>
      <c r="L386" s="36"/>
      <c r="M386" s="40" t="str">
        <f aca="false">IF(A386="","",IF(A386&lt;FY_START,0,(YEAR(A386)-YEAR(FY_START))*12+MONTH(A386)-MONTH(FY_START)+1))</f>
        <v/>
      </c>
      <c r="N386" s="40" t="str">
        <f aca="false">IF(A386="","",IF(AND(A386&gt;=VP_START,A386&lt;=VP_END),1,0))</f>
        <v/>
      </c>
    </row>
    <row r="387" customFormat="false" ht="15" hidden="false" customHeight="false" outlineLevel="0" collapsed="false">
      <c r="A387" s="37"/>
      <c r="B387" s="36"/>
      <c r="C387" s="36"/>
      <c r="D387" s="36"/>
      <c r="E387" s="38"/>
      <c r="F387" s="36"/>
      <c r="G387" s="39" t="str">
        <f aca="false">IF(E387="","",IF(F387="Standard 5%",E387*VAT_RATE,0))</f>
        <v/>
      </c>
      <c r="H387" s="36"/>
      <c r="I387" s="39" t="str">
        <f aca="false">IF(E387="","",IF(AND(H387="Yes",F387="Standard 5%"),G387,0))</f>
        <v/>
      </c>
      <c r="J387" s="39" t="str">
        <f aca="false">IF(E387="","",E387+G387)</f>
        <v/>
      </c>
      <c r="K387" s="36"/>
      <c r="L387" s="36"/>
      <c r="M387" s="40" t="str">
        <f aca="false">IF(A387="","",IF(A387&lt;FY_START,0,(YEAR(A387)-YEAR(FY_START))*12+MONTH(A387)-MONTH(FY_START)+1))</f>
        <v/>
      </c>
      <c r="N387" s="40" t="str">
        <f aca="false">IF(A387="","",IF(AND(A387&gt;=VP_START,A387&lt;=VP_END),1,0))</f>
        <v/>
      </c>
    </row>
    <row r="388" customFormat="false" ht="15" hidden="false" customHeight="false" outlineLevel="0" collapsed="false">
      <c r="A388" s="37"/>
      <c r="B388" s="36"/>
      <c r="C388" s="36"/>
      <c r="D388" s="36"/>
      <c r="E388" s="38"/>
      <c r="F388" s="36"/>
      <c r="G388" s="39" t="str">
        <f aca="false">IF(E388="","",IF(F388="Standard 5%",E388*VAT_RATE,0))</f>
        <v/>
      </c>
      <c r="H388" s="36"/>
      <c r="I388" s="39" t="str">
        <f aca="false">IF(E388="","",IF(AND(H388="Yes",F388="Standard 5%"),G388,0))</f>
        <v/>
      </c>
      <c r="J388" s="39" t="str">
        <f aca="false">IF(E388="","",E388+G388)</f>
        <v/>
      </c>
      <c r="K388" s="36"/>
      <c r="L388" s="36"/>
      <c r="M388" s="40" t="str">
        <f aca="false">IF(A388="","",IF(A388&lt;FY_START,0,(YEAR(A388)-YEAR(FY_START))*12+MONTH(A388)-MONTH(FY_START)+1))</f>
        <v/>
      </c>
      <c r="N388" s="40" t="str">
        <f aca="false">IF(A388="","",IF(AND(A388&gt;=VP_START,A388&lt;=VP_END),1,0))</f>
        <v/>
      </c>
    </row>
    <row r="389" customFormat="false" ht="15" hidden="false" customHeight="false" outlineLevel="0" collapsed="false">
      <c r="A389" s="37"/>
      <c r="B389" s="36"/>
      <c r="C389" s="36"/>
      <c r="D389" s="36"/>
      <c r="E389" s="38"/>
      <c r="F389" s="36"/>
      <c r="G389" s="39" t="str">
        <f aca="false">IF(E389="","",IF(F389="Standard 5%",E389*VAT_RATE,0))</f>
        <v/>
      </c>
      <c r="H389" s="36"/>
      <c r="I389" s="39" t="str">
        <f aca="false">IF(E389="","",IF(AND(H389="Yes",F389="Standard 5%"),G389,0))</f>
        <v/>
      </c>
      <c r="J389" s="39" t="str">
        <f aca="false">IF(E389="","",E389+G389)</f>
        <v/>
      </c>
      <c r="K389" s="36"/>
      <c r="L389" s="36"/>
      <c r="M389" s="40" t="str">
        <f aca="false">IF(A389="","",IF(A389&lt;FY_START,0,(YEAR(A389)-YEAR(FY_START))*12+MONTH(A389)-MONTH(FY_START)+1))</f>
        <v/>
      </c>
      <c r="N389" s="40" t="str">
        <f aca="false">IF(A389="","",IF(AND(A389&gt;=VP_START,A389&lt;=VP_END),1,0))</f>
        <v/>
      </c>
    </row>
    <row r="390" customFormat="false" ht="15" hidden="false" customHeight="false" outlineLevel="0" collapsed="false">
      <c r="A390" s="37"/>
      <c r="B390" s="36"/>
      <c r="C390" s="36"/>
      <c r="D390" s="36"/>
      <c r="E390" s="38"/>
      <c r="F390" s="36"/>
      <c r="G390" s="39" t="str">
        <f aca="false">IF(E390="","",IF(F390="Standard 5%",E390*VAT_RATE,0))</f>
        <v/>
      </c>
      <c r="H390" s="36"/>
      <c r="I390" s="39" t="str">
        <f aca="false">IF(E390="","",IF(AND(H390="Yes",F390="Standard 5%"),G390,0))</f>
        <v/>
      </c>
      <c r="J390" s="39" t="str">
        <f aca="false">IF(E390="","",E390+G390)</f>
        <v/>
      </c>
      <c r="K390" s="36"/>
      <c r="L390" s="36"/>
      <c r="M390" s="40" t="str">
        <f aca="false">IF(A390="","",IF(A390&lt;FY_START,0,(YEAR(A390)-YEAR(FY_START))*12+MONTH(A390)-MONTH(FY_START)+1))</f>
        <v/>
      </c>
      <c r="N390" s="40" t="str">
        <f aca="false">IF(A390="","",IF(AND(A390&gt;=VP_START,A390&lt;=VP_END),1,0))</f>
        <v/>
      </c>
    </row>
    <row r="391" customFormat="false" ht="15" hidden="false" customHeight="false" outlineLevel="0" collapsed="false">
      <c r="A391" s="37"/>
      <c r="B391" s="36"/>
      <c r="C391" s="36"/>
      <c r="D391" s="36"/>
      <c r="E391" s="38"/>
      <c r="F391" s="36"/>
      <c r="G391" s="39" t="str">
        <f aca="false">IF(E391="","",IF(F391="Standard 5%",E391*VAT_RATE,0))</f>
        <v/>
      </c>
      <c r="H391" s="36"/>
      <c r="I391" s="39" t="str">
        <f aca="false">IF(E391="","",IF(AND(H391="Yes",F391="Standard 5%"),G391,0))</f>
        <v/>
      </c>
      <c r="J391" s="39" t="str">
        <f aca="false">IF(E391="","",E391+G391)</f>
        <v/>
      </c>
      <c r="K391" s="36"/>
      <c r="L391" s="36"/>
      <c r="M391" s="40" t="str">
        <f aca="false">IF(A391="","",IF(A391&lt;FY_START,0,(YEAR(A391)-YEAR(FY_START))*12+MONTH(A391)-MONTH(FY_START)+1))</f>
        <v/>
      </c>
      <c r="N391" s="40" t="str">
        <f aca="false">IF(A391="","",IF(AND(A391&gt;=VP_START,A391&lt;=VP_END),1,0))</f>
        <v/>
      </c>
    </row>
    <row r="392" customFormat="false" ht="15" hidden="false" customHeight="false" outlineLevel="0" collapsed="false">
      <c r="A392" s="37"/>
      <c r="B392" s="36"/>
      <c r="C392" s="36"/>
      <c r="D392" s="36"/>
      <c r="E392" s="38"/>
      <c r="F392" s="36"/>
      <c r="G392" s="39" t="str">
        <f aca="false">IF(E392="","",IF(F392="Standard 5%",E392*VAT_RATE,0))</f>
        <v/>
      </c>
      <c r="H392" s="36"/>
      <c r="I392" s="39" t="str">
        <f aca="false">IF(E392="","",IF(AND(H392="Yes",F392="Standard 5%"),G392,0))</f>
        <v/>
      </c>
      <c r="J392" s="39" t="str">
        <f aca="false">IF(E392="","",E392+G392)</f>
        <v/>
      </c>
      <c r="K392" s="36"/>
      <c r="L392" s="36"/>
      <c r="M392" s="40" t="str">
        <f aca="false">IF(A392="","",IF(A392&lt;FY_START,0,(YEAR(A392)-YEAR(FY_START))*12+MONTH(A392)-MONTH(FY_START)+1))</f>
        <v/>
      </c>
      <c r="N392" s="40" t="str">
        <f aca="false">IF(A392="","",IF(AND(A392&gt;=VP_START,A392&lt;=VP_END),1,0))</f>
        <v/>
      </c>
    </row>
    <row r="393" customFormat="false" ht="15" hidden="false" customHeight="false" outlineLevel="0" collapsed="false">
      <c r="A393" s="37"/>
      <c r="B393" s="36"/>
      <c r="C393" s="36"/>
      <c r="D393" s="36"/>
      <c r="E393" s="38"/>
      <c r="F393" s="36"/>
      <c r="G393" s="39" t="str">
        <f aca="false">IF(E393="","",IF(F393="Standard 5%",E393*VAT_RATE,0))</f>
        <v/>
      </c>
      <c r="H393" s="36"/>
      <c r="I393" s="39" t="str">
        <f aca="false">IF(E393="","",IF(AND(H393="Yes",F393="Standard 5%"),G393,0))</f>
        <v/>
      </c>
      <c r="J393" s="39" t="str">
        <f aca="false">IF(E393="","",E393+G393)</f>
        <v/>
      </c>
      <c r="K393" s="36"/>
      <c r="L393" s="36"/>
      <c r="M393" s="40" t="str">
        <f aca="false">IF(A393="","",IF(A393&lt;FY_START,0,(YEAR(A393)-YEAR(FY_START))*12+MONTH(A393)-MONTH(FY_START)+1))</f>
        <v/>
      </c>
      <c r="N393" s="40" t="str">
        <f aca="false">IF(A393="","",IF(AND(A393&gt;=VP_START,A393&lt;=VP_END),1,0))</f>
        <v/>
      </c>
    </row>
    <row r="394" customFormat="false" ht="15" hidden="false" customHeight="false" outlineLevel="0" collapsed="false">
      <c r="A394" s="37"/>
      <c r="B394" s="36"/>
      <c r="C394" s="36"/>
      <c r="D394" s="36"/>
      <c r="E394" s="38"/>
      <c r="F394" s="36"/>
      <c r="G394" s="39" t="str">
        <f aca="false">IF(E394="","",IF(F394="Standard 5%",E394*VAT_RATE,0))</f>
        <v/>
      </c>
      <c r="H394" s="36"/>
      <c r="I394" s="39" t="str">
        <f aca="false">IF(E394="","",IF(AND(H394="Yes",F394="Standard 5%"),G394,0))</f>
        <v/>
      </c>
      <c r="J394" s="39" t="str">
        <f aca="false">IF(E394="","",E394+G394)</f>
        <v/>
      </c>
      <c r="K394" s="36"/>
      <c r="L394" s="36"/>
      <c r="M394" s="40" t="str">
        <f aca="false">IF(A394="","",IF(A394&lt;FY_START,0,(YEAR(A394)-YEAR(FY_START))*12+MONTH(A394)-MONTH(FY_START)+1))</f>
        <v/>
      </c>
      <c r="N394" s="40" t="str">
        <f aca="false">IF(A394="","",IF(AND(A394&gt;=VP_START,A394&lt;=VP_END),1,0))</f>
        <v/>
      </c>
    </row>
    <row r="395" customFormat="false" ht="15" hidden="false" customHeight="false" outlineLevel="0" collapsed="false">
      <c r="A395" s="37"/>
      <c r="B395" s="36"/>
      <c r="C395" s="36"/>
      <c r="D395" s="36"/>
      <c r="E395" s="38"/>
      <c r="F395" s="36"/>
      <c r="G395" s="39" t="str">
        <f aca="false">IF(E395="","",IF(F395="Standard 5%",E395*VAT_RATE,0))</f>
        <v/>
      </c>
      <c r="H395" s="36"/>
      <c r="I395" s="39" t="str">
        <f aca="false">IF(E395="","",IF(AND(H395="Yes",F395="Standard 5%"),G395,0))</f>
        <v/>
      </c>
      <c r="J395" s="39" t="str">
        <f aca="false">IF(E395="","",E395+G395)</f>
        <v/>
      </c>
      <c r="K395" s="36"/>
      <c r="L395" s="36"/>
      <c r="M395" s="40" t="str">
        <f aca="false">IF(A395="","",IF(A395&lt;FY_START,0,(YEAR(A395)-YEAR(FY_START))*12+MONTH(A395)-MONTH(FY_START)+1))</f>
        <v/>
      </c>
      <c r="N395" s="40" t="str">
        <f aca="false">IF(A395="","",IF(AND(A395&gt;=VP_START,A395&lt;=VP_END),1,0))</f>
        <v/>
      </c>
    </row>
    <row r="396" customFormat="false" ht="15" hidden="false" customHeight="false" outlineLevel="0" collapsed="false">
      <c r="A396" s="37"/>
      <c r="B396" s="36"/>
      <c r="C396" s="36"/>
      <c r="D396" s="36"/>
      <c r="E396" s="38"/>
      <c r="F396" s="36"/>
      <c r="G396" s="39" t="str">
        <f aca="false">IF(E396="","",IF(F396="Standard 5%",E396*VAT_RATE,0))</f>
        <v/>
      </c>
      <c r="H396" s="36"/>
      <c r="I396" s="39" t="str">
        <f aca="false">IF(E396="","",IF(AND(H396="Yes",F396="Standard 5%"),G396,0))</f>
        <v/>
      </c>
      <c r="J396" s="39" t="str">
        <f aca="false">IF(E396="","",E396+G396)</f>
        <v/>
      </c>
      <c r="K396" s="36"/>
      <c r="L396" s="36"/>
      <c r="M396" s="40" t="str">
        <f aca="false">IF(A396="","",IF(A396&lt;FY_START,0,(YEAR(A396)-YEAR(FY_START))*12+MONTH(A396)-MONTH(FY_START)+1))</f>
        <v/>
      </c>
      <c r="N396" s="40" t="str">
        <f aca="false">IF(A396="","",IF(AND(A396&gt;=VP_START,A396&lt;=VP_END),1,0))</f>
        <v/>
      </c>
    </row>
    <row r="397" customFormat="false" ht="15" hidden="false" customHeight="false" outlineLevel="0" collapsed="false">
      <c r="A397" s="37"/>
      <c r="B397" s="36"/>
      <c r="C397" s="36"/>
      <c r="D397" s="36"/>
      <c r="E397" s="38"/>
      <c r="F397" s="36"/>
      <c r="G397" s="39" t="str">
        <f aca="false">IF(E397="","",IF(F397="Standard 5%",E397*VAT_RATE,0))</f>
        <v/>
      </c>
      <c r="H397" s="36"/>
      <c r="I397" s="39" t="str">
        <f aca="false">IF(E397="","",IF(AND(H397="Yes",F397="Standard 5%"),G397,0))</f>
        <v/>
      </c>
      <c r="J397" s="39" t="str">
        <f aca="false">IF(E397="","",E397+G397)</f>
        <v/>
      </c>
      <c r="K397" s="36"/>
      <c r="L397" s="36"/>
      <c r="M397" s="40" t="str">
        <f aca="false">IF(A397="","",IF(A397&lt;FY_START,0,(YEAR(A397)-YEAR(FY_START))*12+MONTH(A397)-MONTH(FY_START)+1))</f>
        <v/>
      </c>
      <c r="N397" s="40" t="str">
        <f aca="false">IF(A397="","",IF(AND(A397&gt;=VP_START,A397&lt;=VP_END),1,0))</f>
        <v/>
      </c>
    </row>
    <row r="398" customFormat="false" ht="15" hidden="false" customHeight="false" outlineLevel="0" collapsed="false">
      <c r="A398" s="37"/>
      <c r="B398" s="36"/>
      <c r="C398" s="36"/>
      <c r="D398" s="36"/>
      <c r="E398" s="38"/>
      <c r="F398" s="36"/>
      <c r="G398" s="39" t="str">
        <f aca="false">IF(E398="","",IF(F398="Standard 5%",E398*VAT_RATE,0))</f>
        <v/>
      </c>
      <c r="H398" s="36"/>
      <c r="I398" s="39" t="str">
        <f aca="false">IF(E398="","",IF(AND(H398="Yes",F398="Standard 5%"),G398,0))</f>
        <v/>
      </c>
      <c r="J398" s="39" t="str">
        <f aca="false">IF(E398="","",E398+G398)</f>
        <v/>
      </c>
      <c r="K398" s="36"/>
      <c r="L398" s="36"/>
      <c r="M398" s="40" t="str">
        <f aca="false">IF(A398="","",IF(A398&lt;FY_START,0,(YEAR(A398)-YEAR(FY_START))*12+MONTH(A398)-MONTH(FY_START)+1))</f>
        <v/>
      </c>
      <c r="N398" s="40" t="str">
        <f aca="false">IF(A398="","",IF(AND(A398&gt;=VP_START,A398&lt;=VP_END),1,0))</f>
        <v/>
      </c>
    </row>
    <row r="399" customFormat="false" ht="15" hidden="false" customHeight="false" outlineLevel="0" collapsed="false">
      <c r="A399" s="37"/>
      <c r="B399" s="36"/>
      <c r="C399" s="36"/>
      <c r="D399" s="36"/>
      <c r="E399" s="38"/>
      <c r="F399" s="36"/>
      <c r="G399" s="39" t="str">
        <f aca="false">IF(E399="","",IF(F399="Standard 5%",E399*VAT_RATE,0))</f>
        <v/>
      </c>
      <c r="H399" s="36"/>
      <c r="I399" s="39" t="str">
        <f aca="false">IF(E399="","",IF(AND(H399="Yes",F399="Standard 5%"),G399,0))</f>
        <v/>
      </c>
      <c r="J399" s="39" t="str">
        <f aca="false">IF(E399="","",E399+G399)</f>
        <v/>
      </c>
      <c r="K399" s="36"/>
      <c r="L399" s="36"/>
      <c r="M399" s="40" t="str">
        <f aca="false">IF(A399="","",IF(A399&lt;FY_START,0,(YEAR(A399)-YEAR(FY_START))*12+MONTH(A399)-MONTH(FY_START)+1))</f>
        <v/>
      </c>
      <c r="N399" s="40" t="str">
        <f aca="false">IF(A399="","",IF(AND(A399&gt;=VP_START,A399&lt;=VP_END),1,0))</f>
        <v/>
      </c>
    </row>
    <row r="400" customFormat="false" ht="15" hidden="false" customHeight="false" outlineLevel="0" collapsed="false">
      <c r="A400" s="37"/>
      <c r="B400" s="36"/>
      <c r="C400" s="36"/>
      <c r="D400" s="36"/>
      <c r="E400" s="38"/>
      <c r="F400" s="36"/>
      <c r="G400" s="39" t="str">
        <f aca="false">IF(E400="","",IF(F400="Standard 5%",E400*VAT_RATE,0))</f>
        <v/>
      </c>
      <c r="H400" s="36"/>
      <c r="I400" s="39" t="str">
        <f aca="false">IF(E400="","",IF(AND(H400="Yes",F400="Standard 5%"),G400,0))</f>
        <v/>
      </c>
      <c r="J400" s="39" t="str">
        <f aca="false">IF(E400="","",E400+G400)</f>
        <v/>
      </c>
      <c r="K400" s="36"/>
      <c r="L400" s="36"/>
      <c r="M400" s="40" t="str">
        <f aca="false">IF(A400="","",IF(A400&lt;FY_START,0,(YEAR(A400)-YEAR(FY_START))*12+MONTH(A400)-MONTH(FY_START)+1))</f>
        <v/>
      </c>
      <c r="N400" s="40" t="str">
        <f aca="false">IF(A400="","",IF(AND(A400&gt;=VP_START,A400&lt;=VP_END),1,0))</f>
        <v/>
      </c>
    </row>
    <row r="401" customFormat="false" ht="15" hidden="false" customHeight="false" outlineLevel="0" collapsed="false">
      <c r="A401" s="37"/>
      <c r="B401" s="36"/>
      <c r="C401" s="36"/>
      <c r="D401" s="36"/>
      <c r="E401" s="38"/>
      <c r="F401" s="36"/>
      <c r="G401" s="39" t="str">
        <f aca="false">IF(E401="","",IF(F401="Standard 5%",E401*VAT_RATE,0))</f>
        <v/>
      </c>
      <c r="H401" s="36"/>
      <c r="I401" s="39" t="str">
        <f aca="false">IF(E401="","",IF(AND(H401="Yes",F401="Standard 5%"),G401,0))</f>
        <v/>
      </c>
      <c r="J401" s="39" t="str">
        <f aca="false">IF(E401="","",E401+G401)</f>
        <v/>
      </c>
      <c r="K401" s="36"/>
      <c r="L401" s="36"/>
      <c r="M401" s="40" t="str">
        <f aca="false">IF(A401="","",IF(A401&lt;FY_START,0,(YEAR(A401)-YEAR(FY_START))*12+MONTH(A401)-MONTH(FY_START)+1))</f>
        <v/>
      </c>
      <c r="N401" s="40" t="str">
        <f aca="false">IF(A401="","",IF(AND(A401&gt;=VP_START,A401&lt;=VP_END),1,0))</f>
        <v/>
      </c>
    </row>
    <row r="402" customFormat="false" ht="15" hidden="false" customHeight="false" outlineLevel="0" collapsed="false">
      <c r="A402" s="37"/>
      <c r="B402" s="36"/>
      <c r="C402" s="36"/>
      <c r="D402" s="36"/>
      <c r="E402" s="38"/>
      <c r="F402" s="36"/>
      <c r="G402" s="39" t="str">
        <f aca="false">IF(E402="","",IF(F402="Standard 5%",E402*VAT_RATE,0))</f>
        <v/>
      </c>
      <c r="H402" s="36"/>
      <c r="I402" s="39" t="str">
        <f aca="false">IF(E402="","",IF(AND(H402="Yes",F402="Standard 5%"),G402,0))</f>
        <v/>
      </c>
      <c r="J402" s="39" t="str">
        <f aca="false">IF(E402="","",E402+G402)</f>
        <v/>
      </c>
      <c r="K402" s="36"/>
      <c r="L402" s="36"/>
      <c r="M402" s="40" t="str">
        <f aca="false">IF(A402="","",IF(A402&lt;FY_START,0,(YEAR(A402)-YEAR(FY_START))*12+MONTH(A402)-MONTH(FY_START)+1))</f>
        <v/>
      </c>
      <c r="N402" s="40" t="str">
        <f aca="false">IF(A402="","",IF(AND(A402&gt;=VP_START,A402&lt;=VP_END),1,0))</f>
        <v/>
      </c>
    </row>
    <row r="403" customFormat="false" ht="15" hidden="false" customHeight="false" outlineLevel="0" collapsed="false">
      <c r="A403" s="37"/>
      <c r="B403" s="36"/>
      <c r="C403" s="36"/>
      <c r="D403" s="36"/>
      <c r="E403" s="38"/>
      <c r="F403" s="36"/>
      <c r="G403" s="39" t="str">
        <f aca="false">IF(E403="","",IF(F403="Standard 5%",E403*VAT_RATE,0))</f>
        <v/>
      </c>
      <c r="H403" s="36"/>
      <c r="I403" s="39" t="str">
        <f aca="false">IF(E403="","",IF(AND(H403="Yes",F403="Standard 5%"),G403,0))</f>
        <v/>
      </c>
      <c r="J403" s="39" t="str">
        <f aca="false">IF(E403="","",E403+G403)</f>
        <v/>
      </c>
      <c r="K403" s="36"/>
      <c r="L403" s="36"/>
      <c r="M403" s="40" t="str">
        <f aca="false">IF(A403="","",IF(A403&lt;FY_START,0,(YEAR(A403)-YEAR(FY_START))*12+MONTH(A403)-MONTH(FY_START)+1))</f>
        <v/>
      </c>
      <c r="N403" s="40" t="str">
        <f aca="false">IF(A403="","",IF(AND(A403&gt;=VP_START,A403&lt;=VP_END),1,0))</f>
        <v/>
      </c>
    </row>
    <row r="404" customFormat="false" ht="15" hidden="false" customHeight="false" outlineLevel="0" collapsed="false">
      <c r="A404" s="37"/>
      <c r="B404" s="36"/>
      <c r="C404" s="36"/>
      <c r="D404" s="36"/>
      <c r="E404" s="38"/>
      <c r="F404" s="36"/>
      <c r="G404" s="39" t="str">
        <f aca="false">IF(E404="","",IF(F404="Standard 5%",E404*VAT_RATE,0))</f>
        <v/>
      </c>
      <c r="H404" s="36"/>
      <c r="I404" s="39" t="str">
        <f aca="false">IF(E404="","",IF(AND(H404="Yes",F404="Standard 5%"),G404,0))</f>
        <v/>
      </c>
      <c r="J404" s="39" t="str">
        <f aca="false">IF(E404="","",E404+G404)</f>
        <v/>
      </c>
      <c r="K404" s="36"/>
      <c r="L404" s="36"/>
      <c r="M404" s="40" t="str">
        <f aca="false">IF(A404="","",IF(A404&lt;FY_START,0,(YEAR(A404)-YEAR(FY_START))*12+MONTH(A404)-MONTH(FY_START)+1))</f>
        <v/>
      </c>
      <c r="N404" s="40" t="str">
        <f aca="false">IF(A404="","",IF(AND(A404&gt;=VP_START,A404&lt;=VP_END),1,0))</f>
        <v/>
      </c>
    </row>
    <row r="405" customFormat="false" ht="15" hidden="false" customHeight="false" outlineLevel="0" collapsed="false">
      <c r="A405" s="37"/>
      <c r="B405" s="36"/>
      <c r="C405" s="36"/>
      <c r="D405" s="36"/>
      <c r="E405" s="38"/>
      <c r="F405" s="36"/>
      <c r="G405" s="39" t="str">
        <f aca="false">IF(E405="","",IF(F405="Standard 5%",E405*VAT_RATE,0))</f>
        <v/>
      </c>
      <c r="H405" s="36"/>
      <c r="I405" s="39" t="str">
        <f aca="false">IF(E405="","",IF(AND(H405="Yes",F405="Standard 5%"),G405,0))</f>
        <v/>
      </c>
      <c r="J405" s="39" t="str">
        <f aca="false">IF(E405="","",E405+G405)</f>
        <v/>
      </c>
      <c r="K405" s="36"/>
      <c r="L405" s="36"/>
      <c r="M405" s="40" t="str">
        <f aca="false">IF(A405="","",IF(A405&lt;FY_START,0,(YEAR(A405)-YEAR(FY_START))*12+MONTH(A405)-MONTH(FY_START)+1))</f>
        <v/>
      </c>
      <c r="N405" s="40" t="str">
        <f aca="false">IF(A405="","",IF(AND(A405&gt;=VP_START,A405&lt;=VP_END),1,0))</f>
        <v/>
      </c>
    </row>
    <row r="406" customFormat="false" ht="15" hidden="false" customHeight="false" outlineLevel="0" collapsed="false">
      <c r="A406" s="37"/>
      <c r="B406" s="36"/>
      <c r="C406" s="36"/>
      <c r="D406" s="36"/>
      <c r="E406" s="38"/>
      <c r="F406" s="36"/>
      <c r="G406" s="39" t="str">
        <f aca="false">IF(E406="","",IF(F406="Standard 5%",E406*VAT_RATE,0))</f>
        <v/>
      </c>
      <c r="H406" s="36"/>
      <c r="I406" s="39" t="str">
        <f aca="false">IF(E406="","",IF(AND(H406="Yes",F406="Standard 5%"),G406,0))</f>
        <v/>
      </c>
      <c r="J406" s="39" t="str">
        <f aca="false">IF(E406="","",E406+G406)</f>
        <v/>
      </c>
      <c r="K406" s="36"/>
      <c r="L406" s="36"/>
      <c r="M406" s="40" t="str">
        <f aca="false">IF(A406="","",IF(A406&lt;FY_START,0,(YEAR(A406)-YEAR(FY_START))*12+MONTH(A406)-MONTH(FY_START)+1))</f>
        <v/>
      </c>
      <c r="N406" s="40" t="str">
        <f aca="false">IF(A406="","",IF(AND(A406&gt;=VP_START,A406&lt;=VP_END),1,0))</f>
        <v/>
      </c>
    </row>
    <row r="407" customFormat="false" ht="15" hidden="false" customHeight="false" outlineLevel="0" collapsed="false">
      <c r="A407" s="37"/>
      <c r="B407" s="36"/>
      <c r="C407" s="36"/>
      <c r="D407" s="36"/>
      <c r="E407" s="38"/>
      <c r="F407" s="36"/>
      <c r="G407" s="39" t="str">
        <f aca="false">IF(E407="","",IF(F407="Standard 5%",E407*VAT_RATE,0))</f>
        <v/>
      </c>
      <c r="H407" s="36"/>
      <c r="I407" s="39" t="str">
        <f aca="false">IF(E407="","",IF(AND(H407="Yes",F407="Standard 5%"),G407,0))</f>
        <v/>
      </c>
      <c r="J407" s="39" t="str">
        <f aca="false">IF(E407="","",E407+G407)</f>
        <v/>
      </c>
      <c r="K407" s="36"/>
      <c r="L407" s="36"/>
      <c r="M407" s="40" t="str">
        <f aca="false">IF(A407="","",IF(A407&lt;FY_START,0,(YEAR(A407)-YEAR(FY_START))*12+MONTH(A407)-MONTH(FY_START)+1))</f>
        <v/>
      </c>
      <c r="N407" s="40" t="str">
        <f aca="false">IF(A407="","",IF(AND(A407&gt;=VP_START,A407&lt;=VP_END),1,0))</f>
        <v/>
      </c>
    </row>
    <row r="408" customFormat="false" ht="15" hidden="false" customHeight="false" outlineLevel="0" collapsed="false">
      <c r="A408" s="37"/>
      <c r="B408" s="36"/>
      <c r="C408" s="36"/>
      <c r="D408" s="36"/>
      <c r="E408" s="38"/>
      <c r="F408" s="36"/>
      <c r="G408" s="39" t="str">
        <f aca="false">IF(E408="","",IF(F408="Standard 5%",E408*VAT_RATE,0))</f>
        <v/>
      </c>
      <c r="H408" s="36"/>
      <c r="I408" s="39" t="str">
        <f aca="false">IF(E408="","",IF(AND(H408="Yes",F408="Standard 5%"),G408,0))</f>
        <v/>
      </c>
      <c r="J408" s="39" t="str">
        <f aca="false">IF(E408="","",E408+G408)</f>
        <v/>
      </c>
      <c r="K408" s="36"/>
      <c r="L408" s="36"/>
      <c r="M408" s="40" t="str">
        <f aca="false">IF(A408="","",IF(A408&lt;FY_START,0,(YEAR(A408)-YEAR(FY_START))*12+MONTH(A408)-MONTH(FY_START)+1))</f>
        <v/>
      </c>
      <c r="N408" s="40" t="str">
        <f aca="false">IF(A408="","",IF(AND(A408&gt;=VP_START,A408&lt;=VP_END),1,0))</f>
        <v/>
      </c>
    </row>
    <row r="409" customFormat="false" ht="15" hidden="false" customHeight="false" outlineLevel="0" collapsed="false">
      <c r="A409" s="37"/>
      <c r="B409" s="36"/>
      <c r="C409" s="36"/>
      <c r="D409" s="36"/>
      <c r="E409" s="38"/>
      <c r="F409" s="36"/>
      <c r="G409" s="39" t="str">
        <f aca="false">IF(E409="","",IF(F409="Standard 5%",E409*VAT_RATE,0))</f>
        <v/>
      </c>
      <c r="H409" s="36"/>
      <c r="I409" s="39" t="str">
        <f aca="false">IF(E409="","",IF(AND(H409="Yes",F409="Standard 5%"),G409,0))</f>
        <v/>
      </c>
      <c r="J409" s="39" t="str">
        <f aca="false">IF(E409="","",E409+G409)</f>
        <v/>
      </c>
      <c r="K409" s="36"/>
      <c r="L409" s="36"/>
      <c r="M409" s="40" t="str">
        <f aca="false">IF(A409="","",IF(A409&lt;FY_START,0,(YEAR(A409)-YEAR(FY_START))*12+MONTH(A409)-MONTH(FY_START)+1))</f>
        <v/>
      </c>
      <c r="N409" s="40" t="str">
        <f aca="false">IF(A409="","",IF(AND(A409&gt;=VP_START,A409&lt;=VP_END),1,0))</f>
        <v/>
      </c>
    </row>
    <row r="410" customFormat="false" ht="15" hidden="false" customHeight="false" outlineLevel="0" collapsed="false">
      <c r="A410" s="37"/>
      <c r="B410" s="36"/>
      <c r="C410" s="36"/>
      <c r="D410" s="36"/>
      <c r="E410" s="38"/>
      <c r="F410" s="36"/>
      <c r="G410" s="39" t="str">
        <f aca="false">IF(E410="","",IF(F410="Standard 5%",E410*VAT_RATE,0))</f>
        <v/>
      </c>
      <c r="H410" s="36"/>
      <c r="I410" s="39" t="str">
        <f aca="false">IF(E410="","",IF(AND(H410="Yes",F410="Standard 5%"),G410,0))</f>
        <v/>
      </c>
      <c r="J410" s="39" t="str">
        <f aca="false">IF(E410="","",E410+G410)</f>
        <v/>
      </c>
      <c r="K410" s="36"/>
      <c r="L410" s="36"/>
      <c r="M410" s="40" t="str">
        <f aca="false">IF(A410="","",IF(A410&lt;FY_START,0,(YEAR(A410)-YEAR(FY_START))*12+MONTH(A410)-MONTH(FY_START)+1))</f>
        <v/>
      </c>
      <c r="N410" s="40" t="str">
        <f aca="false">IF(A410="","",IF(AND(A410&gt;=VP_START,A410&lt;=VP_END),1,0))</f>
        <v/>
      </c>
    </row>
    <row r="411" customFormat="false" ht="15" hidden="false" customHeight="false" outlineLevel="0" collapsed="false">
      <c r="A411" s="37"/>
      <c r="B411" s="36"/>
      <c r="C411" s="36"/>
      <c r="D411" s="36"/>
      <c r="E411" s="38"/>
      <c r="F411" s="36"/>
      <c r="G411" s="39" t="str">
        <f aca="false">IF(E411="","",IF(F411="Standard 5%",E411*VAT_RATE,0))</f>
        <v/>
      </c>
      <c r="H411" s="36"/>
      <c r="I411" s="39" t="str">
        <f aca="false">IF(E411="","",IF(AND(H411="Yes",F411="Standard 5%"),G411,0))</f>
        <v/>
      </c>
      <c r="J411" s="39" t="str">
        <f aca="false">IF(E411="","",E411+G411)</f>
        <v/>
      </c>
      <c r="K411" s="36"/>
      <c r="L411" s="36"/>
      <c r="M411" s="40" t="str">
        <f aca="false">IF(A411="","",IF(A411&lt;FY_START,0,(YEAR(A411)-YEAR(FY_START))*12+MONTH(A411)-MONTH(FY_START)+1))</f>
        <v/>
      </c>
      <c r="N411" s="40" t="str">
        <f aca="false">IF(A411="","",IF(AND(A411&gt;=VP_START,A411&lt;=VP_END),1,0))</f>
        <v/>
      </c>
    </row>
    <row r="412" customFormat="false" ht="15" hidden="false" customHeight="false" outlineLevel="0" collapsed="false">
      <c r="A412" s="37"/>
      <c r="B412" s="36"/>
      <c r="C412" s="36"/>
      <c r="D412" s="36"/>
      <c r="E412" s="38"/>
      <c r="F412" s="36"/>
      <c r="G412" s="39" t="str">
        <f aca="false">IF(E412="","",IF(F412="Standard 5%",E412*VAT_RATE,0))</f>
        <v/>
      </c>
      <c r="H412" s="36"/>
      <c r="I412" s="39" t="str">
        <f aca="false">IF(E412="","",IF(AND(H412="Yes",F412="Standard 5%"),G412,0))</f>
        <v/>
      </c>
      <c r="J412" s="39" t="str">
        <f aca="false">IF(E412="","",E412+G412)</f>
        <v/>
      </c>
      <c r="K412" s="36"/>
      <c r="L412" s="36"/>
      <c r="M412" s="40" t="str">
        <f aca="false">IF(A412="","",IF(A412&lt;FY_START,0,(YEAR(A412)-YEAR(FY_START))*12+MONTH(A412)-MONTH(FY_START)+1))</f>
        <v/>
      </c>
      <c r="N412" s="40" t="str">
        <f aca="false">IF(A412="","",IF(AND(A412&gt;=VP_START,A412&lt;=VP_END),1,0))</f>
        <v/>
      </c>
    </row>
    <row r="413" customFormat="false" ht="15" hidden="false" customHeight="false" outlineLevel="0" collapsed="false">
      <c r="A413" s="37"/>
      <c r="B413" s="36"/>
      <c r="C413" s="36"/>
      <c r="D413" s="36"/>
      <c r="E413" s="38"/>
      <c r="F413" s="36"/>
      <c r="G413" s="39" t="str">
        <f aca="false">IF(E413="","",IF(F413="Standard 5%",E413*VAT_RATE,0))</f>
        <v/>
      </c>
      <c r="H413" s="36"/>
      <c r="I413" s="39" t="str">
        <f aca="false">IF(E413="","",IF(AND(H413="Yes",F413="Standard 5%"),G413,0))</f>
        <v/>
      </c>
      <c r="J413" s="39" t="str">
        <f aca="false">IF(E413="","",E413+G413)</f>
        <v/>
      </c>
      <c r="K413" s="36"/>
      <c r="L413" s="36"/>
      <c r="M413" s="40" t="str">
        <f aca="false">IF(A413="","",IF(A413&lt;FY_START,0,(YEAR(A413)-YEAR(FY_START))*12+MONTH(A413)-MONTH(FY_START)+1))</f>
        <v/>
      </c>
      <c r="N413" s="40" t="str">
        <f aca="false">IF(A413="","",IF(AND(A413&gt;=VP_START,A413&lt;=VP_END),1,0))</f>
        <v/>
      </c>
    </row>
    <row r="414" customFormat="false" ht="15" hidden="false" customHeight="false" outlineLevel="0" collapsed="false">
      <c r="A414" s="37"/>
      <c r="B414" s="36"/>
      <c r="C414" s="36"/>
      <c r="D414" s="36"/>
      <c r="E414" s="38"/>
      <c r="F414" s="36"/>
      <c r="G414" s="39" t="str">
        <f aca="false">IF(E414="","",IF(F414="Standard 5%",E414*VAT_RATE,0))</f>
        <v/>
      </c>
      <c r="H414" s="36"/>
      <c r="I414" s="39" t="str">
        <f aca="false">IF(E414="","",IF(AND(H414="Yes",F414="Standard 5%"),G414,0))</f>
        <v/>
      </c>
      <c r="J414" s="39" t="str">
        <f aca="false">IF(E414="","",E414+G414)</f>
        <v/>
      </c>
      <c r="K414" s="36"/>
      <c r="L414" s="36"/>
      <c r="M414" s="40" t="str">
        <f aca="false">IF(A414="","",IF(A414&lt;FY_START,0,(YEAR(A414)-YEAR(FY_START))*12+MONTH(A414)-MONTH(FY_START)+1))</f>
        <v/>
      </c>
      <c r="N414" s="40" t="str">
        <f aca="false">IF(A414="","",IF(AND(A414&gt;=VP_START,A414&lt;=VP_END),1,0))</f>
        <v/>
      </c>
    </row>
    <row r="415" customFormat="false" ht="15" hidden="false" customHeight="false" outlineLevel="0" collapsed="false">
      <c r="A415" s="37"/>
      <c r="B415" s="36"/>
      <c r="C415" s="36"/>
      <c r="D415" s="36"/>
      <c r="E415" s="38"/>
      <c r="F415" s="36"/>
      <c r="G415" s="39" t="str">
        <f aca="false">IF(E415="","",IF(F415="Standard 5%",E415*VAT_RATE,0))</f>
        <v/>
      </c>
      <c r="H415" s="36"/>
      <c r="I415" s="39" t="str">
        <f aca="false">IF(E415="","",IF(AND(H415="Yes",F415="Standard 5%"),G415,0))</f>
        <v/>
      </c>
      <c r="J415" s="39" t="str">
        <f aca="false">IF(E415="","",E415+G415)</f>
        <v/>
      </c>
      <c r="K415" s="36"/>
      <c r="L415" s="36"/>
      <c r="M415" s="40" t="str">
        <f aca="false">IF(A415="","",IF(A415&lt;FY_START,0,(YEAR(A415)-YEAR(FY_START))*12+MONTH(A415)-MONTH(FY_START)+1))</f>
        <v/>
      </c>
      <c r="N415" s="40" t="str">
        <f aca="false">IF(A415="","",IF(AND(A415&gt;=VP_START,A415&lt;=VP_END),1,0))</f>
        <v/>
      </c>
    </row>
    <row r="416" customFormat="false" ht="15" hidden="false" customHeight="false" outlineLevel="0" collapsed="false">
      <c r="A416" s="37"/>
      <c r="B416" s="36"/>
      <c r="C416" s="36"/>
      <c r="D416" s="36"/>
      <c r="E416" s="38"/>
      <c r="F416" s="36"/>
      <c r="G416" s="39" t="str">
        <f aca="false">IF(E416="","",IF(F416="Standard 5%",E416*VAT_RATE,0))</f>
        <v/>
      </c>
      <c r="H416" s="36"/>
      <c r="I416" s="39" t="str">
        <f aca="false">IF(E416="","",IF(AND(H416="Yes",F416="Standard 5%"),G416,0))</f>
        <v/>
      </c>
      <c r="J416" s="39" t="str">
        <f aca="false">IF(E416="","",E416+G416)</f>
        <v/>
      </c>
      <c r="K416" s="36"/>
      <c r="L416" s="36"/>
      <c r="M416" s="40" t="str">
        <f aca="false">IF(A416="","",IF(A416&lt;FY_START,0,(YEAR(A416)-YEAR(FY_START))*12+MONTH(A416)-MONTH(FY_START)+1))</f>
        <v/>
      </c>
      <c r="N416" s="40" t="str">
        <f aca="false">IF(A416="","",IF(AND(A416&gt;=VP_START,A416&lt;=VP_END),1,0))</f>
        <v/>
      </c>
    </row>
    <row r="417" customFormat="false" ht="15" hidden="false" customHeight="false" outlineLevel="0" collapsed="false">
      <c r="A417" s="37"/>
      <c r="B417" s="36"/>
      <c r="C417" s="36"/>
      <c r="D417" s="36"/>
      <c r="E417" s="38"/>
      <c r="F417" s="36"/>
      <c r="G417" s="39" t="str">
        <f aca="false">IF(E417="","",IF(F417="Standard 5%",E417*VAT_RATE,0))</f>
        <v/>
      </c>
      <c r="H417" s="36"/>
      <c r="I417" s="39" t="str">
        <f aca="false">IF(E417="","",IF(AND(H417="Yes",F417="Standard 5%"),G417,0))</f>
        <v/>
      </c>
      <c r="J417" s="39" t="str">
        <f aca="false">IF(E417="","",E417+G417)</f>
        <v/>
      </c>
      <c r="K417" s="36"/>
      <c r="L417" s="36"/>
      <c r="M417" s="40" t="str">
        <f aca="false">IF(A417="","",IF(A417&lt;FY_START,0,(YEAR(A417)-YEAR(FY_START))*12+MONTH(A417)-MONTH(FY_START)+1))</f>
        <v/>
      </c>
      <c r="N417" s="40" t="str">
        <f aca="false">IF(A417="","",IF(AND(A417&gt;=VP_START,A417&lt;=VP_END),1,0))</f>
        <v/>
      </c>
    </row>
    <row r="418" customFormat="false" ht="15" hidden="false" customHeight="false" outlineLevel="0" collapsed="false">
      <c r="A418" s="37"/>
      <c r="B418" s="36"/>
      <c r="C418" s="36"/>
      <c r="D418" s="36"/>
      <c r="E418" s="38"/>
      <c r="F418" s="36"/>
      <c r="G418" s="39" t="str">
        <f aca="false">IF(E418="","",IF(F418="Standard 5%",E418*VAT_RATE,0))</f>
        <v/>
      </c>
      <c r="H418" s="36"/>
      <c r="I418" s="39" t="str">
        <f aca="false">IF(E418="","",IF(AND(H418="Yes",F418="Standard 5%"),G418,0))</f>
        <v/>
      </c>
      <c r="J418" s="39" t="str">
        <f aca="false">IF(E418="","",E418+G418)</f>
        <v/>
      </c>
      <c r="K418" s="36"/>
      <c r="L418" s="36"/>
      <c r="M418" s="40" t="str">
        <f aca="false">IF(A418="","",IF(A418&lt;FY_START,0,(YEAR(A418)-YEAR(FY_START))*12+MONTH(A418)-MONTH(FY_START)+1))</f>
        <v/>
      </c>
      <c r="N418" s="40" t="str">
        <f aca="false">IF(A418="","",IF(AND(A418&gt;=VP_START,A418&lt;=VP_END),1,0))</f>
        <v/>
      </c>
    </row>
    <row r="419" customFormat="false" ht="15" hidden="false" customHeight="false" outlineLevel="0" collapsed="false">
      <c r="A419" s="37"/>
      <c r="B419" s="36"/>
      <c r="C419" s="36"/>
      <c r="D419" s="36"/>
      <c r="E419" s="38"/>
      <c r="F419" s="36"/>
      <c r="G419" s="39" t="str">
        <f aca="false">IF(E419="","",IF(F419="Standard 5%",E419*VAT_RATE,0))</f>
        <v/>
      </c>
      <c r="H419" s="36"/>
      <c r="I419" s="39" t="str">
        <f aca="false">IF(E419="","",IF(AND(H419="Yes",F419="Standard 5%"),G419,0))</f>
        <v/>
      </c>
      <c r="J419" s="39" t="str">
        <f aca="false">IF(E419="","",E419+G419)</f>
        <v/>
      </c>
      <c r="K419" s="36"/>
      <c r="L419" s="36"/>
      <c r="M419" s="40" t="str">
        <f aca="false">IF(A419="","",IF(A419&lt;FY_START,0,(YEAR(A419)-YEAR(FY_START))*12+MONTH(A419)-MONTH(FY_START)+1))</f>
        <v/>
      </c>
      <c r="N419" s="40" t="str">
        <f aca="false">IF(A419="","",IF(AND(A419&gt;=VP_START,A419&lt;=VP_END),1,0))</f>
        <v/>
      </c>
    </row>
    <row r="420" customFormat="false" ht="15" hidden="false" customHeight="false" outlineLevel="0" collapsed="false">
      <c r="A420" s="37"/>
      <c r="B420" s="36"/>
      <c r="C420" s="36"/>
      <c r="D420" s="36"/>
      <c r="E420" s="38"/>
      <c r="F420" s="36"/>
      <c r="G420" s="39" t="str">
        <f aca="false">IF(E420="","",IF(F420="Standard 5%",E420*VAT_RATE,0))</f>
        <v/>
      </c>
      <c r="H420" s="36"/>
      <c r="I420" s="39" t="str">
        <f aca="false">IF(E420="","",IF(AND(H420="Yes",F420="Standard 5%"),G420,0))</f>
        <v/>
      </c>
      <c r="J420" s="39" t="str">
        <f aca="false">IF(E420="","",E420+G420)</f>
        <v/>
      </c>
      <c r="K420" s="36"/>
      <c r="L420" s="36"/>
      <c r="M420" s="40" t="str">
        <f aca="false">IF(A420="","",IF(A420&lt;FY_START,0,(YEAR(A420)-YEAR(FY_START))*12+MONTH(A420)-MONTH(FY_START)+1))</f>
        <v/>
      </c>
      <c r="N420" s="40" t="str">
        <f aca="false">IF(A420="","",IF(AND(A420&gt;=VP_START,A420&lt;=VP_END),1,0))</f>
        <v/>
      </c>
    </row>
    <row r="421" customFormat="false" ht="15" hidden="false" customHeight="false" outlineLevel="0" collapsed="false">
      <c r="A421" s="37"/>
      <c r="B421" s="36"/>
      <c r="C421" s="36"/>
      <c r="D421" s="36"/>
      <c r="E421" s="38"/>
      <c r="F421" s="36"/>
      <c r="G421" s="39" t="str">
        <f aca="false">IF(E421="","",IF(F421="Standard 5%",E421*VAT_RATE,0))</f>
        <v/>
      </c>
      <c r="H421" s="36"/>
      <c r="I421" s="39" t="str">
        <f aca="false">IF(E421="","",IF(AND(H421="Yes",F421="Standard 5%"),G421,0))</f>
        <v/>
      </c>
      <c r="J421" s="39" t="str">
        <f aca="false">IF(E421="","",E421+G421)</f>
        <v/>
      </c>
      <c r="K421" s="36"/>
      <c r="L421" s="36"/>
      <c r="M421" s="40" t="str">
        <f aca="false">IF(A421="","",IF(A421&lt;FY_START,0,(YEAR(A421)-YEAR(FY_START))*12+MONTH(A421)-MONTH(FY_START)+1))</f>
        <v/>
      </c>
      <c r="N421" s="40" t="str">
        <f aca="false">IF(A421="","",IF(AND(A421&gt;=VP_START,A421&lt;=VP_END),1,0))</f>
        <v/>
      </c>
    </row>
    <row r="422" customFormat="false" ht="15" hidden="false" customHeight="false" outlineLevel="0" collapsed="false">
      <c r="A422" s="37"/>
      <c r="B422" s="36"/>
      <c r="C422" s="36"/>
      <c r="D422" s="36"/>
      <c r="E422" s="38"/>
      <c r="F422" s="36"/>
      <c r="G422" s="39" t="str">
        <f aca="false">IF(E422="","",IF(F422="Standard 5%",E422*VAT_RATE,0))</f>
        <v/>
      </c>
      <c r="H422" s="36"/>
      <c r="I422" s="39" t="str">
        <f aca="false">IF(E422="","",IF(AND(H422="Yes",F422="Standard 5%"),G422,0))</f>
        <v/>
      </c>
      <c r="J422" s="39" t="str">
        <f aca="false">IF(E422="","",E422+G422)</f>
        <v/>
      </c>
      <c r="K422" s="36"/>
      <c r="L422" s="36"/>
      <c r="M422" s="40" t="str">
        <f aca="false">IF(A422="","",IF(A422&lt;FY_START,0,(YEAR(A422)-YEAR(FY_START))*12+MONTH(A422)-MONTH(FY_START)+1))</f>
        <v/>
      </c>
      <c r="N422" s="40" t="str">
        <f aca="false">IF(A422="","",IF(AND(A422&gt;=VP_START,A422&lt;=VP_END),1,0))</f>
        <v/>
      </c>
    </row>
    <row r="423" customFormat="false" ht="15" hidden="false" customHeight="false" outlineLevel="0" collapsed="false">
      <c r="A423" s="37"/>
      <c r="B423" s="36"/>
      <c r="C423" s="36"/>
      <c r="D423" s="36"/>
      <c r="E423" s="38"/>
      <c r="F423" s="36"/>
      <c r="G423" s="39" t="str">
        <f aca="false">IF(E423="","",IF(F423="Standard 5%",E423*VAT_RATE,0))</f>
        <v/>
      </c>
      <c r="H423" s="36"/>
      <c r="I423" s="39" t="str">
        <f aca="false">IF(E423="","",IF(AND(H423="Yes",F423="Standard 5%"),G423,0))</f>
        <v/>
      </c>
      <c r="J423" s="39" t="str">
        <f aca="false">IF(E423="","",E423+G423)</f>
        <v/>
      </c>
      <c r="K423" s="36"/>
      <c r="L423" s="36"/>
      <c r="M423" s="40" t="str">
        <f aca="false">IF(A423="","",IF(A423&lt;FY_START,0,(YEAR(A423)-YEAR(FY_START))*12+MONTH(A423)-MONTH(FY_START)+1))</f>
        <v/>
      </c>
      <c r="N423" s="40" t="str">
        <f aca="false">IF(A423="","",IF(AND(A423&gt;=VP_START,A423&lt;=VP_END),1,0))</f>
        <v/>
      </c>
    </row>
    <row r="424" customFormat="false" ht="15" hidden="false" customHeight="false" outlineLevel="0" collapsed="false">
      <c r="A424" s="37"/>
      <c r="B424" s="36"/>
      <c r="C424" s="36"/>
      <c r="D424" s="36"/>
      <c r="E424" s="38"/>
      <c r="F424" s="36"/>
      <c r="G424" s="39" t="str">
        <f aca="false">IF(E424="","",IF(F424="Standard 5%",E424*VAT_RATE,0))</f>
        <v/>
      </c>
      <c r="H424" s="36"/>
      <c r="I424" s="39" t="str">
        <f aca="false">IF(E424="","",IF(AND(H424="Yes",F424="Standard 5%"),G424,0))</f>
        <v/>
      </c>
      <c r="J424" s="39" t="str">
        <f aca="false">IF(E424="","",E424+G424)</f>
        <v/>
      </c>
      <c r="K424" s="36"/>
      <c r="L424" s="36"/>
      <c r="M424" s="40" t="str">
        <f aca="false">IF(A424="","",IF(A424&lt;FY_START,0,(YEAR(A424)-YEAR(FY_START))*12+MONTH(A424)-MONTH(FY_START)+1))</f>
        <v/>
      </c>
      <c r="N424" s="40" t="str">
        <f aca="false">IF(A424="","",IF(AND(A424&gt;=VP_START,A424&lt;=VP_END),1,0))</f>
        <v/>
      </c>
    </row>
    <row r="425" customFormat="false" ht="15" hidden="false" customHeight="false" outlineLevel="0" collapsed="false">
      <c r="A425" s="37"/>
      <c r="B425" s="36"/>
      <c r="C425" s="36"/>
      <c r="D425" s="36"/>
      <c r="E425" s="38"/>
      <c r="F425" s="36"/>
      <c r="G425" s="39" t="str">
        <f aca="false">IF(E425="","",IF(F425="Standard 5%",E425*VAT_RATE,0))</f>
        <v/>
      </c>
      <c r="H425" s="36"/>
      <c r="I425" s="39" t="str">
        <f aca="false">IF(E425="","",IF(AND(H425="Yes",F425="Standard 5%"),G425,0))</f>
        <v/>
      </c>
      <c r="J425" s="39" t="str">
        <f aca="false">IF(E425="","",E425+G425)</f>
        <v/>
      </c>
      <c r="K425" s="36"/>
      <c r="L425" s="36"/>
      <c r="M425" s="40" t="str">
        <f aca="false">IF(A425="","",IF(A425&lt;FY_START,0,(YEAR(A425)-YEAR(FY_START))*12+MONTH(A425)-MONTH(FY_START)+1))</f>
        <v/>
      </c>
      <c r="N425" s="40" t="str">
        <f aca="false">IF(A425="","",IF(AND(A425&gt;=VP_START,A425&lt;=VP_END),1,0))</f>
        <v/>
      </c>
    </row>
    <row r="426" customFormat="false" ht="15" hidden="false" customHeight="false" outlineLevel="0" collapsed="false">
      <c r="A426" s="37"/>
      <c r="B426" s="36"/>
      <c r="C426" s="36"/>
      <c r="D426" s="36"/>
      <c r="E426" s="38"/>
      <c r="F426" s="36"/>
      <c r="G426" s="39" t="str">
        <f aca="false">IF(E426="","",IF(F426="Standard 5%",E426*VAT_RATE,0))</f>
        <v/>
      </c>
      <c r="H426" s="36"/>
      <c r="I426" s="39" t="str">
        <f aca="false">IF(E426="","",IF(AND(H426="Yes",F426="Standard 5%"),G426,0))</f>
        <v/>
      </c>
      <c r="J426" s="39" t="str">
        <f aca="false">IF(E426="","",E426+G426)</f>
        <v/>
      </c>
      <c r="K426" s="36"/>
      <c r="L426" s="36"/>
      <c r="M426" s="40" t="str">
        <f aca="false">IF(A426="","",IF(A426&lt;FY_START,0,(YEAR(A426)-YEAR(FY_START))*12+MONTH(A426)-MONTH(FY_START)+1))</f>
        <v/>
      </c>
      <c r="N426" s="40" t="str">
        <f aca="false">IF(A426="","",IF(AND(A426&gt;=VP_START,A426&lt;=VP_END),1,0))</f>
        <v/>
      </c>
    </row>
    <row r="427" customFormat="false" ht="15" hidden="false" customHeight="false" outlineLevel="0" collapsed="false">
      <c r="A427" s="37"/>
      <c r="B427" s="36"/>
      <c r="C427" s="36"/>
      <c r="D427" s="36"/>
      <c r="E427" s="38"/>
      <c r="F427" s="36"/>
      <c r="G427" s="39" t="str">
        <f aca="false">IF(E427="","",IF(F427="Standard 5%",E427*VAT_RATE,0))</f>
        <v/>
      </c>
      <c r="H427" s="36"/>
      <c r="I427" s="39" t="str">
        <f aca="false">IF(E427="","",IF(AND(H427="Yes",F427="Standard 5%"),G427,0))</f>
        <v/>
      </c>
      <c r="J427" s="39" t="str">
        <f aca="false">IF(E427="","",E427+G427)</f>
        <v/>
      </c>
      <c r="K427" s="36"/>
      <c r="L427" s="36"/>
      <c r="M427" s="40" t="str">
        <f aca="false">IF(A427="","",IF(A427&lt;FY_START,0,(YEAR(A427)-YEAR(FY_START))*12+MONTH(A427)-MONTH(FY_START)+1))</f>
        <v/>
      </c>
      <c r="N427" s="40" t="str">
        <f aca="false">IF(A427="","",IF(AND(A427&gt;=VP_START,A427&lt;=VP_END),1,0))</f>
        <v/>
      </c>
    </row>
    <row r="428" customFormat="false" ht="15" hidden="false" customHeight="false" outlineLevel="0" collapsed="false">
      <c r="A428" s="37"/>
      <c r="B428" s="36"/>
      <c r="C428" s="36"/>
      <c r="D428" s="36"/>
      <c r="E428" s="38"/>
      <c r="F428" s="36"/>
      <c r="G428" s="39" t="str">
        <f aca="false">IF(E428="","",IF(F428="Standard 5%",E428*VAT_RATE,0))</f>
        <v/>
      </c>
      <c r="H428" s="36"/>
      <c r="I428" s="39" t="str">
        <f aca="false">IF(E428="","",IF(AND(H428="Yes",F428="Standard 5%"),G428,0))</f>
        <v/>
      </c>
      <c r="J428" s="39" t="str">
        <f aca="false">IF(E428="","",E428+G428)</f>
        <v/>
      </c>
      <c r="K428" s="36"/>
      <c r="L428" s="36"/>
      <c r="M428" s="40" t="str">
        <f aca="false">IF(A428="","",IF(A428&lt;FY_START,0,(YEAR(A428)-YEAR(FY_START))*12+MONTH(A428)-MONTH(FY_START)+1))</f>
        <v/>
      </c>
      <c r="N428" s="40" t="str">
        <f aca="false">IF(A428="","",IF(AND(A428&gt;=VP_START,A428&lt;=VP_END),1,0))</f>
        <v/>
      </c>
    </row>
    <row r="429" customFormat="false" ht="15" hidden="false" customHeight="false" outlineLevel="0" collapsed="false">
      <c r="A429" s="37"/>
      <c r="B429" s="36"/>
      <c r="C429" s="36"/>
      <c r="D429" s="36"/>
      <c r="E429" s="38"/>
      <c r="F429" s="36"/>
      <c r="G429" s="39" t="str">
        <f aca="false">IF(E429="","",IF(F429="Standard 5%",E429*VAT_RATE,0))</f>
        <v/>
      </c>
      <c r="H429" s="36"/>
      <c r="I429" s="39" t="str">
        <f aca="false">IF(E429="","",IF(AND(H429="Yes",F429="Standard 5%"),G429,0))</f>
        <v/>
      </c>
      <c r="J429" s="39" t="str">
        <f aca="false">IF(E429="","",E429+G429)</f>
        <v/>
      </c>
      <c r="K429" s="36"/>
      <c r="L429" s="36"/>
      <c r="M429" s="40" t="str">
        <f aca="false">IF(A429="","",IF(A429&lt;FY_START,0,(YEAR(A429)-YEAR(FY_START))*12+MONTH(A429)-MONTH(FY_START)+1))</f>
        <v/>
      </c>
      <c r="N429" s="40" t="str">
        <f aca="false">IF(A429="","",IF(AND(A429&gt;=VP_START,A429&lt;=VP_END),1,0))</f>
        <v/>
      </c>
    </row>
    <row r="430" customFormat="false" ht="15" hidden="false" customHeight="false" outlineLevel="0" collapsed="false">
      <c r="A430" s="37"/>
      <c r="B430" s="36"/>
      <c r="C430" s="36"/>
      <c r="D430" s="36"/>
      <c r="E430" s="38"/>
      <c r="F430" s="36"/>
      <c r="G430" s="39" t="str">
        <f aca="false">IF(E430="","",IF(F430="Standard 5%",E430*VAT_RATE,0))</f>
        <v/>
      </c>
      <c r="H430" s="36"/>
      <c r="I430" s="39" t="str">
        <f aca="false">IF(E430="","",IF(AND(H430="Yes",F430="Standard 5%"),G430,0))</f>
        <v/>
      </c>
      <c r="J430" s="39" t="str">
        <f aca="false">IF(E430="","",E430+G430)</f>
        <v/>
      </c>
      <c r="K430" s="36"/>
      <c r="L430" s="36"/>
      <c r="M430" s="40" t="str">
        <f aca="false">IF(A430="","",IF(A430&lt;FY_START,0,(YEAR(A430)-YEAR(FY_START))*12+MONTH(A430)-MONTH(FY_START)+1))</f>
        <v/>
      </c>
      <c r="N430" s="40" t="str">
        <f aca="false">IF(A430="","",IF(AND(A430&gt;=VP_START,A430&lt;=VP_END),1,0))</f>
        <v/>
      </c>
    </row>
    <row r="431" customFormat="false" ht="15" hidden="false" customHeight="false" outlineLevel="0" collapsed="false">
      <c r="A431" s="37"/>
      <c r="B431" s="36"/>
      <c r="C431" s="36"/>
      <c r="D431" s="36"/>
      <c r="E431" s="38"/>
      <c r="F431" s="36"/>
      <c r="G431" s="39" t="str">
        <f aca="false">IF(E431="","",IF(F431="Standard 5%",E431*VAT_RATE,0))</f>
        <v/>
      </c>
      <c r="H431" s="36"/>
      <c r="I431" s="39" t="str">
        <f aca="false">IF(E431="","",IF(AND(H431="Yes",F431="Standard 5%"),G431,0))</f>
        <v/>
      </c>
      <c r="J431" s="39" t="str">
        <f aca="false">IF(E431="","",E431+G431)</f>
        <v/>
      </c>
      <c r="K431" s="36"/>
      <c r="L431" s="36"/>
      <c r="M431" s="40" t="str">
        <f aca="false">IF(A431="","",IF(A431&lt;FY_START,0,(YEAR(A431)-YEAR(FY_START))*12+MONTH(A431)-MONTH(FY_START)+1))</f>
        <v/>
      </c>
      <c r="N431" s="40" t="str">
        <f aca="false">IF(A431="","",IF(AND(A431&gt;=VP_START,A431&lt;=VP_END),1,0))</f>
        <v/>
      </c>
    </row>
    <row r="432" customFormat="false" ht="15" hidden="false" customHeight="false" outlineLevel="0" collapsed="false">
      <c r="A432" s="37"/>
      <c r="B432" s="36"/>
      <c r="C432" s="36"/>
      <c r="D432" s="36"/>
      <c r="E432" s="38"/>
      <c r="F432" s="36"/>
      <c r="G432" s="39" t="str">
        <f aca="false">IF(E432="","",IF(F432="Standard 5%",E432*VAT_RATE,0))</f>
        <v/>
      </c>
      <c r="H432" s="36"/>
      <c r="I432" s="39" t="str">
        <f aca="false">IF(E432="","",IF(AND(H432="Yes",F432="Standard 5%"),G432,0))</f>
        <v/>
      </c>
      <c r="J432" s="39" t="str">
        <f aca="false">IF(E432="","",E432+G432)</f>
        <v/>
      </c>
      <c r="K432" s="36"/>
      <c r="L432" s="36"/>
      <c r="M432" s="40" t="str">
        <f aca="false">IF(A432="","",IF(A432&lt;FY_START,0,(YEAR(A432)-YEAR(FY_START))*12+MONTH(A432)-MONTH(FY_START)+1))</f>
        <v/>
      </c>
      <c r="N432" s="40" t="str">
        <f aca="false">IF(A432="","",IF(AND(A432&gt;=VP_START,A432&lt;=VP_END),1,0))</f>
        <v/>
      </c>
    </row>
    <row r="433" customFormat="false" ht="15" hidden="false" customHeight="false" outlineLevel="0" collapsed="false">
      <c r="A433" s="37"/>
      <c r="B433" s="36"/>
      <c r="C433" s="36"/>
      <c r="D433" s="36"/>
      <c r="E433" s="38"/>
      <c r="F433" s="36"/>
      <c r="G433" s="39" t="str">
        <f aca="false">IF(E433="","",IF(F433="Standard 5%",E433*VAT_RATE,0))</f>
        <v/>
      </c>
      <c r="H433" s="36"/>
      <c r="I433" s="39" t="str">
        <f aca="false">IF(E433="","",IF(AND(H433="Yes",F433="Standard 5%"),G433,0))</f>
        <v/>
      </c>
      <c r="J433" s="39" t="str">
        <f aca="false">IF(E433="","",E433+G433)</f>
        <v/>
      </c>
      <c r="K433" s="36"/>
      <c r="L433" s="36"/>
      <c r="M433" s="40" t="str">
        <f aca="false">IF(A433="","",IF(A433&lt;FY_START,0,(YEAR(A433)-YEAR(FY_START))*12+MONTH(A433)-MONTH(FY_START)+1))</f>
        <v/>
      </c>
      <c r="N433" s="40" t="str">
        <f aca="false">IF(A433="","",IF(AND(A433&gt;=VP_START,A433&lt;=VP_END),1,0))</f>
        <v/>
      </c>
    </row>
    <row r="434" customFormat="false" ht="15" hidden="false" customHeight="false" outlineLevel="0" collapsed="false">
      <c r="A434" s="37"/>
      <c r="B434" s="36"/>
      <c r="C434" s="36"/>
      <c r="D434" s="36"/>
      <c r="E434" s="38"/>
      <c r="F434" s="36"/>
      <c r="G434" s="39" t="str">
        <f aca="false">IF(E434="","",IF(F434="Standard 5%",E434*VAT_RATE,0))</f>
        <v/>
      </c>
      <c r="H434" s="36"/>
      <c r="I434" s="39" t="str">
        <f aca="false">IF(E434="","",IF(AND(H434="Yes",F434="Standard 5%"),G434,0))</f>
        <v/>
      </c>
      <c r="J434" s="39" t="str">
        <f aca="false">IF(E434="","",E434+G434)</f>
        <v/>
      </c>
      <c r="K434" s="36"/>
      <c r="L434" s="36"/>
      <c r="M434" s="40" t="str">
        <f aca="false">IF(A434="","",IF(A434&lt;FY_START,0,(YEAR(A434)-YEAR(FY_START))*12+MONTH(A434)-MONTH(FY_START)+1))</f>
        <v/>
      </c>
      <c r="N434" s="40" t="str">
        <f aca="false">IF(A434="","",IF(AND(A434&gt;=VP_START,A434&lt;=VP_END),1,0))</f>
        <v/>
      </c>
    </row>
    <row r="435" customFormat="false" ht="15" hidden="false" customHeight="false" outlineLevel="0" collapsed="false">
      <c r="A435" s="37"/>
      <c r="B435" s="36"/>
      <c r="C435" s="36"/>
      <c r="D435" s="36"/>
      <c r="E435" s="38"/>
      <c r="F435" s="36"/>
      <c r="G435" s="39" t="str">
        <f aca="false">IF(E435="","",IF(F435="Standard 5%",E435*VAT_RATE,0))</f>
        <v/>
      </c>
      <c r="H435" s="36"/>
      <c r="I435" s="39" t="str">
        <f aca="false">IF(E435="","",IF(AND(H435="Yes",F435="Standard 5%"),G435,0))</f>
        <v/>
      </c>
      <c r="J435" s="39" t="str">
        <f aca="false">IF(E435="","",E435+G435)</f>
        <v/>
      </c>
      <c r="K435" s="36"/>
      <c r="L435" s="36"/>
      <c r="M435" s="40" t="str">
        <f aca="false">IF(A435="","",IF(A435&lt;FY_START,0,(YEAR(A435)-YEAR(FY_START))*12+MONTH(A435)-MONTH(FY_START)+1))</f>
        <v/>
      </c>
      <c r="N435" s="40" t="str">
        <f aca="false">IF(A435="","",IF(AND(A435&gt;=VP_START,A435&lt;=VP_END),1,0))</f>
        <v/>
      </c>
    </row>
    <row r="436" customFormat="false" ht="15" hidden="false" customHeight="false" outlineLevel="0" collapsed="false">
      <c r="A436" s="37"/>
      <c r="B436" s="36"/>
      <c r="C436" s="36"/>
      <c r="D436" s="36"/>
      <c r="E436" s="38"/>
      <c r="F436" s="36"/>
      <c r="G436" s="39" t="str">
        <f aca="false">IF(E436="","",IF(F436="Standard 5%",E436*VAT_RATE,0))</f>
        <v/>
      </c>
      <c r="H436" s="36"/>
      <c r="I436" s="39" t="str">
        <f aca="false">IF(E436="","",IF(AND(H436="Yes",F436="Standard 5%"),G436,0))</f>
        <v/>
      </c>
      <c r="J436" s="39" t="str">
        <f aca="false">IF(E436="","",E436+G436)</f>
        <v/>
      </c>
      <c r="K436" s="36"/>
      <c r="L436" s="36"/>
      <c r="M436" s="40" t="str">
        <f aca="false">IF(A436="","",IF(A436&lt;FY_START,0,(YEAR(A436)-YEAR(FY_START))*12+MONTH(A436)-MONTH(FY_START)+1))</f>
        <v/>
      </c>
      <c r="N436" s="40" t="str">
        <f aca="false">IF(A436="","",IF(AND(A436&gt;=VP_START,A436&lt;=VP_END),1,0))</f>
        <v/>
      </c>
    </row>
    <row r="437" customFormat="false" ht="15" hidden="false" customHeight="false" outlineLevel="0" collapsed="false">
      <c r="A437" s="37"/>
      <c r="B437" s="36"/>
      <c r="C437" s="36"/>
      <c r="D437" s="36"/>
      <c r="E437" s="38"/>
      <c r="F437" s="36"/>
      <c r="G437" s="39" t="str">
        <f aca="false">IF(E437="","",IF(F437="Standard 5%",E437*VAT_RATE,0))</f>
        <v/>
      </c>
      <c r="H437" s="36"/>
      <c r="I437" s="39" t="str">
        <f aca="false">IF(E437="","",IF(AND(H437="Yes",F437="Standard 5%"),G437,0))</f>
        <v/>
      </c>
      <c r="J437" s="39" t="str">
        <f aca="false">IF(E437="","",E437+G437)</f>
        <v/>
      </c>
      <c r="K437" s="36"/>
      <c r="L437" s="36"/>
      <c r="M437" s="40" t="str">
        <f aca="false">IF(A437="","",IF(A437&lt;FY_START,0,(YEAR(A437)-YEAR(FY_START))*12+MONTH(A437)-MONTH(FY_START)+1))</f>
        <v/>
      </c>
      <c r="N437" s="40" t="str">
        <f aca="false">IF(A437="","",IF(AND(A437&gt;=VP_START,A437&lt;=VP_END),1,0))</f>
        <v/>
      </c>
    </row>
    <row r="438" customFormat="false" ht="15" hidden="false" customHeight="false" outlineLevel="0" collapsed="false">
      <c r="A438" s="37"/>
      <c r="B438" s="36"/>
      <c r="C438" s="36"/>
      <c r="D438" s="36"/>
      <c r="E438" s="38"/>
      <c r="F438" s="36"/>
      <c r="G438" s="39" t="str">
        <f aca="false">IF(E438="","",IF(F438="Standard 5%",E438*VAT_RATE,0))</f>
        <v/>
      </c>
      <c r="H438" s="36"/>
      <c r="I438" s="39" t="str">
        <f aca="false">IF(E438="","",IF(AND(H438="Yes",F438="Standard 5%"),G438,0))</f>
        <v/>
      </c>
      <c r="J438" s="39" t="str">
        <f aca="false">IF(E438="","",E438+G438)</f>
        <v/>
      </c>
      <c r="K438" s="36"/>
      <c r="L438" s="36"/>
      <c r="M438" s="40" t="str">
        <f aca="false">IF(A438="","",IF(A438&lt;FY_START,0,(YEAR(A438)-YEAR(FY_START))*12+MONTH(A438)-MONTH(FY_START)+1))</f>
        <v/>
      </c>
      <c r="N438" s="40" t="str">
        <f aca="false">IF(A438="","",IF(AND(A438&gt;=VP_START,A438&lt;=VP_END),1,0))</f>
        <v/>
      </c>
    </row>
    <row r="439" customFormat="false" ht="15" hidden="false" customHeight="false" outlineLevel="0" collapsed="false">
      <c r="A439" s="37"/>
      <c r="B439" s="36"/>
      <c r="C439" s="36"/>
      <c r="D439" s="36"/>
      <c r="E439" s="38"/>
      <c r="F439" s="36"/>
      <c r="G439" s="39" t="str">
        <f aca="false">IF(E439="","",IF(F439="Standard 5%",E439*VAT_RATE,0))</f>
        <v/>
      </c>
      <c r="H439" s="36"/>
      <c r="I439" s="39" t="str">
        <f aca="false">IF(E439="","",IF(AND(H439="Yes",F439="Standard 5%"),G439,0))</f>
        <v/>
      </c>
      <c r="J439" s="39" t="str">
        <f aca="false">IF(E439="","",E439+G439)</f>
        <v/>
      </c>
      <c r="K439" s="36"/>
      <c r="L439" s="36"/>
      <c r="M439" s="40" t="str">
        <f aca="false">IF(A439="","",IF(A439&lt;FY_START,0,(YEAR(A439)-YEAR(FY_START))*12+MONTH(A439)-MONTH(FY_START)+1))</f>
        <v/>
      </c>
      <c r="N439" s="40" t="str">
        <f aca="false">IF(A439="","",IF(AND(A439&gt;=VP_START,A439&lt;=VP_END),1,0))</f>
        <v/>
      </c>
    </row>
    <row r="440" customFormat="false" ht="15" hidden="false" customHeight="false" outlineLevel="0" collapsed="false">
      <c r="A440" s="37"/>
      <c r="B440" s="36"/>
      <c r="C440" s="36"/>
      <c r="D440" s="36"/>
      <c r="E440" s="38"/>
      <c r="F440" s="36"/>
      <c r="G440" s="39" t="str">
        <f aca="false">IF(E440="","",IF(F440="Standard 5%",E440*VAT_RATE,0))</f>
        <v/>
      </c>
      <c r="H440" s="36"/>
      <c r="I440" s="39" t="str">
        <f aca="false">IF(E440="","",IF(AND(H440="Yes",F440="Standard 5%"),G440,0))</f>
        <v/>
      </c>
      <c r="J440" s="39" t="str">
        <f aca="false">IF(E440="","",E440+G440)</f>
        <v/>
      </c>
      <c r="K440" s="36"/>
      <c r="L440" s="36"/>
      <c r="M440" s="40" t="str">
        <f aca="false">IF(A440="","",IF(A440&lt;FY_START,0,(YEAR(A440)-YEAR(FY_START))*12+MONTH(A440)-MONTH(FY_START)+1))</f>
        <v/>
      </c>
      <c r="N440" s="40" t="str">
        <f aca="false">IF(A440="","",IF(AND(A440&gt;=VP_START,A440&lt;=VP_END),1,0))</f>
        <v/>
      </c>
    </row>
    <row r="441" customFormat="false" ht="15" hidden="false" customHeight="false" outlineLevel="0" collapsed="false">
      <c r="A441" s="37"/>
      <c r="B441" s="36"/>
      <c r="C441" s="36"/>
      <c r="D441" s="36"/>
      <c r="E441" s="38"/>
      <c r="F441" s="36"/>
      <c r="G441" s="39" t="str">
        <f aca="false">IF(E441="","",IF(F441="Standard 5%",E441*VAT_RATE,0))</f>
        <v/>
      </c>
      <c r="H441" s="36"/>
      <c r="I441" s="39" t="str">
        <f aca="false">IF(E441="","",IF(AND(H441="Yes",F441="Standard 5%"),G441,0))</f>
        <v/>
      </c>
      <c r="J441" s="39" t="str">
        <f aca="false">IF(E441="","",E441+G441)</f>
        <v/>
      </c>
      <c r="K441" s="36"/>
      <c r="L441" s="36"/>
      <c r="M441" s="40" t="str">
        <f aca="false">IF(A441="","",IF(A441&lt;FY_START,0,(YEAR(A441)-YEAR(FY_START))*12+MONTH(A441)-MONTH(FY_START)+1))</f>
        <v/>
      </c>
      <c r="N441" s="40" t="str">
        <f aca="false">IF(A441="","",IF(AND(A441&gt;=VP_START,A441&lt;=VP_END),1,0))</f>
        <v/>
      </c>
    </row>
    <row r="442" customFormat="false" ht="15" hidden="false" customHeight="false" outlineLevel="0" collapsed="false">
      <c r="A442" s="37"/>
      <c r="B442" s="36"/>
      <c r="C442" s="36"/>
      <c r="D442" s="36"/>
      <c r="E442" s="38"/>
      <c r="F442" s="36"/>
      <c r="G442" s="39" t="str">
        <f aca="false">IF(E442="","",IF(F442="Standard 5%",E442*VAT_RATE,0))</f>
        <v/>
      </c>
      <c r="H442" s="36"/>
      <c r="I442" s="39" t="str">
        <f aca="false">IF(E442="","",IF(AND(H442="Yes",F442="Standard 5%"),G442,0))</f>
        <v/>
      </c>
      <c r="J442" s="39" t="str">
        <f aca="false">IF(E442="","",E442+G442)</f>
        <v/>
      </c>
      <c r="K442" s="36"/>
      <c r="L442" s="36"/>
      <c r="M442" s="40" t="str">
        <f aca="false">IF(A442="","",IF(A442&lt;FY_START,0,(YEAR(A442)-YEAR(FY_START))*12+MONTH(A442)-MONTH(FY_START)+1))</f>
        <v/>
      </c>
      <c r="N442" s="40" t="str">
        <f aca="false">IF(A442="","",IF(AND(A442&gt;=VP_START,A442&lt;=VP_END),1,0))</f>
        <v/>
      </c>
    </row>
    <row r="443" customFormat="false" ht="15" hidden="false" customHeight="false" outlineLevel="0" collapsed="false">
      <c r="A443" s="37"/>
      <c r="B443" s="36"/>
      <c r="C443" s="36"/>
      <c r="D443" s="36"/>
      <c r="E443" s="38"/>
      <c r="F443" s="36"/>
      <c r="G443" s="39" t="str">
        <f aca="false">IF(E443="","",IF(F443="Standard 5%",E443*VAT_RATE,0))</f>
        <v/>
      </c>
      <c r="H443" s="36"/>
      <c r="I443" s="39" t="str">
        <f aca="false">IF(E443="","",IF(AND(H443="Yes",F443="Standard 5%"),G443,0))</f>
        <v/>
      </c>
      <c r="J443" s="39" t="str">
        <f aca="false">IF(E443="","",E443+G443)</f>
        <v/>
      </c>
      <c r="K443" s="36"/>
      <c r="L443" s="36"/>
      <c r="M443" s="40" t="str">
        <f aca="false">IF(A443="","",IF(A443&lt;FY_START,0,(YEAR(A443)-YEAR(FY_START))*12+MONTH(A443)-MONTH(FY_START)+1))</f>
        <v/>
      </c>
      <c r="N443" s="40" t="str">
        <f aca="false">IF(A443="","",IF(AND(A443&gt;=VP_START,A443&lt;=VP_END),1,0))</f>
        <v/>
      </c>
    </row>
    <row r="444" customFormat="false" ht="15" hidden="false" customHeight="false" outlineLevel="0" collapsed="false">
      <c r="A444" s="37"/>
      <c r="B444" s="36"/>
      <c r="C444" s="36"/>
      <c r="D444" s="36"/>
      <c r="E444" s="38"/>
      <c r="F444" s="36"/>
      <c r="G444" s="39" t="str">
        <f aca="false">IF(E444="","",IF(F444="Standard 5%",E444*VAT_RATE,0))</f>
        <v/>
      </c>
      <c r="H444" s="36"/>
      <c r="I444" s="39" t="str">
        <f aca="false">IF(E444="","",IF(AND(H444="Yes",F444="Standard 5%"),G444,0))</f>
        <v/>
      </c>
      <c r="J444" s="39" t="str">
        <f aca="false">IF(E444="","",E444+G444)</f>
        <v/>
      </c>
      <c r="K444" s="36"/>
      <c r="L444" s="36"/>
      <c r="M444" s="40" t="str">
        <f aca="false">IF(A444="","",IF(A444&lt;FY_START,0,(YEAR(A444)-YEAR(FY_START))*12+MONTH(A444)-MONTH(FY_START)+1))</f>
        <v/>
      </c>
      <c r="N444" s="40" t="str">
        <f aca="false">IF(A444="","",IF(AND(A444&gt;=VP_START,A444&lt;=VP_END),1,0))</f>
        <v/>
      </c>
    </row>
    <row r="445" customFormat="false" ht="15" hidden="false" customHeight="false" outlineLevel="0" collapsed="false">
      <c r="A445" s="37"/>
      <c r="B445" s="36"/>
      <c r="C445" s="36"/>
      <c r="D445" s="36"/>
      <c r="E445" s="38"/>
      <c r="F445" s="36"/>
      <c r="G445" s="39" t="str">
        <f aca="false">IF(E445="","",IF(F445="Standard 5%",E445*VAT_RATE,0))</f>
        <v/>
      </c>
      <c r="H445" s="36"/>
      <c r="I445" s="39" t="str">
        <f aca="false">IF(E445="","",IF(AND(H445="Yes",F445="Standard 5%"),G445,0))</f>
        <v/>
      </c>
      <c r="J445" s="39" t="str">
        <f aca="false">IF(E445="","",E445+G445)</f>
        <v/>
      </c>
      <c r="K445" s="36"/>
      <c r="L445" s="36"/>
      <c r="M445" s="40" t="str">
        <f aca="false">IF(A445="","",IF(A445&lt;FY_START,0,(YEAR(A445)-YEAR(FY_START))*12+MONTH(A445)-MONTH(FY_START)+1))</f>
        <v/>
      </c>
      <c r="N445" s="40" t="str">
        <f aca="false">IF(A445="","",IF(AND(A445&gt;=VP_START,A445&lt;=VP_END),1,0))</f>
        <v/>
      </c>
    </row>
    <row r="446" customFormat="false" ht="15" hidden="false" customHeight="false" outlineLevel="0" collapsed="false">
      <c r="A446" s="37"/>
      <c r="B446" s="36"/>
      <c r="C446" s="36"/>
      <c r="D446" s="36"/>
      <c r="E446" s="38"/>
      <c r="F446" s="36"/>
      <c r="G446" s="39" t="str">
        <f aca="false">IF(E446="","",IF(F446="Standard 5%",E446*VAT_RATE,0))</f>
        <v/>
      </c>
      <c r="H446" s="36"/>
      <c r="I446" s="39" t="str">
        <f aca="false">IF(E446="","",IF(AND(H446="Yes",F446="Standard 5%"),G446,0))</f>
        <v/>
      </c>
      <c r="J446" s="39" t="str">
        <f aca="false">IF(E446="","",E446+G446)</f>
        <v/>
      </c>
      <c r="K446" s="36"/>
      <c r="L446" s="36"/>
      <c r="M446" s="40" t="str">
        <f aca="false">IF(A446="","",IF(A446&lt;FY_START,0,(YEAR(A446)-YEAR(FY_START))*12+MONTH(A446)-MONTH(FY_START)+1))</f>
        <v/>
      </c>
      <c r="N446" s="40" t="str">
        <f aca="false">IF(A446="","",IF(AND(A446&gt;=VP_START,A446&lt;=VP_END),1,0))</f>
        <v/>
      </c>
    </row>
    <row r="447" customFormat="false" ht="15" hidden="false" customHeight="false" outlineLevel="0" collapsed="false">
      <c r="A447" s="37"/>
      <c r="B447" s="36"/>
      <c r="C447" s="36"/>
      <c r="D447" s="36"/>
      <c r="E447" s="38"/>
      <c r="F447" s="36"/>
      <c r="G447" s="39" t="str">
        <f aca="false">IF(E447="","",IF(F447="Standard 5%",E447*VAT_RATE,0))</f>
        <v/>
      </c>
      <c r="H447" s="36"/>
      <c r="I447" s="39" t="str">
        <f aca="false">IF(E447="","",IF(AND(H447="Yes",F447="Standard 5%"),G447,0))</f>
        <v/>
      </c>
      <c r="J447" s="39" t="str">
        <f aca="false">IF(E447="","",E447+G447)</f>
        <v/>
      </c>
      <c r="K447" s="36"/>
      <c r="L447" s="36"/>
      <c r="M447" s="40" t="str">
        <f aca="false">IF(A447="","",IF(A447&lt;FY_START,0,(YEAR(A447)-YEAR(FY_START))*12+MONTH(A447)-MONTH(FY_START)+1))</f>
        <v/>
      </c>
      <c r="N447" s="40" t="str">
        <f aca="false">IF(A447="","",IF(AND(A447&gt;=VP_START,A447&lt;=VP_END),1,0))</f>
        <v/>
      </c>
    </row>
    <row r="448" customFormat="false" ht="15" hidden="false" customHeight="false" outlineLevel="0" collapsed="false">
      <c r="A448" s="37"/>
      <c r="B448" s="36"/>
      <c r="C448" s="36"/>
      <c r="D448" s="36"/>
      <c r="E448" s="38"/>
      <c r="F448" s="36"/>
      <c r="G448" s="39" t="str">
        <f aca="false">IF(E448="","",IF(F448="Standard 5%",E448*VAT_RATE,0))</f>
        <v/>
      </c>
      <c r="H448" s="36"/>
      <c r="I448" s="39" t="str">
        <f aca="false">IF(E448="","",IF(AND(H448="Yes",F448="Standard 5%"),G448,0))</f>
        <v/>
      </c>
      <c r="J448" s="39" t="str">
        <f aca="false">IF(E448="","",E448+G448)</f>
        <v/>
      </c>
      <c r="K448" s="36"/>
      <c r="L448" s="36"/>
      <c r="M448" s="40" t="str">
        <f aca="false">IF(A448="","",IF(A448&lt;FY_START,0,(YEAR(A448)-YEAR(FY_START))*12+MONTH(A448)-MONTH(FY_START)+1))</f>
        <v/>
      </c>
      <c r="N448" s="40" t="str">
        <f aca="false">IF(A448="","",IF(AND(A448&gt;=VP_START,A448&lt;=VP_END),1,0))</f>
        <v/>
      </c>
    </row>
    <row r="449" customFormat="false" ht="15" hidden="false" customHeight="false" outlineLevel="0" collapsed="false">
      <c r="A449" s="37"/>
      <c r="B449" s="36"/>
      <c r="C449" s="36"/>
      <c r="D449" s="36"/>
      <c r="E449" s="38"/>
      <c r="F449" s="36"/>
      <c r="G449" s="39" t="str">
        <f aca="false">IF(E449="","",IF(F449="Standard 5%",E449*VAT_RATE,0))</f>
        <v/>
      </c>
      <c r="H449" s="36"/>
      <c r="I449" s="39" t="str">
        <f aca="false">IF(E449="","",IF(AND(H449="Yes",F449="Standard 5%"),G449,0))</f>
        <v/>
      </c>
      <c r="J449" s="39" t="str">
        <f aca="false">IF(E449="","",E449+G449)</f>
        <v/>
      </c>
      <c r="K449" s="36"/>
      <c r="L449" s="36"/>
      <c r="M449" s="40" t="str">
        <f aca="false">IF(A449="","",IF(A449&lt;FY_START,0,(YEAR(A449)-YEAR(FY_START))*12+MONTH(A449)-MONTH(FY_START)+1))</f>
        <v/>
      </c>
      <c r="N449" s="40" t="str">
        <f aca="false">IF(A449="","",IF(AND(A449&gt;=VP_START,A449&lt;=VP_END),1,0))</f>
        <v/>
      </c>
    </row>
    <row r="450" customFormat="false" ht="15" hidden="false" customHeight="false" outlineLevel="0" collapsed="false">
      <c r="A450" s="37"/>
      <c r="B450" s="36"/>
      <c r="C450" s="36"/>
      <c r="D450" s="36"/>
      <c r="E450" s="38"/>
      <c r="F450" s="36"/>
      <c r="G450" s="39" t="str">
        <f aca="false">IF(E450="","",IF(F450="Standard 5%",E450*VAT_RATE,0))</f>
        <v/>
      </c>
      <c r="H450" s="36"/>
      <c r="I450" s="39" t="str">
        <f aca="false">IF(E450="","",IF(AND(H450="Yes",F450="Standard 5%"),G450,0))</f>
        <v/>
      </c>
      <c r="J450" s="39" t="str">
        <f aca="false">IF(E450="","",E450+G450)</f>
        <v/>
      </c>
      <c r="K450" s="36"/>
      <c r="L450" s="36"/>
      <c r="M450" s="40" t="str">
        <f aca="false">IF(A450="","",IF(A450&lt;FY_START,0,(YEAR(A450)-YEAR(FY_START))*12+MONTH(A450)-MONTH(FY_START)+1))</f>
        <v/>
      </c>
      <c r="N450" s="40" t="str">
        <f aca="false">IF(A450="","",IF(AND(A450&gt;=VP_START,A450&lt;=VP_END),1,0))</f>
        <v/>
      </c>
    </row>
    <row r="451" customFormat="false" ht="15" hidden="false" customHeight="false" outlineLevel="0" collapsed="false">
      <c r="A451" s="37"/>
      <c r="B451" s="36"/>
      <c r="C451" s="36"/>
      <c r="D451" s="36"/>
      <c r="E451" s="38"/>
      <c r="F451" s="36"/>
      <c r="G451" s="39" t="str">
        <f aca="false">IF(E451="","",IF(F451="Standard 5%",E451*VAT_RATE,0))</f>
        <v/>
      </c>
      <c r="H451" s="36"/>
      <c r="I451" s="39" t="str">
        <f aca="false">IF(E451="","",IF(AND(H451="Yes",F451="Standard 5%"),G451,0))</f>
        <v/>
      </c>
      <c r="J451" s="39" t="str">
        <f aca="false">IF(E451="","",E451+G451)</f>
        <v/>
      </c>
      <c r="K451" s="36"/>
      <c r="L451" s="36"/>
      <c r="M451" s="40" t="str">
        <f aca="false">IF(A451="","",IF(A451&lt;FY_START,0,(YEAR(A451)-YEAR(FY_START))*12+MONTH(A451)-MONTH(FY_START)+1))</f>
        <v/>
      </c>
      <c r="N451" s="40" t="str">
        <f aca="false">IF(A451="","",IF(AND(A451&gt;=VP_START,A451&lt;=VP_END),1,0))</f>
        <v/>
      </c>
    </row>
    <row r="452" customFormat="false" ht="15" hidden="false" customHeight="false" outlineLevel="0" collapsed="false">
      <c r="A452" s="37"/>
      <c r="B452" s="36"/>
      <c r="C452" s="36"/>
      <c r="D452" s="36"/>
      <c r="E452" s="38"/>
      <c r="F452" s="36"/>
      <c r="G452" s="39" t="str">
        <f aca="false">IF(E452="","",IF(F452="Standard 5%",E452*VAT_RATE,0))</f>
        <v/>
      </c>
      <c r="H452" s="36"/>
      <c r="I452" s="39" t="str">
        <f aca="false">IF(E452="","",IF(AND(H452="Yes",F452="Standard 5%"),G452,0))</f>
        <v/>
      </c>
      <c r="J452" s="39" t="str">
        <f aca="false">IF(E452="","",E452+G452)</f>
        <v/>
      </c>
      <c r="K452" s="36"/>
      <c r="L452" s="36"/>
      <c r="M452" s="40" t="str">
        <f aca="false">IF(A452="","",IF(A452&lt;FY_START,0,(YEAR(A452)-YEAR(FY_START))*12+MONTH(A452)-MONTH(FY_START)+1))</f>
        <v/>
      </c>
      <c r="N452" s="40" t="str">
        <f aca="false">IF(A452="","",IF(AND(A452&gt;=VP_START,A452&lt;=VP_END),1,0))</f>
        <v/>
      </c>
    </row>
    <row r="453" customFormat="false" ht="15" hidden="false" customHeight="false" outlineLevel="0" collapsed="false">
      <c r="A453" s="37"/>
      <c r="B453" s="36"/>
      <c r="C453" s="36"/>
      <c r="D453" s="36"/>
      <c r="E453" s="38"/>
      <c r="F453" s="36"/>
      <c r="G453" s="39" t="str">
        <f aca="false">IF(E453="","",IF(F453="Standard 5%",E453*VAT_RATE,0))</f>
        <v/>
      </c>
      <c r="H453" s="36"/>
      <c r="I453" s="39" t="str">
        <f aca="false">IF(E453="","",IF(AND(H453="Yes",F453="Standard 5%"),G453,0))</f>
        <v/>
      </c>
      <c r="J453" s="39" t="str">
        <f aca="false">IF(E453="","",E453+G453)</f>
        <v/>
      </c>
      <c r="K453" s="36"/>
      <c r="L453" s="36"/>
      <c r="M453" s="40" t="str">
        <f aca="false">IF(A453="","",IF(A453&lt;FY_START,0,(YEAR(A453)-YEAR(FY_START))*12+MONTH(A453)-MONTH(FY_START)+1))</f>
        <v/>
      </c>
      <c r="N453" s="40" t="str">
        <f aca="false">IF(A453="","",IF(AND(A453&gt;=VP_START,A453&lt;=VP_END),1,0))</f>
        <v/>
      </c>
    </row>
    <row r="454" customFormat="false" ht="15" hidden="false" customHeight="false" outlineLevel="0" collapsed="false">
      <c r="A454" s="37"/>
      <c r="B454" s="36"/>
      <c r="C454" s="36"/>
      <c r="D454" s="36"/>
      <c r="E454" s="38"/>
      <c r="F454" s="36"/>
      <c r="G454" s="39" t="str">
        <f aca="false">IF(E454="","",IF(F454="Standard 5%",E454*VAT_RATE,0))</f>
        <v/>
      </c>
      <c r="H454" s="36"/>
      <c r="I454" s="39" t="str">
        <f aca="false">IF(E454="","",IF(AND(H454="Yes",F454="Standard 5%"),G454,0))</f>
        <v/>
      </c>
      <c r="J454" s="39" t="str">
        <f aca="false">IF(E454="","",E454+G454)</f>
        <v/>
      </c>
      <c r="K454" s="36"/>
      <c r="L454" s="36"/>
      <c r="M454" s="40" t="str">
        <f aca="false">IF(A454="","",IF(A454&lt;FY_START,0,(YEAR(A454)-YEAR(FY_START))*12+MONTH(A454)-MONTH(FY_START)+1))</f>
        <v/>
      </c>
      <c r="N454" s="40" t="str">
        <f aca="false">IF(A454="","",IF(AND(A454&gt;=VP_START,A454&lt;=VP_END),1,0))</f>
        <v/>
      </c>
    </row>
    <row r="455" customFormat="false" ht="15" hidden="false" customHeight="false" outlineLevel="0" collapsed="false">
      <c r="A455" s="37"/>
      <c r="B455" s="36"/>
      <c r="C455" s="36"/>
      <c r="D455" s="36"/>
      <c r="E455" s="38"/>
      <c r="F455" s="36"/>
      <c r="G455" s="39" t="str">
        <f aca="false">IF(E455="","",IF(F455="Standard 5%",E455*VAT_RATE,0))</f>
        <v/>
      </c>
      <c r="H455" s="36"/>
      <c r="I455" s="39" t="str">
        <f aca="false">IF(E455="","",IF(AND(H455="Yes",F455="Standard 5%"),G455,0))</f>
        <v/>
      </c>
      <c r="J455" s="39" t="str">
        <f aca="false">IF(E455="","",E455+G455)</f>
        <v/>
      </c>
      <c r="K455" s="36"/>
      <c r="L455" s="36"/>
      <c r="M455" s="40" t="str">
        <f aca="false">IF(A455="","",IF(A455&lt;FY_START,0,(YEAR(A455)-YEAR(FY_START))*12+MONTH(A455)-MONTH(FY_START)+1))</f>
        <v/>
      </c>
      <c r="N455" s="40" t="str">
        <f aca="false">IF(A455="","",IF(AND(A455&gt;=VP_START,A455&lt;=VP_END),1,0))</f>
        <v/>
      </c>
    </row>
    <row r="456" customFormat="false" ht="15" hidden="false" customHeight="false" outlineLevel="0" collapsed="false">
      <c r="A456" s="37"/>
      <c r="B456" s="36"/>
      <c r="C456" s="36"/>
      <c r="D456" s="36"/>
      <c r="E456" s="38"/>
      <c r="F456" s="36"/>
      <c r="G456" s="39" t="str">
        <f aca="false">IF(E456="","",IF(F456="Standard 5%",E456*VAT_RATE,0))</f>
        <v/>
      </c>
      <c r="H456" s="36"/>
      <c r="I456" s="39" t="str">
        <f aca="false">IF(E456="","",IF(AND(H456="Yes",F456="Standard 5%"),G456,0))</f>
        <v/>
      </c>
      <c r="J456" s="39" t="str">
        <f aca="false">IF(E456="","",E456+G456)</f>
        <v/>
      </c>
      <c r="K456" s="36"/>
      <c r="L456" s="36"/>
      <c r="M456" s="40" t="str">
        <f aca="false">IF(A456="","",IF(A456&lt;FY_START,0,(YEAR(A456)-YEAR(FY_START))*12+MONTH(A456)-MONTH(FY_START)+1))</f>
        <v/>
      </c>
      <c r="N456" s="40" t="str">
        <f aca="false">IF(A456="","",IF(AND(A456&gt;=VP_START,A456&lt;=VP_END),1,0))</f>
        <v/>
      </c>
    </row>
    <row r="457" customFormat="false" ht="15" hidden="false" customHeight="false" outlineLevel="0" collapsed="false">
      <c r="A457" s="37"/>
      <c r="B457" s="36"/>
      <c r="C457" s="36"/>
      <c r="D457" s="36"/>
      <c r="E457" s="38"/>
      <c r="F457" s="36"/>
      <c r="G457" s="39" t="str">
        <f aca="false">IF(E457="","",IF(F457="Standard 5%",E457*VAT_RATE,0))</f>
        <v/>
      </c>
      <c r="H457" s="36"/>
      <c r="I457" s="39" t="str">
        <f aca="false">IF(E457="","",IF(AND(H457="Yes",F457="Standard 5%"),G457,0))</f>
        <v/>
      </c>
      <c r="J457" s="39" t="str">
        <f aca="false">IF(E457="","",E457+G457)</f>
        <v/>
      </c>
      <c r="K457" s="36"/>
      <c r="L457" s="36"/>
      <c r="M457" s="40" t="str">
        <f aca="false">IF(A457="","",IF(A457&lt;FY_START,0,(YEAR(A457)-YEAR(FY_START))*12+MONTH(A457)-MONTH(FY_START)+1))</f>
        <v/>
      </c>
      <c r="N457" s="40" t="str">
        <f aca="false">IF(A457="","",IF(AND(A457&gt;=VP_START,A457&lt;=VP_END),1,0))</f>
        <v/>
      </c>
    </row>
    <row r="458" customFormat="false" ht="15" hidden="false" customHeight="false" outlineLevel="0" collapsed="false">
      <c r="A458" s="37"/>
      <c r="B458" s="36"/>
      <c r="C458" s="36"/>
      <c r="D458" s="36"/>
      <c r="E458" s="38"/>
      <c r="F458" s="36"/>
      <c r="G458" s="39" t="str">
        <f aca="false">IF(E458="","",IF(F458="Standard 5%",E458*VAT_RATE,0))</f>
        <v/>
      </c>
      <c r="H458" s="36"/>
      <c r="I458" s="39" t="str">
        <f aca="false">IF(E458="","",IF(AND(H458="Yes",F458="Standard 5%"),G458,0))</f>
        <v/>
      </c>
      <c r="J458" s="39" t="str">
        <f aca="false">IF(E458="","",E458+G458)</f>
        <v/>
      </c>
      <c r="K458" s="36"/>
      <c r="L458" s="36"/>
      <c r="M458" s="40" t="str">
        <f aca="false">IF(A458="","",IF(A458&lt;FY_START,0,(YEAR(A458)-YEAR(FY_START))*12+MONTH(A458)-MONTH(FY_START)+1))</f>
        <v/>
      </c>
      <c r="N458" s="40" t="str">
        <f aca="false">IF(A458="","",IF(AND(A458&gt;=VP_START,A458&lt;=VP_END),1,0))</f>
        <v/>
      </c>
    </row>
    <row r="459" customFormat="false" ht="15" hidden="false" customHeight="false" outlineLevel="0" collapsed="false">
      <c r="A459" s="37"/>
      <c r="B459" s="36"/>
      <c r="C459" s="36"/>
      <c r="D459" s="36"/>
      <c r="E459" s="38"/>
      <c r="F459" s="36"/>
      <c r="G459" s="39" t="str">
        <f aca="false">IF(E459="","",IF(F459="Standard 5%",E459*VAT_RATE,0))</f>
        <v/>
      </c>
      <c r="H459" s="36"/>
      <c r="I459" s="39" t="str">
        <f aca="false">IF(E459="","",IF(AND(H459="Yes",F459="Standard 5%"),G459,0))</f>
        <v/>
      </c>
      <c r="J459" s="39" t="str">
        <f aca="false">IF(E459="","",E459+G459)</f>
        <v/>
      </c>
      <c r="K459" s="36"/>
      <c r="L459" s="36"/>
      <c r="M459" s="40" t="str">
        <f aca="false">IF(A459="","",IF(A459&lt;FY_START,0,(YEAR(A459)-YEAR(FY_START))*12+MONTH(A459)-MONTH(FY_START)+1))</f>
        <v/>
      </c>
      <c r="N459" s="40" t="str">
        <f aca="false">IF(A459="","",IF(AND(A459&gt;=VP_START,A459&lt;=VP_END),1,0))</f>
        <v/>
      </c>
    </row>
    <row r="460" customFormat="false" ht="15" hidden="false" customHeight="false" outlineLevel="0" collapsed="false">
      <c r="A460" s="37"/>
      <c r="B460" s="36"/>
      <c r="C460" s="36"/>
      <c r="D460" s="36"/>
      <c r="E460" s="38"/>
      <c r="F460" s="36"/>
      <c r="G460" s="39" t="str">
        <f aca="false">IF(E460="","",IF(F460="Standard 5%",E460*VAT_RATE,0))</f>
        <v/>
      </c>
      <c r="H460" s="36"/>
      <c r="I460" s="39" t="str">
        <f aca="false">IF(E460="","",IF(AND(H460="Yes",F460="Standard 5%"),G460,0))</f>
        <v/>
      </c>
      <c r="J460" s="39" t="str">
        <f aca="false">IF(E460="","",E460+G460)</f>
        <v/>
      </c>
      <c r="K460" s="36"/>
      <c r="L460" s="36"/>
      <c r="M460" s="40" t="str">
        <f aca="false">IF(A460="","",IF(A460&lt;FY_START,0,(YEAR(A460)-YEAR(FY_START))*12+MONTH(A460)-MONTH(FY_START)+1))</f>
        <v/>
      </c>
      <c r="N460" s="40" t="str">
        <f aca="false">IF(A460="","",IF(AND(A460&gt;=VP_START,A460&lt;=VP_END),1,0))</f>
        <v/>
      </c>
    </row>
    <row r="461" customFormat="false" ht="15" hidden="false" customHeight="false" outlineLevel="0" collapsed="false">
      <c r="A461" s="37"/>
      <c r="B461" s="36"/>
      <c r="C461" s="36"/>
      <c r="D461" s="36"/>
      <c r="E461" s="38"/>
      <c r="F461" s="36"/>
      <c r="G461" s="39" t="str">
        <f aca="false">IF(E461="","",IF(F461="Standard 5%",E461*VAT_RATE,0))</f>
        <v/>
      </c>
      <c r="H461" s="36"/>
      <c r="I461" s="39" t="str">
        <f aca="false">IF(E461="","",IF(AND(H461="Yes",F461="Standard 5%"),G461,0))</f>
        <v/>
      </c>
      <c r="J461" s="39" t="str">
        <f aca="false">IF(E461="","",E461+G461)</f>
        <v/>
      </c>
      <c r="K461" s="36"/>
      <c r="L461" s="36"/>
      <c r="M461" s="40" t="str">
        <f aca="false">IF(A461="","",IF(A461&lt;FY_START,0,(YEAR(A461)-YEAR(FY_START))*12+MONTH(A461)-MONTH(FY_START)+1))</f>
        <v/>
      </c>
      <c r="N461" s="40" t="str">
        <f aca="false">IF(A461="","",IF(AND(A461&gt;=VP_START,A461&lt;=VP_END),1,0))</f>
        <v/>
      </c>
    </row>
    <row r="462" customFormat="false" ht="15" hidden="false" customHeight="false" outlineLevel="0" collapsed="false">
      <c r="A462" s="37"/>
      <c r="B462" s="36"/>
      <c r="C462" s="36"/>
      <c r="D462" s="36"/>
      <c r="E462" s="38"/>
      <c r="F462" s="36"/>
      <c r="G462" s="39" t="str">
        <f aca="false">IF(E462="","",IF(F462="Standard 5%",E462*VAT_RATE,0))</f>
        <v/>
      </c>
      <c r="H462" s="36"/>
      <c r="I462" s="39" t="str">
        <f aca="false">IF(E462="","",IF(AND(H462="Yes",F462="Standard 5%"),G462,0))</f>
        <v/>
      </c>
      <c r="J462" s="39" t="str">
        <f aca="false">IF(E462="","",E462+G462)</f>
        <v/>
      </c>
      <c r="K462" s="36"/>
      <c r="L462" s="36"/>
      <c r="M462" s="40" t="str">
        <f aca="false">IF(A462="","",IF(A462&lt;FY_START,0,(YEAR(A462)-YEAR(FY_START))*12+MONTH(A462)-MONTH(FY_START)+1))</f>
        <v/>
      </c>
      <c r="N462" s="40" t="str">
        <f aca="false">IF(A462="","",IF(AND(A462&gt;=VP_START,A462&lt;=VP_END),1,0))</f>
        <v/>
      </c>
    </row>
    <row r="463" customFormat="false" ht="15" hidden="false" customHeight="false" outlineLevel="0" collapsed="false">
      <c r="A463" s="37"/>
      <c r="B463" s="36"/>
      <c r="C463" s="36"/>
      <c r="D463" s="36"/>
      <c r="E463" s="38"/>
      <c r="F463" s="36"/>
      <c r="G463" s="39" t="str">
        <f aca="false">IF(E463="","",IF(F463="Standard 5%",E463*VAT_RATE,0))</f>
        <v/>
      </c>
      <c r="H463" s="36"/>
      <c r="I463" s="39" t="str">
        <f aca="false">IF(E463="","",IF(AND(H463="Yes",F463="Standard 5%"),G463,0))</f>
        <v/>
      </c>
      <c r="J463" s="39" t="str">
        <f aca="false">IF(E463="","",E463+G463)</f>
        <v/>
      </c>
      <c r="K463" s="36"/>
      <c r="L463" s="36"/>
      <c r="M463" s="40" t="str">
        <f aca="false">IF(A463="","",IF(A463&lt;FY_START,0,(YEAR(A463)-YEAR(FY_START))*12+MONTH(A463)-MONTH(FY_START)+1))</f>
        <v/>
      </c>
      <c r="N463" s="40" t="str">
        <f aca="false">IF(A463="","",IF(AND(A463&gt;=VP_START,A463&lt;=VP_END),1,0))</f>
        <v/>
      </c>
    </row>
    <row r="464" customFormat="false" ht="15" hidden="false" customHeight="false" outlineLevel="0" collapsed="false">
      <c r="A464" s="37"/>
      <c r="B464" s="36"/>
      <c r="C464" s="36"/>
      <c r="D464" s="36"/>
      <c r="E464" s="38"/>
      <c r="F464" s="36"/>
      <c r="G464" s="39" t="str">
        <f aca="false">IF(E464="","",IF(F464="Standard 5%",E464*VAT_RATE,0))</f>
        <v/>
      </c>
      <c r="H464" s="36"/>
      <c r="I464" s="39" t="str">
        <f aca="false">IF(E464="","",IF(AND(H464="Yes",F464="Standard 5%"),G464,0))</f>
        <v/>
      </c>
      <c r="J464" s="39" t="str">
        <f aca="false">IF(E464="","",E464+G464)</f>
        <v/>
      </c>
      <c r="K464" s="36"/>
      <c r="L464" s="36"/>
      <c r="M464" s="40" t="str">
        <f aca="false">IF(A464="","",IF(A464&lt;FY_START,0,(YEAR(A464)-YEAR(FY_START))*12+MONTH(A464)-MONTH(FY_START)+1))</f>
        <v/>
      </c>
      <c r="N464" s="40" t="str">
        <f aca="false">IF(A464="","",IF(AND(A464&gt;=VP_START,A464&lt;=VP_END),1,0))</f>
        <v/>
      </c>
    </row>
    <row r="465" customFormat="false" ht="15" hidden="false" customHeight="false" outlineLevel="0" collapsed="false">
      <c r="A465" s="37"/>
      <c r="B465" s="36"/>
      <c r="C465" s="36"/>
      <c r="D465" s="36"/>
      <c r="E465" s="38"/>
      <c r="F465" s="36"/>
      <c r="G465" s="39" t="str">
        <f aca="false">IF(E465="","",IF(F465="Standard 5%",E465*VAT_RATE,0))</f>
        <v/>
      </c>
      <c r="H465" s="36"/>
      <c r="I465" s="39" t="str">
        <f aca="false">IF(E465="","",IF(AND(H465="Yes",F465="Standard 5%"),G465,0))</f>
        <v/>
      </c>
      <c r="J465" s="39" t="str">
        <f aca="false">IF(E465="","",E465+G465)</f>
        <v/>
      </c>
      <c r="K465" s="36"/>
      <c r="L465" s="36"/>
      <c r="M465" s="40" t="str">
        <f aca="false">IF(A465="","",IF(A465&lt;FY_START,0,(YEAR(A465)-YEAR(FY_START))*12+MONTH(A465)-MONTH(FY_START)+1))</f>
        <v/>
      </c>
      <c r="N465" s="40" t="str">
        <f aca="false">IF(A465="","",IF(AND(A465&gt;=VP_START,A465&lt;=VP_END),1,0))</f>
        <v/>
      </c>
    </row>
    <row r="466" customFormat="false" ht="15" hidden="false" customHeight="false" outlineLevel="0" collapsed="false">
      <c r="A466" s="37"/>
      <c r="B466" s="36"/>
      <c r="C466" s="36"/>
      <c r="D466" s="36"/>
      <c r="E466" s="38"/>
      <c r="F466" s="36"/>
      <c r="G466" s="39" t="str">
        <f aca="false">IF(E466="","",IF(F466="Standard 5%",E466*VAT_RATE,0))</f>
        <v/>
      </c>
      <c r="H466" s="36"/>
      <c r="I466" s="39" t="str">
        <f aca="false">IF(E466="","",IF(AND(H466="Yes",F466="Standard 5%"),G466,0))</f>
        <v/>
      </c>
      <c r="J466" s="39" t="str">
        <f aca="false">IF(E466="","",E466+G466)</f>
        <v/>
      </c>
      <c r="K466" s="36"/>
      <c r="L466" s="36"/>
      <c r="M466" s="40" t="str">
        <f aca="false">IF(A466="","",IF(A466&lt;FY_START,0,(YEAR(A466)-YEAR(FY_START))*12+MONTH(A466)-MONTH(FY_START)+1))</f>
        <v/>
      </c>
      <c r="N466" s="40" t="str">
        <f aca="false">IF(A466="","",IF(AND(A466&gt;=VP_START,A466&lt;=VP_END),1,0))</f>
        <v/>
      </c>
    </row>
    <row r="467" customFormat="false" ht="15" hidden="false" customHeight="false" outlineLevel="0" collapsed="false">
      <c r="A467" s="37"/>
      <c r="B467" s="36"/>
      <c r="C467" s="36"/>
      <c r="D467" s="36"/>
      <c r="E467" s="38"/>
      <c r="F467" s="36"/>
      <c r="G467" s="39" t="str">
        <f aca="false">IF(E467="","",IF(F467="Standard 5%",E467*VAT_RATE,0))</f>
        <v/>
      </c>
      <c r="H467" s="36"/>
      <c r="I467" s="39" t="str">
        <f aca="false">IF(E467="","",IF(AND(H467="Yes",F467="Standard 5%"),G467,0))</f>
        <v/>
      </c>
      <c r="J467" s="39" t="str">
        <f aca="false">IF(E467="","",E467+G467)</f>
        <v/>
      </c>
      <c r="K467" s="36"/>
      <c r="L467" s="36"/>
      <c r="M467" s="40" t="str">
        <f aca="false">IF(A467="","",IF(A467&lt;FY_START,0,(YEAR(A467)-YEAR(FY_START))*12+MONTH(A467)-MONTH(FY_START)+1))</f>
        <v/>
      </c>
      <c r="N467" s="40" t="str">
        <f aca="false">IF(A467="","",IF(AND(A467&gt;=VP_START,A467&lt;=VP_END),1,0))</f>
        <v/>
      </c>
    </row>
    <row r="468" customFormat="false" ht="15" hidden="false" customHeight="false" outlineLevel="0" collapsed="false">
      <c r="A468" s="37"/>
      <c r="B468" s="36"/>
      <c r="C468" s="36"/>
      <c r="D468" s="36"/>
      <c r="E468" s="38"/>
      <c r="F468" s="36"/>
      <c r="G468" s="39" t="str">
        <f aca="false">IF(E468="","",IF(F468="Standard 5%",E468*VAT_RATE,0))</f>
        <v/>
      </c>
      <c r="H468" s="36"/>
      <c r="I468" s="39" t="str">
        <f aca="false">IF(E468="","",IF(AND(H468="Yes",F468="Standard 5%"),G468,0))</f>
        <v/>
      </c>
      <c r="J468" s="39" t="str">
        <f aca="false">IF(E468="","",E468+G468)</f>
        <v/>
      </c>
      <c r="K468" s="36"/>
      <c r="L468" s="36"/>
      <c r="M468" s="40" t="str">
        <f aca="false">IF(A468="","",IF(A468&lt;FY_START,0,(YEAR(A468)-YEAR(FY_START))*12+MONTH(A468)-MONTH(FY_START)+1))</f>
        <v/>
      </c>
      <c r="N468" s="40" t="str">
        <f aca="false">IF(A468="","",IF(AND(A468&gt;=VP_START,A468&lt;=VP_END),1,0))</f>
        <v/>
      </c>
    </row>
    <row r="469" customFormat="false" ht="15" hidden="false" customHeight="false" outlineLevel="0" collapsed="false">
      <c r="A469" s="37"/>
      <c r="B469" s="36"/>
      <c r="C469" s="36"/>
      <c r="D469" s="36"/>
      <c r="E469" s="38"/>
      <c r="F469" s="36"/>
      <c r="G469" s="39" t="str">
        <f aca="false">IF(E469="","",IF(F469="Standard 5%",E469*VAT_RATE,0))</f>
        <v/>
      </c>
      <c r="H469" s="36"/>
      <c r="I469" s="39" t="str">
        <f aca="false">IF(E469="","",IF(AND(H469="Yes",F469="Standard 5%"),G469,0))</f>
        <v/>
      </c>
      <c r="J469" s="39" t="str">
        <f aca="false">IF(E469="","",E469+G469)</f>
        <v/>
      </c>
      <c r="K469" s="36"/>
      <c r="L469" s="36"/>
      <c r="M469" s="40" t="str">
        <f aca="false">IF(A469="","",IF(A469&lt;FY_START,0,(YEAR(A469)-YEAR(FY_START))*12+MONTH(A469)-MONTH(FY_START)+1))</f>
        <v/>
      </c>
      <c r="N469" s="40" t="str">
        <f aca="false">IF(A469="","",IF(AND(A469&gt;=VP_START,A469&lt;=VP_END),1,0))</f>
        <v/>
      </c>
    </row>
    <row r="470" customFormat="false" ht="15" hidden="false" customHeight="false" outlineLevel="0" collapsed="false">
      <c r="A470" s="37"/>
      <c r="B470" s="36"/>
      <c r="C470" s="36"/>
      <c r="D470" s="36"/>
      <c r="E470" s="38"/>
      <c r="F470" s="36"/>
      <c r="G470" s="39" t="str">
        <f aca="false">IF(E470="","",IF(F470="Standard 5%",E470*VAT_RATE,0))</f>
        <v/>
      </c>
      <c r="H470" s="36"/>
      <c r="I470" s="39" t="str">
        <f aca="false">IF(E470="","",IF(AND(H470="Yes",F470="Standard 5%"),G470,0))</f>
        <v/>
      </c>
      <c r="J470" s="39" t="str">
        <f aca="false">IF(E470="","",E470+G470)</f>
        <v/>
      </c>
      <c r="K470" s="36"/>
      <c r="L470" s="36"/>
      <c r="M470" s="40" t="str">
        <f aca="false">IF(A470="","",IF(A470&lt;FY_START,0,(YEAR(A470)-YEAR(FY_START))*12+MONTH(A470)-MONTH(FY_START)+1))</f>
        <v/>
      </c>
      <c r="N470" s="40" t="str">
        <f aca="false">IF(A470="","",IF(AND(A470&gt;=VP_START,A470&lt;=VP_END),1,0))</f>
        <v/>
      </c>
    </row>
    <row r="471" customFormat="false" ht="15" hidden="false" customHeight="false" outlineLevel="0" collapsed="false">
      <c r="A471" s="37"/>
      <c r="B471" s="36"/>
      <c r="C471" s="36"/>
      <c r="D471" s="36"/>
      <c r="E471" s="38"/>
      <c r="F471" s="36"/>
      <c r="G471" s="39" t="str">
        <f aca="false">IF(E471="","",IF(F471="Standard 5%",E471*VAT_RATE,0))</f>
        <v/>
      </c>
      <c r="H471" s="36"/>
      <c r="I471" s="39" t="str">
        <f aca="false">IF(E471="","",IF(AND(H471="Yes",F471="Standard 5%"),G471,0))</f>
        <v/>
      </c>
      <c r="J471" s="39" t="str">
        <f aca="false">IF(E471="","",E471+G471)</f>
        <v/>
      </c>
      <c r="K471" s="36"/>
      <c r="L471" s="36"/>
      <c r="M471" s="40" t="str">
        <f aca="false">IF(A471="","",IF(A471&lt;FY_START,0,(YEAR(A471)-YEAR(FY_START))*12+MONTH(A471)-MONTH(FY_START)+1))</f>
        <v/>
      </c>
      <c r="N471" s="40" t="str">
        <f aca="false">IF(A471="","",IF(AND(A471&gt;=VP_START,A471&lt;=VP_END),1,0))</f>
        <v/>
      </c>
    </row>
    <row r="472" customFormat="false" ht="15" hidden="false" customHeight="false" outlineLevel="0" collapsed="false">
      <c r="A472" s="37"/>
      <c r="B472" s="36"/>
      <c r="C472" s="36"/>
      <c r="D472" s="36"/>
      <c r="E472" s="38"/>
      <c r="F472" s="36"/>
      <c r="G472" s="39" t="str">
        <f aca="false">IF(E472="","",IF(F472="Standard 5%",E472*VAT_RATE,0))</f>
        <v/>
      </c>
      <c r="H472" s="36"/>
      <c r="I472" s="39" t="str">
        <f aca="false">IF(E472="","",IF(AND(H472="Yes",F472="Standard 5%"),G472,0))</f>
        <v/>
      </c>
      <c r="J472" s="39" t="str">
        <f aca="false">IF(E472="","",E472+G472)</f>
        <v/>
      </c>
      <c r="K472" s="36"/>
      <c r="L472" s="36"/>
      <c r="M472" s="40" t="str">
        <f aca="false">IF(A472="","",IF(A472&lt;FY_START,0,(YEAR(A472)-YEAR(FY_START))*12+MONTH(A472)-MONTH(FY_START)+1))</f>
        <v/>
      </c>
      <c r="N472" s="40" t="str">
        <f aca="false">IF(A472="","",IF(AND(A472&gt;=VP_START,A472&lt;=VP_END),1,0))</f>
        <v/>
      </c>
    </row>
    <row r="473" customFormat="false" ht="15" hidden="false" customHeight="false" outlineLevel="0" collapsed="false">
      <c r="A473" s="37"/>
      <c r="B473" s="36"/>
      <c r="C473" s="36"/>
      <c r="D473" s="36"/>
      <c r="E473" s="38"/>
      <c r="F473" s="36"/>
      <c r="G473" s="39" t="str">
        <f aca="false">IF(E473="","",IF(F473="Standard 5%",E473*VAT_RATE,0))</f>
        <v/>
      </c>
      <c r="H473" s="36"/>
      <c r="I473" s="39" t="str">
        <f aca="false">IF(E473="","",IF(AND(H473="Yes",F473="Standard 5%"),G473,0))</f>
        <v/>
      </c>
      <c r="J473" s="39" t="str">
        <f aca="false">IF(E473="","",E473+G473)</f>
        <v/>
      </c>
      <c r="K473" s="36"/>
      <c r="L473" s="36"/>
      <c r="M473" s="40" t="str">
        <f aca="false">IF(A473="","",IF(A473&lt;FY_START,0,(YEAR(A473)-YEAR(FY_START))*12+MONTH(A473)-MONTH(FY_START)+1))</f>
        <v/>
      </c>
      <c r="N473" s="40" t="str">
        <f aca="false">IF(A473="","",IF(AND(A473&gt;=VP_START,A473&lt;=VP_END),1,0))</f>
        <v/>
      </c>
    </row>
    <row r="474" customFormat="false" ht="15" hidden="false" customHeight="false" outlineLevel="0" collapsed="false">
      <c r="A474" s="37"/>
      <c r="B474" s="36"/>
      <c r="C474" s="36"/>
      <c r="D474" s="36"/>
      <c r="E474" s="38"/>
      <c r="F474" s="36"/>
      <c r="G474" s="39" t="str">
        <f aca="false">IF(E474="","",IF(F474="Standard 5%",E474*VAT_RATE,0))</f>
        <v/>
      </c>
      <c r="H474" s="36"/>
      <c r="I474" s="39" t="str">
        <f aca="false">IF(E474="","",IF(AND(H474="Yes",F474="Standard 5%"),G474,0))</f>
        <v/>
      </c>
      <c r="J474" s="39" t="str">
        <f aca="false">IF(E474="","",E474+G474)</f>
        <v/>
      </c>
      <c r="K474" s="36"/>
      <c r="L474" s="36"/>
      <c r="M474" s="40" t="str">
        <f aca="false">IF(A474="","",IF(A474&lt;FY_START,0,(YEAR(A474)-YEAR(FY_START))*12+MONTH(A474)-MONTH(FY_START)+1))</f>
        <v/>
      </c>
      <c r="N474" s="40" t="str">
        <f aca="false">IF(A474="","",IF(AND(A474&gt;=VP_START,A474&lt;=VP_END),1,0))</f>
        <v/>
      </c>
    </row>
    <row r="475" customFormat="false" ht="15" hidden="false" customHeight="false" outlineLevel="0" collapsed="false">
      <c r="A475" s="37"/>
      <c r="B475" s="36"/>
      <c r="C475" s="36"/>
      <c r="D475" s="36"/>
      <c r="E475" s="38"/>
      <c r="F475" s="36"/>
      <c r="G475" s="39" t="str">
        <f aca="false">IF(E475="","",IF(F475="Standard 5%",E475*VAT_RATE,0))</f>
        <v/>
      </c>
      <c r="H475" s="36"/>
      <c r="I475" s="39" t="str">
        <f aca="false">IF(E475="","",IF(AND(H475="Yes",F475="Standard 5%"),G475,0))</f>
        <v/>
      </c>
      <c r="J475" s="39" t="str">
        <f aca="false">IF(E475="","",E475+G475)</f>
        <v/>
      </c>
      <c r="K475" s="36"/>
      <c r="L475" s="36"/>
      <c r="M475" s="40" t="str">
        <f aca="false">IF(A475="","",IF(A475&lt;FY_START,0,(YEAR(A475)-YEAR(FY_START))*12+MONTH(A475)-MONTH(FY_START)+1))</f>
        <v/>
      </c>
      <c r="N475" s="40" t="str">
        <f aca="false">IF(A475="","",IF(AND(A475&gt;=VP_START,A475&lt;=VP_END),1,0))</f>
        <v/>
      </c>
    </row>
    <row r="476" customFormat="false" ht="15" hidden="false" customHeight="false" outlineLevel="0" collapsed="false">
      <c r="A476" s="37"/>
      <c r="B476" s="36"/>
      <c r="C476" s="36"/>
      <c r="D476" s="36"/>
      <c r="E476" s="38"/>
      <c r="F476" s="36"/>
      <c r="G476" s="39" t="str">
        <f aca="false">IF(E476="","",IF(F476="Standard 5%",E476*VAT_RATE,0))</f>
        <v/>
      </c>
      <c r="H476" s="36"/>
      <c r="I476" s="39" t="str">
        <f aca="false">IF(E476="","",IF(AND(H476="Yes",F476="Standard 5%"),G476,0))</f>
        <v/>
      </c>
      <c r="J476" s="39" t="str">
        <f aca="false">IF(E476="","",E476+G476)</f>
        <v/>
      </c>
      <c r="K476" s="36"/>
      <c r="L476" s="36"/>
      <c r="M476" s="40" t="str">
        <f aca="false">IF(A476="","",IF(A476&lt;FY_START,0,(YEAR(A476)-YEAR(FY_START))*12+MONTH(A476)-MONTH(FY_START)+1))</f>
        <v/>
      </c>
      <c r="N476" s="40" t="str">
        <f aca="false">IF(A476="","",IF(AND(A476&gt;=VP_START,A476&lt;=VP_END),1,0))</f>
        <v/>
      </c>
    </row>
    <row r="477" customFormat="false" ht="15" hidden="false" customHeight="false" outlineLevel="0" collapsed="false">
      <c r="A477" s="37"/>
      <c r="B477" s="36"/>
      <c r="C477" s="36"/>
      <c r="D477" s="36"/>
      <c r="E477" s="38"/>
      <c r="F477" s="36"/>
      <c r="G477" s="39" t="str">
        <f aca="false">IF(E477="","",IF(F477="Standard 5%",E477*VAT_RATE,0))</f>
        <v/>
      </c>
      <c r="H477" s="36"/>
      <c r="I477" s="39" t="str">
        <f aca="false">IF(E477="","",IF(AND(H477="Yes",F477="Standard 5%"),G477,0))</f>
        <v/>
      </c>
      <c r="J477" s="39" t="str">
        <f aca="false">IF(E477="","",E477+G477)</f>
        <v/>
      </c>
      <c r="K477" s="36"/>
      <c r="L477" s="36"/>
      <c r="M477" s="40" t="str">
        <f aca="false">IF(A477="","",IF(A477&lt;FY_START,0,(YEAR(A477)-YEAR(FY_START))*12+MONTH(A477)-MONTH(FY_START)+1))</f>
        <v/>
      </c>
      <c r="N477" s="40" t="str">
        <f aca="false">IF(A477="","",IF(AND(A477&gt;=VP_START,A477&lt;=VP_END),1,0))</f>
        <v/>
      </c>
    </row>
    <row r="478" customFormat="false" ht="15" hidden="false" customHeight="false" outlineLevel="0" collapsed="false">
      <c r="A478" s="37"/>
      <c r="B478" s="36"/>
      <c r="C478" s="36"/>
      <c r="D478" s="36"/>
      <c r="E478" s="38"/>
      <c r="F478" s="36"/>
      <c r="G478" s="39" t="str">
        <f aca="false">IF(E478="","",IF(F478="Standard 5%",E478*VAT_RATE,0))</f>
        <v/>
      </c>
      <c r="H478" s="36"/>
      <c r="I478" s="39" t="str">
        <f aca="false">IF(E478="","",IF(AND(H478="Yes",F478="Standard 5%"),G478,0))</f>
        <v/>
      </c>
      <c r="J478" s="39" t="str">
        <f aca="false">IF(E478="","",E478+G478)</f>
        <v/>
      </c>
      <c r="K478" s="36"/>
      <c r="L478" s="36"/>
      <c r="M478" s="40" t="str">
        <f aca="false">IF(A478="","",IF(A478&lt;FY_START,0,(YEAR(A478)-YEAR(FY_START))*12+MONTH(A478)-MONTH(FY_START)+1))</f>
        <v/>
      </c>
      <c r="N478" s="40" t="str">
        <f aca="false">IF(A478="","",IF(AND(A478&gt;=VP_START,A478&lt;=VP_END),1,0))</f>
        <v/>
      </c>
    </row>
    <row r="479" customFormat="false" ht="15" hidden="false" customHeight="false" outlineLevel="0" collapsed="false">
      <c r="A479" s="37"/>
      <c r="B479" s="36"/>
      <c r="C479" s="36"/>
      <c r="D479" s="36"/>
      <c r="E479" s="38"/>
      <c r="F479" s="36"/>
      <c r="G479" s="39" t="str">
        <f aca="false">IF(E479="","",IF(F479="Standard 5%",E479*VAT_RATE,0))</f>
        <v/>
      </c>
      <c r="H479" s="36"/>
      <c r="I479" s="39" t="str">
        <f aca="false">IF(E479="","",IF(AND(H479="Yes",F479="Standard 5%"),G479,0))</f>
        <v/>
      </c>
      <c r="J479" s="39" t="str">
        <f aca="false">IF(E479="","",E479+G479)</f>
        <v/>
      </c>
      <c r="K479" s="36"/>
      <c r="L479" s="36"/>
      <c r="M479" s="40" t="str">
        <f aca="false">IF(A479="","",IF(A479&lt;FY_START,0,(YEAR(A479)-YEAR(FY_START))*12+MONTH(A479)-MONTH(FY_START)+1))</f>
        <v/>
      </c>
      <c r="N479" s="40" t="str">
        <f aca="false">IF(A479="","",IF(AND(A479&gt;=VP_START,A479&lt;=VP_END),1,0))</f>
        <v/>
      </c>
    </row>
    <row r="480" customFormat="false" ht="15" hidden="false" customHeight="false" outlineLevel="0" collapsed="false">
      <c r="A480" s="37"/>
      <c r="B480" s="36"/>
      <c r="C480" s="36"/>
      <c r="D480" s="36"/>
      <c r="E480" s="38"/>
      <c r="F480" s="36"/>
      <c r="G480" s="39" t="str">
        <f aca="false">IF(E480="","",IF(F480="Standard 5%",E480*VAT_RATE,0))</f>
        <v/>
      </c>
      <c r="H480" s="36"/>
      <c r="I480" s="39" t="str">
        <f aca="false">IF(E480="","",IF(AND(H480="Yes",F480="Standard 5%"),G480,0))</f>
        <v/>
      </c>
      <c r="J480" s="39" t="str">
        <f aca="false">IF(E480="","",E480+G480)</f>
        <v/>
      </c>
      <c r="K480" s="36"/>
      <c r="L480" s="36"/>
      <c r="M480" s="40" t="str">
        <f aca="false">IF(A480="","",IF(A480&lt;FY_START,0,(YEAR(A480)-YEAR(FY_START))*12+MONTH(A480)-MONTH(FY_START)+1))</f>
        <v/>
      </c>
      <c r="N480" s="40" t="str">
        <f aca="false">IF(A480="","",IF(AND(A480&gt;=VP_START,A480&lt;=VP_END),1,0))</f>
        <v/>
      </c>
    </row>
    <row r="481" customFormat="false" ht="15" hidden="false" customHeight="false" outlineLevel="0" collapsed="false">
      <c r="A481" s="37"/>
      <c r="B481" s="36"/>
      <c r="C481" s="36"/>
      <c r="D481" s="36"/>
      <c r="E481" s="38"/>
      <c r="F481" s="36"/>
      <c r="G481" s="39" t="str">
        <f aca="false">IF(E481="","",IF(F481="Standard 5%",E481*VAT_RATE,0))</f>
        <v/>
      </c>
      <c r="H481" s="36"/>
      <c r="I481" s="39" t="str">
        <f aca="false">IF(E481="","",IF(AND(H481="Yes",F481="Standard 5%"),G481,0))</f>
        <v/>
      </c>
      <c r="J481" s="39" t="str">
        <f aca="false">IF(E481="","",E481+G481)</f>
        <v/>
      </c>
      <c r="K481" s="36"/>
      <c r="L481" s="36"/>
      <c r="M481" s="40" t="str">
        <f aca="false">IF(A481="","",IF(A481&lt;FY_START,0,(YEAR(A481)-YEAR(FY_START))*12+MONTH(A481)-MONTH(FY_START)+1))</f>
        <v/>
      </c>
      <c r="N481" s="40" t="str">
        <f aca="false">IF(A481="","",IF(AND(A481&gt;=VP_START,A481&lt;=VP_END),1,0))</f>
        <v/>
      </c>
    </row>
    <row r="482" customFormat="false" ht="15" hidden="false" customHeight="false" outlineLevel="0" collapsed="false">
      <c r="A482" s="37"/>
      <c r="B482" s="36"/>
      <c r="C482" s="36"/>
      <c r="D482" s="36"/>
      <c r="E482" s="38"/>
      <c r="F482" s="36"/>
      <c r="G482" s="39" t="str">
        <f aca="false">IF(E482="","",IF(F482="Standard 5%",E482*VAT_RATE,0))</f>
        <v/>
      </c>
      <c r="H482" s="36"/>
      <c r="I482" s="39" t="str">
        <f aca="false">IF(E482="","",IF(AND(H482="Yes",F482="Standard 5%"),G482,0))</f>
        <v/>
      </c>
      <c r="J482" s="39" t="str">
        <f aca="false">IF(E482="","",E482+G482)</f>
        <v/>
      </c>
      <c r="K482" s="36"/>
      <c r="L482" s="36"/>
      <c r="M482" s="40" t="str">
        <f aca="false">IF(A482="","",IF(A482&lt;FY_START,0,(YEAR(A482)-YEAR(FY_START))*12+MONTH(A482)-MONTH(FY_START)+1))</f>
        <v/>
      </c>
      <c r="N482" s="40" t="str">
        <f aca="false">IF(A482="","",IF(AND(A482&gt;=VP_START,A482&lt;=VP_END),1,0))</f>
        <v/>
      </c>
    </row>
    <row r="483" customFormat="false" ht="15" hidden="false" customHeight="false" outlineLevel="0" collapsed="false">
      <c r="A483" s="37"/>
      <c r="B483" s="36"/>
      <c r="C483" s="36"/>
      <c r="D483" s="36"/>
      <c r="E483" s="38"/>
      <c r="F483" s="36"/>
      <c r="G483" s="39" t="str">
        <f aca="false">IF(E483="","",IF(F483="Standard 5%",E483*VAT_RATE,0))</f>
        <v/>
      </c>
      <c r="H483" s="36"/>
      <c r="I483" s="39" t="str">
        <f aca="false">IF(E483="","",IF(AND(H483="Yes",F483="Standard 5%"),G483,0))</f>
        <v/>
      </c>
      <c r="J483" s="39" t="str">
        <f aca="false">IF(E483="","",E483+G483)</f>
        <v/>
      </c>
      <c r="K483" s="36"/>
      <c r="L483" s="36"/>
      <c r="M483" s="40" t="str">
        <f aca="false">IF(A483="","",IF(A483&lt;FY_START,0,(YEAR(A483)-YEAR(FY_START))*12+MONTH(A483)-MONTH(FY_START)+1))</f>
        <v/>
      </c>
      <c r="N483" s="40" t="str">
        <f aca="false">IF(A483="","",IF(AND(A483&gt;=VP_START,A483&lt;=VP_END),1,0))</f>
        <v/>
      </c>
    </row>
    <row r="484" customFormat="false" ht="15" hidden="false" customHeight="false" outlineLevel="0" collapsed="false">
      <c r="A484" s="37"/>
      <c r="B484" s="36"/>
      <c r="C484" s="36"/>
      <c r="D484" s="36"/>
      <c r="E484" s="38"/>
      <c r="F484" s="36"/>
      <c r="G484" s="39" t="str">
        <f aca="false">IF(E484="","",IF(F484="Standard 5%",E484*VAT_RATE,0))</f>
        <v/>
      </c>
      <c r="H484" s="36"/>
      <c r="I484" s="39" t="str">
        <f aca="false">IF(E484="","",IF(AND(H484="Yes",F484="Standard 5%"),G484,0))</f>
        <v/>
      </c>
      <c r="J484" s="39" t="str">
        <f aca="false">IF(E484="","",E484+G484)</f>
        <v/>
      </c>
      <c r="K484" s="36"/>
      <c r="L484" s="36"/>
      <c r="M484" s="40" t="str">
        <f aca="false">IF(A484="","",IF(A484&lt;FY_START,0,(YEAR(A484)-YEAR(FY_START))*12+MONTH(A484)-MONTH(FY_START)+1))</f>
        <v/>
      </c>
      <c r="N484" s="40" t="str">
        <f aca="false">IF(A484="","",IF(AND(A484&gt;=VP_START,A484&lt;=VP_END),1,0))</f>
        <v/>
      </c>
    </row>
    <row r="485" customFormat="false" ht="15" hidden="false" customHeight="false" outlineLevel="0" collapsed="false">
      <c r="A485" s="37"/>
      <c r="B485" s="36"/>
      <c r="C485" s="36"/>
      <c r="D485" s="36"/>
      <c r="E485" s="38"/>
      <c r="F485" s="36"/>
      <c r="G485" s="39" t="str">
        <f aca="false">IF(E485="","",IF(F485="Standard 5%",E485*VAT_RATE,0))</f>
        <v/>
      </c>
      <c r="H485" s="36"/>
      <c r="I485" s="39" t="str">
        <f aca="false">IF(E485="","",IF(AND(H485="Yes",F485="Standard 5%"),G485,0))</f>
        <v/>
      </c>
      <c r="J485" s="39" t="str">
        <f aca="false">IF(E485="","",E485+G485)</f>
        <v/>
      </c>
      <c r="K485" s="36"/>
      <c r="L485" s="36"/>
      <c r="M485" s="40" t="str">
        <f aca="false">IF(A485="","",IF(A485&lt;FY_START,0,(YEAR(A485)-YEAR(FY_START))*12+MONTH(A485)-MONTH(FY_START)+1))</f>
        <v/>
      </c>
      <c r="N485" s="40" t="str">
        <f aca="false">IF(A485="","",IF(AND(A485&gt;=VP_START,A485&lt;=VP_END),1,0))</f>
        <v/>
      </c>
    </row>
    <row r="486" customFormat="false" ht="15" hidden="false" customHeight="false" outlineLevel="0" collapsed="false">
      <c r="A486" s="37"/>
      <c r="B486" s="36"/>
      <c r="C486" s="36"/>
      <c r="D486" s="36"/>
      <c r="E486" s="38"/>
      <c r="F486" s="36"/>
      <c r="G486" s="39" t="str">
        <f aca="false">IF(E486="","",IF(F486="Standard 5%",E486*VAT_RATE,0))</f>
        <v/>
      </c>
      <c r="H486" s="36"/>
      <c r="I486" s="39" t="str">
        <f aca="false">IF(E486="","",IF(AND(H486="Yes",F486="Standard 5%"),G486,0))</f>
        <v/>
      </c>
      <c r="J486" s="39" t="str">
        <f aca="false">IF(E486="","",E486+G486)</f>
        <v/>
      </c>
      <c r="K486" s="36"/>
      <c r="L486" s="36"/>
      <c r="M486" s="40" t="str">
        <f aca="false">IF(A486="","",IF(A486&lt;FY_START,0,(YEAR(A486)-YEAR(FY_START))*12+MONTH(A486)-MONTH(FY_START)+1))</f>
        <v/>
      </c>
      <c r="N486" s="40" t="str">
        <f aca="false">IF(A486="","",IF(AND(A486&gt;=VP_START,A486&lt;=VP_END),1,0))</f>
        <v/>
      </c>
    </row>
    <row r="487" customFormat="false" ht="15" hidden="false" customHeight="false" outlineLevel="0" collapsed="false">
      <c r="A487" s="37"/>
      <c r="B487" s="36"/>
      <c r="C487" s="36"/>
      <c r="D487" s="36"/>
      <c r="E487" s="38"/>
      <c r="F487" s="36"/>
      <c r="G487" s="39" t="str">
        <f aca="false">IF(E487="","",IF(F487="Standard 5%",E487*VAT_RATE,0))</f>
        <v/>
      </c>
      <c r="H487" s="36"/>
      <c r="I487" s="39" t="str">
        <f aca="false">IF(E487="","",IF(AND(H487="Yes",F487="Standard 5%"),G487,0))</f>
        <v/>
      </c>
      <c r="J487" s="39" t="str">
        <f aca="false">IF(E487="","",E487+G487)</f>
        <v/>
      </c>
      <c r="K487" s="36"/>
      <c r="L487" s="36"/>
      <c r="M487" s="40" t="str">
        <f aca="false">IF(A487="","",IF(A487&lt;FY_START,0,(YEAR(A487)-YEAR(FY_START))*12+MONTH(A487)-MONTH(FY_START)+1))</f>
        <v/>
      </c>
      <c r="N487" s="40" t="str">
        <f aca="false">IF(A487="","",IF(AND(A487&gt;=VP_START,A487&lt;=VP_END),1,0))</f>
        <v/>
      </c>
    </row>
    <row r="488" customFormat="false" ht="15" hidden="false" customHeight="false" outlineLevel="0" collapsed="false">
      <c r="A488" s="37"/>
      <c r="B488" s="36"/>
      <c r="C488" s="36"/>
      <c r="D488" s="36"/>
      <c r="E488" s="38"/>
      <c r="F488" s="36"/>
      <c r="G488" s="39" t="str">
        <f aca="false">IF(E488="","",IF(F488="Standard 5%",E488*VAT_RATE,0))</f>
        <v/>
      </c>
      <c r="H488" s="36"/>
      <c r="I488" s="39" t="str">
        <f aca="false">IF(E488="","",IF(AND(H488="Yes",F488="Standard 5%"),G488,0))</f>
        <v/>
      </c>
      <c r="J488" s="39" t="str">
        <f aca="false">IF(E488="","",E488+G488)</f>
        <v/>
      </c>
      <c r="K488" s="36"/>
      <c r="L488" s="36"/>
      <c r="M488" s="40" t="str">
        <f aca="false">IF(A488="","",IF(A488&lt;FY_START,0,(YEAR(A488)-YEAR(FY_START))*12+MONTH(A488)-MONTH(FY_START)+1))</f>
        <v/>
      </c>
      <c r="N488" s="40" t="str">
        <f aca="false">IF(A488="","",IF(AND(A488&gt;=VP_START,A488&lt;=VP_END),1,0))</f>
        <v/>
      </c>
    </row>
    <row r="489" customFormat="false" ht="15" hidden="false" customHeight="false" outlineLevel="0" collapsed="false">
      <c r="A489" s="37"/>
      <c r="B489" s="36"/>
      <c r="C489" s="36"/>
      <c r="D489" s="36"/>
      <c r="E489" s="38"/>
      <c r="F489" s="36"/>
      <c r="G489" s="39" t="str">
        <f aca="false">IF(E489="","",IF(F489="Standard 5%",E489*VAT_RATE,0))</f>
        <v/>
      </c>
      <c r="H489" s="36"/>
      <c r="I489" s="39" t="str">
        <f aca="false">IF(E489="","",IF(AND(H489="Yes",F489="Standard 5%"),G489,0))</f>
        <v/>
      </c>
      <c r="J489" s="39" t="str">
        <f aca="false">IF(E489="","",E489+G489)</f>
        <v/>
      </c>
      <c r="K489" s="36"/>
      <c r="L489" s="36"/>
      <c r="M489" s="40" t="str">
        <f aca="false">IF(A489="","",IF(A489&lt;FY_START,0,(YEAR(A489)-YEAR(FY_START))*12+MONTH(A489)-MONTH(FY_START)+1))</f>
        <v/>
      </c>
      <c r="N489" s="40" t="str">
        <f aca="false">IF(A489="","",IF(AND(A489&gt;=VP_START,A489&lt;=VP_END),1,0))</f>
        <v/>
      </c>
    </row>
    <row r="490" customFormat="false" ht="15" hidden="false" customHeight="false" outlineLevel="0" collapsed="false">
      <c r="A490" s="37"/>
      <c r="B490" s="36"/>
      <c r="C490" s="36"/>
      <c r="D490" s="36"/>
      <c r="E490" s="38"/>
      <c r="F490" s="36"/>
      <c r="G490" s="39" t="str">
        <f aca="false">IF(E490="","",IF(F490="Standard 5%",E490*VAT_RATE,0))</f>
        <v/>
      </c>
      <c r="H490" s="36"/>
      <c r="I490" s="39" t="str">
        <f aca="false">IF(E490="","",IF(AND(H490="Yes",F490="Standard 5%"),G490,0))</f>
        <v/>
      </c>
      <c r="J490" s="39" t="str">
        <f aca="false">IF(E490="","",E490+G490)</f>
        <v/>
      </c>
      <c r="K490" s="36"/>
      <c r="L490" s="36"/>
      <c r="M490" s="40" t="str">
        <f aca="false">IF(A490="","",IF(A490&lt;FY_START,0,(YEAR(A490)-YEAR(FY_START))*12+MONTH(A490)-MONTH(FY_START)+1))</f>
        <v/>
      </c>
      <c r="N490" s="40" t="str">
        <f aca="false">IF(A490="","",IF(AND(A490&gt;=VP_START,A490&lt;=VP_END),1,0))</f>
        <v/>
      </c>
    </row>
    <row r="491" customFormat="false" ht="15" hidden="false" customHeight="false" outlineLevel="0" collapsed="false">
      <c r="A491" s="37"/>
      <c r="B491" s="36"/>
      <c r="C491" s="36"/>
      <c r="D491" s="36"/>
      <c r="E491" s="38"/>
      <c r="F491" s="36"/>
      <c r="G491" s="39" t="str">
        <f aca="false">IF(E491="","",IF(F491="Standard 5%",E491*VAT_RATE,0))</f>
        <v/>
      </c>
      <c r="H491" s="36"/>
      <c r="I491" s="39" t="str">
        <f aca="false">IF(E491="","",IF(AND(H491="Yes",F491="Standard 5%"),G491,0))</f>
        <v/>
      </c>
      <c r="J491" s="39" t="str">
        <f aca="false">IF(E491="","",E491+G491)</f>
        <v/>
      </c>
      <c r="K491" s="36"/>
      <c r="L491" s="36"/>
      <c r="M491" s="40" t="str">
        <f aca="false">IF(A491="","",IF(A491&lt;FY_START,0,(YEAR(A491)-YEAR(FY_START))*12+MONTH(A491)-MONTH(FY_START)+1))</f>
        <v/>
      </c>
      <c r="N491" s="40" t="str">
        <f aca="false">IF(A491="","",IF(AND(A491&gt;=VP_START,A491&lt;=VP_END),1,0))</f>
        <v/>
      </c>
    </row>
    <row r="492" customFormat="false" ht="15" hidden="false" customHeight="false" outlineLevel="0" collapsed="false">
      <c r="A492" s="37"/>
      <c r="B492" s="36"/>
      <c r="C492" s="36"/>
      <c r="D492" s="36"/>
      <c r="E492" s="38"/>
      <c r="F492" s="36"/>
      <c r="G492" s="39" t="str">
        <f aca="false">IF(E492="","",IF(F492="Standard 5%",E492*VAT_RATE,0))</f>
        <v/>
      </c>
      <c r="H492" s="36"/>
      <c r="I492" s="39" t="str">
        <f aca="false">IF(E492="","",IF(AND(H492="Yes",F492="Standard 5%"),G492,0))</f>
        <v/>
      </c>
      <c r="J492" s="39" t="str">
        <f aca="false">IF(E492="","",E492+G492)</f>
        <v/>
      </c>
      <c r="K492" s="36"/>
      <c r="L492" s="36"/>
      <c r="M492" s="40" t="str">
        <f aca="false">IF(A492="","",IF(A492&lt;FY_START,0,(YEAR(A492)-YEAR(FY_START))*12+MONTH(A492)-MONTH(FY_START)+1))</f>
        <v/>
      </c>
      <c r="N492" s="40" t="str">
        <f aca="false">IF(A492="","",IF(AND(A492&gt;=VP_START,A492&lt;=VP_END),1,0))</f>
        <v/>
      </c>
    </row>
    <row r="493" customFormat="false" ht="15" hidden="false" customHeight="false" outlineLevel="0" collapsed="false">
      <c r="A493" s="37"/>
      <c r="B493" s="36"/>
      <c r="C493" s="36"/>
      <c r="D493" s="36"/>
      <c r="E493" s="38"/>
      <c r="F493" s="36"/>
      <c r="G493" s="39" t="str">
        <f aca="false">IF(E493="","",IF(F493="Standard 5%",E493*VAT_RATE,0))</f>
        <v/>
      </c>
      <c r="H493" s="36"/>
      <c r="I493" s="39" t="str">
        <f aca="false">IF(E493="","",IF(AND(H493="Yes",F493="Standard 5%"),G493,0))</f>
        <v/>
      </c>
      <c r="J493" s="39" t="str">
        <f aca="false">IF(E493="","",E493+G493)</f>
        <v/>
      </c>
      <c r="K493" s="36"/>
      <c r="L493" s="36"/>
      <c r="M493" s="40" t="str">
        <f aca="false">IF(A493="","",IF(A493&lt;FY_START,0,(YEAR(A493)-YEAR(FY_START))*12+MONTH(A493)-MONTH(FY_START)+1))</f>
        <v/>
      </c>
      <c r="N493" s="40" t="str">
        <f aca="false">IF(A493="","",IF(AND(A493&gt;=VP_START,A493&lt;=VP_END),1,0))</f>
        <v/>
      </c>
    </row>
    <row r="494" customFormat="false" ht="15" hidden="false" customHeight="false" outlineLevel="0" collapsed="false">
      <c r="A494" s="37"/>
      <c r="B494" s="36"/>
      <c r="C494" s="36"/>
      <c r="D494" s="36"/>
      <c r="E494" s="38"/>
      <c r="F494" s="36"/>
      <c r="G494" s="39" t="str">
        <f aca="false">IF(E494="","",IF(F494="Standard 5%",E494*VAT_RATE,0))</f>
        <v/>
      </c>
      <c r="H494" s="36"/>
      <c r="I494" s="39" t="str">
        <f aca="false">IF(E494="","",IF(AND(H494="Yes",F494="Standard 5%"),G494,0))</f>
        <v/>
      </c>
      <c r="J494" s="39" t="str">
        <f aca="false">IF(E494="","",E494+G494)</f>
        <v/>
      </c>
      <c r="K494" s="36"/>
      <c r="L494" s="36"/>
      <c r="M494" s="40" t="str">
        <f aca="false">IF(A494="","",IF(A494&lt;FY_START,0,(YEAR(A494)-YEAR(FY_START))*12+MONTH(A494)-MONTH(FY_START)+1))</f>
        <v/>
      </c>
      <c r="N494" s="40" t="str">
        <f aca="false">IF(A494="","",IF(AND(A494&gt;=VP_START,A494&lt;=VP_END),1,0))</f>
        <v/>
      </c>
    </row>
    <row r="495" customFormat="false" ht="15" hidden="false" customHeight="false" outlineLevel="0" collapsed="false">
      <c r="A495" s="37"/>
      <c r="B495" s="36"/>
      <c r="C495" s="36"/>
      <c r="D495" s="36"/>
      <c r="E495" s="38"/>
      <c r="F495" s="36"/>
      <c r="G495" s="39" t="str">
        <f aca="false">IF(E495="","",IF(F495="Standard 5%",E495*VAT_RATE,0))</f>
        <v/>
      </c>
      <c r="H495" s="36"/>
      <c r="I495" s="39" t="str">
        <f aca="false">IF(E495="","",IF(AND(H495="Yes",F495="Standard 5%"),G495,0))</f>
        <v/>
      </c>
      <c r="J495" s="39" t="str">
        <f aca="false">IF(E495="","",E495+G495)</f>
        <v/>
      </c>
      <c r="K495" s="36"/>
      <c r="L495" s="36"/>
      <c r="M495" s="40" t="str">
        <f aca="false">IF(A495="","",IF(A495&lt;FY_START,0,(YEAR(A495)-YEAR(FY_START))*12+MONTH(A495)-MONTH(FY_START)+1))</f>
        <v/>
      </c>
      <c r="N495" s="40" t="str">
        <f aca="false">IF(A495="","",IF(AND(A495&gt;=VP_START,A495&lt;=VP_END),1,0))</f>
        <v/>
      </c>
    </row>
    <row r="496" customFormat="false" ht="15" hidden="false" customHeight="false" outlineLevel="0" collapsed="false">
      <c r="A496" s="37"/>
      <c r="B496" s="36"/>
      <c r="C496" s="36"/>
      <c r="D496" s="36"/>
      <c r="E496" s="38"/>
      <c r="F496" s="36"/>
      <c r="G496" s="39" t="str">
        <f aca="false">IF(E496="","",IF(F496="Standard 5%",E496*VAT_RATE,0))</f>
        <v/>
      </c>
      <c r="H496" s="36"/>
      <c r="I496" s="39" t="str">
        <f aca="false">IF(E496="","",IF(AND(H496="Yes",F496="Standard 5%"),G496,0))</f>
        <v/>
      </c>
      <c r="J496" s="39" t="str">
        <f aca="false">IF(E496="","",E496+G496)</f>
        <v/>
      </c>
      <c r="K496" s="36"/>
      <c r="L496" s="36"/>
      <c r="M496" s="40" t="str">
        <f aca="false">IF(A496="","",IF(A496&lt;FY_START,0,(YEAR(A496)-YEAR(FY_START))*12+MONTH(A496)-MONTH(FY_START)+1))</f>
        <v/>
      </c>
      <c r="N496" s="40" t="str">
        <f aca="false">IF(A496="","",IF(AND(A496&gt;=VP_START,A496&lt;=VP_END),1,0))</f>
        <v/>
      </c>
    </row>
    <row r="497" customFormat="false" ht="15" hidden="false" customHeight="false" outlineLevel="0" collapsed="false">
      <c r="A497" s="37"/>
      <c r="B497" s="36"/>
      <c r="C497" s="36"/>
      <c r="D497" s="36"/>
      <c r="E497" s="38"/>
      <c r="F497" s="36"/>
      <c r="G497" s="39" t="str">
        <f aca="false">IF(E497="","",IF(F497="Standard 5%",E497*VAT_RATE,0))</f>
        <v/>
      </c>
      <c r="H497" s="36"/>
      <c r="I497" s="39" t="str">
        <f aca="false">IF(E497="","",IF(AND(H497="Yes",F497="Standard 5%"),G497,0))</f>
        <v/>
      </c>
      <c r="J497" s="39" t="str">
        <f aca="false">IF(E497="","",E497+G497)</f>
        <v/>
      </c>
      <c r="K497" s="36"/>
      <c r="L497" s="36"/>
      <c r="M497" s="40" t="str">
        <f aca="false">IF(A497="","",IF(A497&lt;FY_START,0,(YEAR(A497)-YEAR(FY_START))*12+MONTH(A497)-MONTH(FY_START)+1))</f>
        <v/>
      </c>
      <c r="N497" s="40" t="str">
        <f aca="false">IF(A497="","",IF(AND(A497&gt;=VP_START,A497&lt;=VP_END),1,0))</f>
        <v/>
      </c>
    </row>
    <row r="498" customFormat="false" ht="15" hidden="false" customHeight="false" outlineLevel="0" collapsed="false">
      <c r="A498" s="37"/>
      <c r="B498" s="36"/>
      <c r="C498" s="36"/>
      <c r="D498" s="36"/>
      <c r="E498" s="38"/>
      <c r="F498" s="36"/>
      <c r="G498" s="39" t="str">
        <f aca="false">IF(E498="","",IF(F498="Standard 5%",E498*VAT_RATE,0))</f>
        <v/>
      </c>
      <c r="H498" s="36"/>
      <c r="I498" s="39" t="str">
        <f aca="false">IF(E498="","",IF(AND(H498="Yes",F498="Standard 5%"),G498,0))</f>
        <v/>
      </c>
      <c r="J498" s="39" t="str">
        <f aca="false">IF(E498="","",E498+G498)</f>
        <v/>
      </c>
      <c r="K498" s="36"/>
      <c r="L498" s="36"/>
      <c r="M498" s="40" t="str">
        <f aca="false">IF(A498="","",IF(A498&lt;FY_START,0,(YEAR(A498)-YEAR(FY_START))*12+MONTH(A498)-MONTH(FY_START)+1))</f>
        <v/>
      </c>
      <c r="N498" s="40" t="str">
        <f aca="false">IF(A498="","",IF(AND(A498&gt;=VP_START,A498&lt;=VP_END),1,0))</f>
        <v/>
      </c>
    </row>
    <row r="499" customFormat="false" ht="15" hidden="false" customHeight="false" outlineLevel="0" collapsed="false">
      <c r="A499" s="37"/>
      <c r="B499" s="36"/>
      <c r="C499" s="36"/>
      <c r="D499" s="36"/>
      <c r="E499" s="38"/>
      <c r="F499" s="36"/>
      <c r="G499" s="39" t="str">
        <f aca="false">IF(E499="","",IF(F499="Standard 5%",E499*VAT_RATE,0))</f>
        <v/>
      </c>
      <c r="H499" s="36"/>
      <c r="I499" s="39" t="str">
        <f aca="false">IF(E499="","",IF(AND(H499="Yes",F499="Standard 5%"),G499,0))</f>
        <v/>
      </c>
      <c r="J499" s="39" t="str">
        <f aca="false">IF(E499="","",E499+G499)</f>
        <v/>
      </c>
      <c r="K499" s="36"/>
      <c r="L499" s="36"/>
      <c r="M499" s="40" t="str">
        <f aca="false">IF(A499="","",IF(A499&lt;FY_START,0,(YEAR(A499)-YEAR(FY_START))*12+MONTH(A499)-MONTH(FY_START)+1))</f>
        <v/>
      </c>
      <c r="N499" s="40" t="str">
        <f aca="false">IF(A499="","",IF(AND(A499&gt;=VP_START,A499&lt;=VP_END),1,0))</f>
        <v/>
      </c>
    </row>
    <row r="500" customFormat="false" ht="15" hidden="false" customHeight="false" outlineLevel="0" collapsed="false">
      <c r="A500" s="37"/>
      <c r="B500" s="36"/>
      <c r="C500" s="36"/>
      <c r="D500" s="36"/>
      <c r="E500" s="38"/>
      <c r="F500" s="36"/>
      <c r="G500" s="39" t="str">
        <f aca="false">IF(E500="","",IF(F500="Standard 5%",E500*VAT_RATE,0))</f>
        <v/>
      </c>
      <c r="H500" s="36"/>
      <c r="I500" s="39" t="str">
        <f aca="false">IF(E500="","",IF(AND(H500="Yes",F500="Standard 5%"),G500,0))</f>
        <v/>
      </c>
      <c r="J500" s="39" t="str">
        <f aca="false">IF(E500="","",E500+G500)</f>
        <v/>
      </c>
      <c r="K500" s="36"/>
      <c r="L500" s="36"/>
      <c r="M500" s="40" t="str">
        <f aca="false">IF(A500="","",IF(A500&lt;FY_START,0,(YEAR(A500)-YEAR(FY_START))*12+MONTH(A500)-MONTH(FY_START)+1))</f>
        <v/>
      </c>
      <c r="N500" s="40" t="str">
        <f aca="false">IF(A500="","",IF(AND(A500&gt;=VP_START,A500&lt;=VP_END),1,0))</f>
        <v/>
      </c>
    </row>
    <row r="501" customFormat="false" ht="15" hidden="false" customHeight="false" outlineLevel="0" collapsed="false">
      <c r="A501" s="37"/>
      <c r="B501" s="36"/>
      <c r="C501" s="36"/>
      <c r="D501" s="36"/>
      <c r="E501" s="38"/>
      <c r="F501" s="36"/>
      <c r="G501" s="39" t="str">
        <f aca="false">IF(E501="","",IF(F501="Standard 5%",E501*VAT_RATE,0))</f>
        <v/>
      </c>
      <c r="H501" s="36"/>
      <c r="I501" s="39" t="str">
        <f aca="false">IF(E501="","",IF(AND(H501="Yes",F501="Standard 5%"),G501,0))</f>
        <v/>
      </c>
      <c r="J501" s="39" t="str">
        <f aca="false">IF(E501="","",E501+G501)</f>
        <v/>
      </c>
      <c r="K501" s="36"/>
      <c r="L501" s="36"/>
      <c r="M501" s="40" t="str">
        <f aca="false">IF(A501="","",IF(A501&lt;FY_START,0,(YEAR(A501)-YEAR(FY_START))*12+MONTH(A501)-MONTH(FY_START)+1))</f>
        <v/>
      </c>
      <c r="N501" s="40" t="str">
        <f aca="false">IF(A501="","",IF(AND(A501&gt;=VP_START,A501&lt;=VP_END),1,0))</f>
        <v/>
      </c>
    </row>
    <row r="502" customFormat="false" ht="15" hidden="false" customHeight="false" outlineLevel="0" collapsed="false">
      <c r="A502" s="37"/>
      <c r="B502" s="36"/>
      <c r="C502" s="36"/>
      <c r="D502" s="36"/>
      <c r="E502" s="38"/>
      <c r="F502" s="36"/>
      <c r="G502" s="39" t="str">
        <f aca="false">IF(E502="","",IF(F502="Standard 5%",E502*VAT_RATE,0))</f>
        <v/>
      </c>
      <c r="H502" s="36"/>
      <c r="I502" s="39" t="str">
        <f aca="false">IF(E502="","",IF(AND(H502="Yes",F502="Standard 5%"),G502,0))</f>
        <v/>
      </c>
      <c r="J502" s="39" t="str">
        <f aca="false">IF(E502="","",E502+G502)</f>
        <v/>
      </c>
      <c r="K502" s="36"/>
      <c r="L502" s="36"/>
      <c r="M502" s="40" t="str">
        <f aca="false">IF(A502="","",IF(A502&lt;FY_START,0,(YEAR(A502)-YEAR(FY_START))*12+MONTH(A502)-MONTH(FY_START)+1))</f>
        <v/>
      </c>
      <c r="N502" s="40" t="str">
        <f aca="false">IF(A502="","",IF(AND(A502&gt;=VP_START,A502&lt;=VP_END),1,0))</f>
        <v/>
      </c>
    </row>
    <row r="503" customFormat="false" ht="15" hidden="false" customHeight="false" outlineLevel="0" collapsed="false">
      <c r="A503" s="37"/>
      <c r="B503" s="36"/>
      <c r="C503" s="36"/>
      <c r="D503" s="36"/>
      <c r="E503" s="38"/>
      <c r="F503" s="36"/>
      <c r="G503" s="39" t="str">
        <f aca="false">IF(E503="","",IF(F503="Standard 5%",E503*VAT_RATE,0))</f>
        <v/>
      </c>
      <c r="H503" s="36"/>
      <c r="I503" s="39" t="str">
        <f aca="false">IF(E503="","",IF(AND(H503="Yes",F503="Standard 5%"),G503,0))</f>
        <v/>
      </c>
      <c r="J503" s="39" t="str">
        <f aca="false">IF(E503="","",E503+G503)</f>
        <v/>
      </c>
      <c r="K503" s="36"/>
      <c r="L503" s="36"/>
      <c r="M503" s="40" t="str">
        <f aca="false">IF(A503="","",IF(A503&lt;FY_START,0,(YEAR(A503)-YEAR(FY_START))*12+MONTH(A503)-MONTH(FY_START)+1))</f>
        <v/>
      </c>
      <c r="N503" s="40" t="str">
        <f aca="false">IF(A503="","",IF(AND(A503&gt;=VP_START,A503&lt;=VP_END),1,0))</f>
        <v/>
      </c>
    </row>
  </sheetData>
  <autoFilter ref="A3:N503"/>
  <conditionalFormatting sqref="F4:F503">
    <cfRule type="expression" priority="2" aboveAverage="0" equalAverage="0" bottom="0" percent="0" rank="0" text="" dxfId="11">
      <formula>AND($F4&lt;&gt;"",ISNA(MATCH($F4,INDIRECT("Settings!$G$4:$G$7"),0)))</formula>
    </cfRule>
  </conditionalFormatting>
  <dataValidations count="4">
    <dataValidation allowBlank="true" errorStyle="stop" operator="between" showDropDown="false" showErrorMessage="false" showInputMessage="false" sqref="D4:D503" type="list">
      <formula1>Settings!$F$4:$F$16</formula1>
      <formula2>0</formula2>
    </dataValidation>
    <dataValidation allowBlank="true" errorStyle="stop" operator="between" showDropDown="false" showErrorMessage="false" showInputMessage="false" sqref="F4:F503" type="list">
      <formula1>Settings!$G$4:$G$7</formula1>
      <formula2>0</formula2>
    </dataValidation>
    <dataValidation allowBlank="true" errorStyle="stop" operator="between" showDropDown="false" showErrorMessage="false" showInputMessage="false" sqref="H4:H503 L4:L503" type="list">
      <formula1>Settings!$G$10:$G$11</formula1>
      <formula2>0</formula2>
    </dataValidation>
    <dataValidation allowBlank="true" errorStyle="stop" operator="between" showDropDown="false" showErrorMessage="false" showInputMessage="false" sqref="K4:K503" type="list">
      <formula1>Settings!$G$14:$G$19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4" min="3" style="0" width="20"/>
    <col collapsed="false" customWidth="true" hidden="false" outlineLevel="0" max="5" min="5" style="0" width="50"/>
  </cols>
  <sheetData>
    <row r="1" customFormat="false" ht="19.7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4" customFormat="false" ht="15" hidden="false" customHeight="false" outlineLevel="0" collapsed="false">
      <c r="B4" s="31" t="s">
        <v>173</v>
      </c>
      <c r="C4" s="41" t="n">
        <f aca="false">VP_START</f>
        <v>46023</v>
      </c>
    </row>
    <row r="5" customFormat="false" ht="15" hidden="false" customHeight="false" outlineLevel="0" collapsed="false">
      <c r="B5" s="31" t="s">
        <v>174</v>
      </c>
      <c r="C5" s="41" t="n">
        <f aca="false">VP_END</f>
        <v>46112</v>
      </c>
    </row>
    <row r="6" customFormat="false" ht="15" hidden="false" customHeight="false" outlineLevel="0" collapsed="false">
      <c r="B6" s="31" t="s">
        <v>175</v>
      </c>
      <c r="C6" s="42" t="str">
        <f aca="false">Settings!B6</f>
        <v>Yes</v>
      </c>
    </row>
    <row r="8" customFormat="false" ht="31.5" hidden="false" customHeight="true" outlineLevel="0" collapsed="false">
      <c r="A8" s="11" t="s">
        <v>176</v>
      </c>
      <c r="B8" s="11" t="s">
        <v>136</v>
      </c>
      <c r="C8" s="11" t="s">
        <v>177</v>
      </c>
      <c r="D8" s="11" t="s">
        <v>178</v>
      </c>
      <c r="E8" s="11" t="s">
        <v>179</v>
      </c>
    </row>
    <row r="9" customFormat="false" ht="15" hidden="false" customHeight="false" outlineLevel="0" collapsed="false">
      <c r="A9" s="22" t="s">
        <v>180</v>
      </c>
      <c r="B9" s="22" t="s">
        <v>181</v>
      </c>
      <c r="C9" s="39" t="n">
        <f aca="false">SUMIFS(Income!$F$4:$F$503,Income!$G$4:$G$503,"Standard 5%",Income!$P$4:$P$503,1)</f>
        <v>16500</v>
      </c>
      <c r="D9" s="39" t="n">
        <f aca="false">SUMIFS(Income!$H$4:$H$503,Income!$G$4:$G$503,"Standard 5%",Income!$P$4:$P$503,1)</f>
        <v>825</v>
      </c>
      <c r="E9" s="43" t="s">
        <v>182</v>
      </c>
    </row>
    <row r="10" customFormat="false" ht="15" hidden="false" customHeight="false" outlineLevel="0" collapsed="false">
      <c r="A10" s="22" t="s">
        <v>183</v>
      </c>
      <c r="B10" s="22" t="s">
        <v>184</v>
      </c>
      <c r="C10" s="39" t="n">
        <f aca="false">SUMIFS(Income!$F$4:$F$503,Income!$G$4:$G$503,"Zero-rated 0%",Income!$P$4:$P$503,1)</f>
        <v>8000</v>
      </c>
      <c r="D10" s="39" t="n">
        <f aca="false">0</f>
        <v>0</v>
      </c>
      <c r="E10" s="43" t="s">
        <v>185</v>
      </c>
    </row>
    <row r="11" customFormat="false" ht="15" hidden="false" customHeight="false" outlineLevel="0" collapsed="false">
      <c r="A11" s="22" t="s">
        <v>186</v>
      </c>
      <c r="B11" s="22" t="s">
        <v>187</v>
      </c>
      <c r="C11" s="39" t="n">
        <f aca="false">SUMIFS(Income!$F$4:$F$503,Income!$G$4:$G$503,"Exempt",Income!$P$4:$P$503,1)</f>
        <v>0</v>
      </c>
      <c r="D11" s="39" t="n">
        <f aca="false">0</f>
        <v>0</v>
      </c>
      <c r="E11" s="43" t="s">
        <v>188</v>
      </c>
    </row>
    <row r="12" customFormat="false" ht="15" hidden="false" customHeight="false" outlineLevel="0" collapsed="false">
      <c r="A12" s="22" t="s">
        <v>189</v>
      </c>
      <c r="B12" s="22" t="s">
        <v>190</v>
      </c>
      <c r="C12" s="39" t="n">
        <f aca="false">SUMIFS(Income!$F$4:$F$503,Income!$G$4:$G$503,"Out of scope",Income!$P$4:$P$503,1)</f>
        <v>0</v>
      </c>
      <c r="D12" s="39" t="n">
        <f aca="false">0</f>
        <v>0</v>
      </c>
      <c r="E12" s="43" t="s">
        <v>191</v>
      </c>
    </row>
    <row r="13" customFormat="false" ht="15" hidden="false" customHeight="false" outlineLevel="0" collapsed="false">
      <c r="A13" s="18" t="s">
        <v>192</v>
      </c>
      <c r="B13" s="18" t="s">
        <v>193</v>
      </c>
      <c r="C13" s="44" t="n">
        <f aca="false">C9+C10+C11</f>
        <v>24500</v>
      </c>
      <c r="D13" s="44" t="n">
        <f aca="false">D9+D10+D11</f>
        <v>825</v>
      </c>
      <c r="E13" s="45" t="s">
        <v>194</v>
      </c>
    </row>
    <row r="14" customFormat="false" ht="23.85" hidden="false" customHeight="false" outlineLevel="0" collapsed="false">
      <c r="A14" s="22" t="s">
        <v>195</v>
      </c>
      <c r="B14" s="22" t="s">
        <v>196</v>
      </c>
      <c r="C14" s="39" t="n">
        <f aca="false">SUMIFS(Expenses!$E$4:$E$503,Expenses!$H$4:$H$503,"Yes",Expenses!$F$4:$F$503,"Standard 5%",Expenses!$N$4:$N$503,1)</f>
        <v>3900</v>
      </c>
      <c r="D14" s="39" t="n">
        <f aca="false">SUMIFS(Expenses!$I$4:$I$503,Expenses!$N$4:$N$503,1)</f>
        <v>195</v>
      </c>
      <c r="E14" s="43" t="s">
        <v>197</v>
      </c>
    </row>
    <row r="15" customFormat="false" ht="15" hidden="false" customHeight="false" outlineLevel="0" collapsed="false">
      <c r="A15" s="18" t="s">
        <v>198</v>
      </c>
      <c r="B15" s="18" t="s">
        <v>199</v>
      </c>
      <c r="C15" s="44" t="n">
        <f aca="false">C14</f>
        <v>3900</v>
      </c>
      <c r="D15" s="44" t="n">
        <f aca="false">D14</f>
        <v>195</v>
      </c>
      <c r="E15" s="45"/>
    </row>
    <row r="16" customFormat="false" ht="15" hidden="false" customHeight="false" outlineLevel="0" collapsed="false">
      <c r="A16" s="18" t="s">
        <v>200</v>
      </c>
      <c r="B16" s="18" t="s">
        <v>201</v>
      </c>
      <c r="C16" s="44"/>
      <c r="D16" s="46" t="n">
        <f aca="false">D13-D15</f>
        <v>630</v>
      </c>
      <c r="E16" s="45" t="s">
        <v>202</v>
      </c>
    </row>
    <row r="17" customFormat="false" ht="15" hidden="false" customHeight="false" outlineLevel="0" collapsed="false">
      <c r="B17" s="12" t="s">
        <v>203</v>
      </c>
      <c r="D17" s="47" t="n">
        <f aca="false">SUMIFS(Income!$F$4:$F$503,Income!$P$4:$P$503,1)-C9-C10-C11-C12</f>
        <v>0</v>
      </c>
    </row>
    <row r="18" customFormat="false" ht="15" hidden="false" customHeight="false" outlineLevel="0" collapsed="false">
      <c r="B18" s="12" t="s">
        <v>204</v>
      </c>
      <c r="D18" s="48" t="n">
        <f aca="false">SUMIFS(Expenses!$G$4:$G$503,Expenses!$N$4:$N$503,1)-D14</f>
        <v>0</v>
      </c>
    </row>
    <row r="19" customFormat="false" ht="15" hidden="false" customHeight="false" outlineLevel="0" collapsed="false">
      <c r="B19" s="12" t="s">
        <v>205</v>
      </c>
      <c r="D19" s="47" t="n">
        <f aca="false">SUMIFS(Expenses!$E$4:$E$503,Expenses!$N$4:$N$503,1)-SUMIFS(Expenses!$E$4:$E$503,Expenses!$F$4:$F$503,"Standard 5%",Expenses!$N$4:$N$503,1)-SUMIFS(Expenses!$E$4:$E$503,Expenses!$F$4:$F$503,"Zero-rated 0%",Expenses!$N$4:$N$503,1)-SUMIFS(Expenses!$E$4:$E$503,Expenses!$F$4:$F$503,"Exempt",Expenses!$N$4:$N$503,1)-SUMIFS(Expenses!$E$4:$E$503,Expenses!$F$4:$F$503,"Out of scope",Expenses!$N$4:$N$503,1)</f>
        <v>0</v>
      </c>
    </row>
    <row r="20" customFormat="false" ht="15" hidden="false" customHeight="false" outlineLevel="0" collapsed="false">
      <c r="B20" s="12" t="s">
        <v>206</v>
      </c>
      <c r="D20" s="48" t="n">
        <f aca="true">SUMIFS(Income!$F$4:$F$503,Income!$G$4:$G$503,"Standard 5%",Income!$A$4:$A$503,"&gt;"&amp;(TODAY()-365))+SUMIFS(Income!$F$4:$F$503,Income!$G$4:$G$503,"Zero-rated 0%",Income!$A$4:$A$503,"&gt;"&amp;(TODAY()-365))</f>
        <v>24500</v>
      </c>
    </row>
    <row r="21" customFormat="false" ht="15" hidden="false" customHeight="false" outlineLevel="0" collapsed="false">
      <c r="B21" s="12" t="s">
        <v>207</v>
      </c>
      <c r="D21" s="49" t="str">
        <f aca="false">IF(D20&gt;=VAT_MAND,"ABOVE MANDATORY THRESHOLD — must be registered",IF(D20&gt;=VAT_VOL,"Above voluntary threshold — may register","Below voluntary threshold"))</f>
        <v>Below voluntary threshold</v>
      </c>
    </row>
    <row r="23" customFormat="false" ht="30" hidden="false" customHeight="true" outlineLevel="0" collapsed="false">
      <c r="B23" s="50" t="s">
        <v>208</v>
      </c>
      <c r="C23" s="50"/>
      <c r="D23" s="50"/>
      <c r="E23" s="50"/>
    </row>
  </sheetData>
  <mergeCells count="1">
    <mergeCell ref="B23:E23"/>
  </mergeCells>
  <conditionalFormatting sqref="D17">
    <cfRule type="cellIs" priority="2" operator="notEqual" aboveAverage="0" equalAverage="0" bottom="0" percent="0" rank="0" text="" dxfId="11">
      <formula>0</formula>
    </cfRule>
  </conditionalFormatting>
  <conditionalFormatting sqref="D19">
    <cfRule type="cellIs" priority="3" operator="notEqual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209</v>
      </c>
    </row>
    <row r="2" customFormat="false" ht="15" hidden="false" customHeight="false" outlineLevel="0" collapsed="false">
      <c r="A2" s="2" t="s">
        <v>210</v>
      </c>
    </row>
    <row r="3" customFormat="false" ht="31.5" hidden="false" customHeight="true" outlineLevel="0" collapsed="false">
      <c r="A3" s="11" t="s">
        <v>211</v>
      </c>
      <c r="B3" s="11" t="s">
        <v>212</v>
      </c>
      <c r="C3" s="11" t="s">
        <v>213</v>
      </c>
    </row>
    <row r="4" customFormat="false" ht="15" hidden="false" customHeight="false" outlineLevel="0" collapsed="false">
      <c r="A4" s="12" t="s">
        <v>214</v>
      </c>
      <c r="B4" s="51" t="str">
        <f aca="false">TEXT(FY_START,"dd-mmm-yyyy")&amp;" to "&amp;TEXT(EDATE(FY_START,12)-1,"dd-mmm-yyyy")</f>
        <v>01-Jan-2026 to 31-Dec-2026</v>
      </c>
      <c r="C4" s="24" t="s">
        <v>215</v>
      </c>
    </row>
    <row r="5" customFormat="false" ht="15" hidden="false" customHeight="false" outlineLevel="0" collapsed="false">
      <c r="A5" s="12" t="s">
        <v>216</v>
      </c>
      <c r="B5" s="52" t="n">
        <f aca="false">SUMIFS(Income!$F$4:$F$503,Income!$A$4:$A$503,"&gt;="&amp;FY_START,Income!$A$4:$A$503,"&lt;="&amp;EDATE(FY_START,12)-1)</f>
        <v>24500</v>
      </c>
      <c r="C5" s="24" t="s">
        <v>217</v>
      </c>
    </row>
    <row r="6" customFormat="false" ht="15" hidden="false" customHeight="false" outlineLevel="0" collapsed="false">
      <c r="A6" s="12" t="s">
        <v>218</v>
      </c>
      <c r="B6" s="52" t="n">
        <f aca="false">SUMIFS(Expenses!$E$4:$E$503,Expenses!$L$4:$L$503,"Yes",Expenses!$A$4:$A$503,"&gt;="&amp;FY_START,Expenses!$A$4:$A$503,"&lt;="&amp;EDATE(FY_START,12)-1)</f>
        <v>11400</v>
      </c>
      <c r="C6" s="24" t="s">
        <v>219</v>
      </c>
    </row>
    <row r="7" customFormat="false" ht="15" hidden="false" customHeight="false" outlineLevel="0" collapsed="false">
      <c r="A7" s="12" t="s">
        <v>220</v>
      </c>
      <c r="B7" s="52" t="n">
        <f aca="false">SUMIFS(Expenses!$G$4:$G$503,Expenses!$L$4:$L$503,"Yes",Expenses!$H$4:$H$503,"No",Expenses!$A$4:$A$503,"&gt;="&amp;FY_START,Expenses!$A$4:$A$503,"&lt;="&amp;EDATE(FY_START,12)-1)</f>
        <v>0</v>
      </c>
      <c r="C7" s="24" t="s">
        <v>221</v>
      </c>
    </row>
    <row r="8" customFormat="false" ht="15" hidden="false" customHeight="false" outlineLevel="0" collapsed="false">
      <c r="A8" s="12" t="s">
        <v>222</v>
      </c>
      <c r="B8" s="53" t="n">
        <v>0</v>
      </c>
      <c r="C8" s="24" t="s">
        <v>223</v>
      </c>
    </row>
    <row r="9" customFormat="false" ht="15" hidden="false" customHeight="false" outlineLevel="0" collapsed="false">
      <c r="A9" s="12" t="s">
        <v>224</v>
      </c>
      <c r="B9" s="52" t="n">
        <f aca="false">B5-B6-B7+B8</f>
        <v>13100</v>
      </c>
      <c r="C9" s="24" t="s">
        <v>225</v>
      </c>
    </row>
    <row r="10" customFormat="false" ht="15" hidden="false" customHeight="false" outlineLevel="0" collapsed="false">
      <c r="A10" s="12" t="s">
        <v>226</v>
      </c>
      <c r="B10" s="51" t="str">
        <f aca="false">SBR_ELECT</f>
        <v>Yes</v>
      </c>
      <c r="C10" s="24" t="s">
        <v>215</v>
      </c>
    </row>
    <row r="11" customFormat="false" ht="15" hidden="false" customHeight="false" outlineLevel="0" collapsed="false">
      <c r="A11" s="12" t="s">
        <v>227</v>
      </c>
      <c r="B11" s="51" t="str">
        <f aca="false">IF(AND(SBR_ELECT="Yes",B5&lt;=SBR_LIMIT,EDATE(FY_START,12)-1&lt;=SBR_END),"Yes","No")</f>
        <v>Yes</v>
      </c>
      <c r="C11" s="24" t="s">
        <v>228</v>
      </c>
    </row>
    <row r="12" customFormat="false" ht="15" hidden="false" customHeight="false" outlineLevel="0" collapsed="false">
      <c r="A12" s="12" t="s">
        <v>229</v>
      </c>
      <c r="B12" s="52" t="n">
        <f aca="false">MAX(0,B9-CT_BAND)</f>
        <v>0</v>
      </c>
      <c r="C12" s="24" t="s">
        <v>230</v>
      </c>
    </row>
    <row r="13" customFormat="false" ht="15" hidden="false" customHeight="false" outlineLevel="0" collapsed="false">
      <c r="A13" s="18" t="s">
        <v>231</v>
      </c>
      <c r="B13" s="54" t="n">
        <f aca="false">IF(B11="Yes",0,B12*CT_RATE)</f>
        <v>0</v>
      </c>
      <c r="C13" s="24" t="s">
        <v>232</v>
      </c>
    </row>
    <row r="14" customFormat="false" ht="15" hidden="false" customHeight="false" outlineLevel="0" collapsed="false">
      <c r="A14" s="12" t="s">
        <v>233</v>
      </c>
      <c r="B14" s="55" t="n">
        <f aca="false">IF(B9&lt;=0,0,B13/B9)</f>
        <v>0</v>
      </c>
      <c r="C14" s="24"/>
    </row>
    <row r="15" customFormat="false" ht="15" hidden="false" customHeight="false" outlineLevel="0" collapsed="false">
      <c r="A15" s="12" t="s">
        <v>234</v>
      </c>
      <c r="B15" s="52" t="n">
        <f aca="false">B13/12</f>
        <v>0</v>
      </c>
      <c r="C15" s="24" t="s">
        <v>235</v>
      </c>
    </row>
    <row r="18" customFormat="false" ht="45" hidden="false" customHeight="true" outlineLevel="0" collapsed="false">
      <c r="A18" s="50" t="s">
        <v>236</v>
      </c>
      <c r="B18" s="50"/>
      <c r="C18" s="50"/>
    </row>
  </sheetData>
  <mergeCells count="1"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2026-09-20T07:22:09Z</dcterms:created>
  <dc:creator>openpyxl</dc:creator>
  <dc:description/>
  <dc:language>en-US</dc:language>
  <cp:lastModifiedBy/>
  <dcterms:modified xsi:type="dcterms:W3CDTF">2026-09-20T07:22:10Z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