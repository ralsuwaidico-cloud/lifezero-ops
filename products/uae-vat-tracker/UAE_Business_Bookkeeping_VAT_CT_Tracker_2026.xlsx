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<sst xmlns="http://schemas.openxmlformats.org/spreadsheetml/2006/main" count="274" uniqueCount="235">
  <si>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</si>
  <si>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</si>
  <si>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</si>
  <si>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</si>
  <si>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</si>
  <si>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</si>
  <si>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</si>
  <si>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</si>
  <si>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</si>
  <si>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</si>
  <si>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</si>
  <si>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</si>
  <si>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</si>
  <si>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</si>
  <si>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2029 — extended from 2026 by Ministerial Decision 131 of 2026 (issued 29 July 2026).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</si>
  <si>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</si>
  <si>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</si>
  <si>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</si>
  <si>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</si>
  <si>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</si>
  <si>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</si>
  <si>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</si>
  <si>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</si>
  <si>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</si>
  <si>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</si>
  <si>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</si>
  <si>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</si>
  <si>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</si>
  <si>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</si>
  <si>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</si>
  <si>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</si>
  <si>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</si>
  <si>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</si>
  <si>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</si>
  <si>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</si>
  <si>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</si>
  <si>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</si>
  <si>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</si>
  <si>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</si>
  <si>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</si>
  <si>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</si>
  <si>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</si>
  <si>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</si>
  <si>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</si>
  <si>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</si>
  <si>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</si>
  <si>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</si>
  <si>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</si>
  <si>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</si>
  <si>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</si>
  <si>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</si>
  <si>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</si>
  <si>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</si>
  <si>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</si>
  <si>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</si>
  <si>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</si>
  <si>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</si>
  <si>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</si>
  <si>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</si>
  <si>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</si>
  <si>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</si>
  <si>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</si>
  <si>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</si>
  <si>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</si>
  <si>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</si>
  <si>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</si>
  <si>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</si>
  <si>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</si>
  <si>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</si>
  <si>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</si>
  <si>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</si>
  <si>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</si>
  <si>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</si>
  <si>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</si>
  <si>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</si>
  <si>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</si>
  <si>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</si>
  <si>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</si>
  <si>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</si>
  <si>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</si>
  <si>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</si>
  <si>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</si>
  <si>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</si>
  <si>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</si>
  <si>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</si>
  <si>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</si>
  <si>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</si>
  <si>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</si>
  <si>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</si>
  <si>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</si>
  <si>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</si>
  <si>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</si>
  <si>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</si>
  <si>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</si>
  <si>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</si>
  <si>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</si>
  <si>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</si>
  <si>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</si>
  <si>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</si>
  <si>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2029 (extended by Ministerial Decision 131 of 2026). Election is made in the CT return, every period — it is not automatic.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</si>
  <si>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</si>
  <si>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</si>
  <si>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</si>
  <si>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</si>
  <si>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</si>
  <si>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 Extended from 31 Dec 2026 to 31 Dec 2029 by Ministerial Decision 131 of 2026; checked 2026-09-10.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</si>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</sst>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16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35.0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23.85" hidden="false" customHeight="false" outlineLevel="0" collapsed="false">
      <c r="A14" s="12" t="s">
        <v>104</v>
      </c>
      <c r="B14" s="33" t="n">
        <v>47483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225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7" customFormat="false" ht="15" hidden="false" customHeight="false" outlineLevel="0" collapsed="false">
      <c r="B17" s="12" t="s">
        <v>201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202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203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204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205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206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3" customFormat="false" ht="31.5" hidden="false" customHeight="true" outlineLevel="0" collapsed="false">
      <c r="A3" s="11" t="s">
        <v>209</v>
      </c>
      <c r="B3" s="11" t="s">
        <v>210</v>
      </c>
      <c r="C3" s="11" t="s">
        <v>211</v>
      </c>
    </row>
    <row r="4" customFormat="false" ht="15" hidden="false" customHeight="false" outlineLevel="0" collapsed="false">
      <c r="A4" s="12" t="s">
        <v>212</v>
      </c>
      <c r="B4" s="51" t="str">
        <f aca="false">TEXT(FY_START,"dd-mmm-yyyy")&amp;" to "&amp;TEXT(EDATE(FY_START,12)-1,"dd-mmm-yyyy")</f>
        <v>01-Jan-2026 to 31-Dec-2026</v>
      </c>
      <c r="C4" s="24" t="s">
        <v>213</v>
      </c>
    </row>
    <row r="5" customFormat="false" ht="15" hidden="false" customHeight="false" outlineLevel="0" collapsed="false">
      <c r="A5" s="12" t="s">
        <v>214</v>
      </c>
      <c r="B5" s="52" t="n">
        <f aca="false">SUMIFS(Income!$F$4:$F$503,Income!$A$4:$A$503,"&gt;="&amp;FY_START,Income!$A$4:$A$503,"&lt;="&amp;EDATE(FY_START,12)-1)</f>
        <v>24500</v>
      </c>
      <c r="C5" s="24" t="s">
        <v>215</v>
      </c>
    </row>
    <row r="6" customFormat="false" ht="15" hidden="false" customHeight="false" outlineLevel="0" collapsed="false">
      <c r="A6" s="12" t="s">
        <v>216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217</v>
      </c>
    </row>
    <row r="7" customFormat="false" ht="15" hidden="false" customHeight="false" outlineLevel="0" collapsed="false">
      <c r="A7" s="12" t="s">
        <v>218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219</v>
      </c>
    </row>
    <row r="8" customFormat="false" ht="15" hidden="false" customHeight="false" outlineLevel="0" collapsed="false">
      <c r="A8" s="12" t="s">
        <v>220</v>
      </c>
      <c r="B8" s="53" t="n">
        <v>0</v>
      </c>
      <c r="C8" s="24" t="s">
        <v>221</v>
      </c>
    </row>
    <row r="9" customFormat="false" ht="15" hidden="false" customHeight="false" outlineLevel="0" collapsed="false">
      <c r="A9" s="12" t="s">
        <v>222</v>
      </c>
      <c r="B9" s="52" t="n">
        <f aca="false">B5-B6-B7+B8</f>
        <v>13100</v>
      </c>
      <c r="C9" s="24" t="s">
        <v>223</v>
      </c>
    </row>
    <row r="10" customFormat="false" ht="15" hidden="false" customHeight="false" outlineLevel="0" collapsed="false">
      <c r="A10" s="12" t="s">
        <v>224</v>
      </c>
      <c r="B10" s="51" t="str">
        <f aca="false">SBR_ELECT</f>
        <v>Yes</v>
      </c>
      <c r="C10" s="24" t="s">
        <v>213</v>
      </c>
    </row>
    <row r="11" customFormat="false" ht="15" hidden="false" customHeight="false" outlineLevel="0" collapsed="false">
      <c r="A11" s="12" t="s">
        <v>225</v>
      </c>
      <c r="B11" s="51" t="str">
        <f aca="false">IF(AND(SBR_ELECT="Yes",B5&lt;=SBR_LIMIT,EDATE(FY_START,12)-1&lt;=SBR_END),"Yes","No")</f>
        <v>Yes</v>
      </c>
      <c r="C11" s="24" t="s">
        <v>226</v>
      </c>
    </row>
    <row r="12" customFormat="false" ht="15" hidden="false" customHeight="false" outlineLevel="0" collapsed="false">
      <c r="A12" s="12" t="s">
        <v>227</v>
      </c>
      <c r="B12" s="52" t="n">
        <f aca="false">MAX(0,B9-CT_BAND)</f>
        <v>0</v>
      </c>
      <c r="C12" s="24" t="s">
        <v>228</v>
      </c>
    </row>
    <row r="13" customFormat="false" ht="15" hidden="false" customHeight="false" outlineLevel="0" collapsed="false">
      <c r="A13" s="18" t="s">
        <v>229</v>
      </c>
      <c r="B13" s="54" t="n">
        <f aca="false">IF(B11="Yes",0,B12*CT_RATE)</f>
        <v>0</v>
      </c>
      <c r="C13" s="24" t="s">
        <v>230</v>
      </c>
    </row>
    <row r="14" customFormat="false" ht="15" hidden="false" customHeight="false" outlineLevel="0" collapsed="false">
      <c r="A14" s="12" t="s">
        <v>231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232</v>
      </c>
      <c r="B15" s="52" t="n">
        <f aca="false">B13/12</f>
        <v>0</v>
      </c>
      <c r="C15" s="24" t="s">
        <v>233</v>
      </c>
    </row>
    <row r="18" customFormat="false" ht="45" hidden="false" customHeight="true" outlineLevel="0" collapsed="false">
      <c r="A18" s="50" t="s">
        <v>234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2026-09-16T07:23:14Z</dcterms:created>
  <dc:creator>openpyxl</dc:creator>
  <dc:description/>
  <dc:language>en-US</dc:language>
  <cp:lastModifiedBy/>
  <dcterms:modified xsi:type="dcterms:W3CDTF">2026-09-16T07:23:15Z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