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<sst xmlns="http://schemas.openxmlformats.org/spreadsheetml/2006/main" count="274" uniqueCount="235">
  <si>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</si>
  <si>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</si>
  <si>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</si>
  <si>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</si>
  <si>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</si>
  <si>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</si>
  <si>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</si>
  <si>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</si>
  <si>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</si>
  <si>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</si>
  <si>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</si>
  <si>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</si>
  <si>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</si>
  <si>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</si>
  <si>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2026.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</si>
  <si>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</si>
  <si>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</si>
  <si>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</si>
  <si>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</si>
  <si>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</si>
  <si>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</si>
  <si>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</si>
  <si>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</si>
  <si>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</si>
  <si>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</si>
  <si>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</si>
  <si>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</si>
  <si>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</si>
  <si>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</si>
  <si>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</si>
  <si>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</si>
  <si>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</si>
  <si>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</si>
  <si>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</si>
  <si>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</si>
  <si>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</si>
  <si>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</si>
  <si>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</si>
  <si>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</si>
  <si>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</si>
  <si>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</si>
  <si>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</si>
  <si>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</si>
  <si>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</si>
  <si>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</si>
  <si>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</si>
  <si>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</si>
  <si>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</si>
  <si>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</si>
  <si>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</si>
  <si>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</si>
  <si>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</si>
  <si>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</si>
  <si>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</si>
  <si>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</si>
  <si>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</si>
  <si>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</si>
  <si>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</si>
  <si>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</si>
  <si>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</si>
  <si>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</si>
  <si>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</si>
  <si>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</si>
  <si>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</si>
  <si>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</si>
  <si>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</si>
  <si>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</si>
  <si>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</si>
  <si>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</si>
  <si>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</si>
  <si>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</si>
  <si>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</si>
  <si>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</si>
  <si>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</si>
  <si>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</si>
  <si>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</si>
  <si>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</si>
  <si>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</si>
  <si>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</si>
  <si>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</si>
  <si>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</si>
  <si>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</si>
  <si>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</si>
  <si>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next 30 days).</t>
  </si>
  <si>
    <t xml:space="preserve">Commission</t>
  </si>
  <si>
    <t xml:space="preserve">Travel &amp; transport</t>
  </si>
  <si>
    <t xml:space="preserve">VAT voluntary registration threshold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</si>
  <si>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</si>
  <si>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</si>
  <si>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</si>
  <si>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</si>
  <si>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</si>
  <si>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</si>
  <si>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</si>
  <si>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</si>
  <si>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</si>
  <si>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</si>
  <si>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</si>
  <si>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</si>
  <si>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2026. Election is made in the CT return.</t>
  </si>
  <si>
    <t xml:space="preserve">Equipment &amp; hardware</t>
  </si>
  <si>
    <t xml:space="preserve">Small Business Relief revenue threshold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</si>
  <si>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</si>
  <si>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</si>
  <si>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</si>
  <si>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</si>
  <si>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</si>
  <si>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</si>
  <si>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</si>
  <si>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</si>
  <si>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</si>
  <si>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</si>
  <si>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</si>
  <si>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</si>
  <si>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</si>
  <si>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</si>
  <si>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</si>
  <si>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</si>
  <si>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</si>
  <si>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</si>
  <si>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</si>
  <si>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</si>
  <si>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</si>
  <si>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</si>
  <si>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</si>
  <si>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</si>
  <si>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</si>
  <si>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</si>
  <si>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</si>
  <si>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</si>
  <si>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</si>
  <si>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</si>
  <si>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</si>
  <si>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</si>
  <si>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</si>
  <si>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</si>
  <si>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</si>
  <si>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</si>
  <si>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</si>
  <si>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</si>
  <si>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</si>
  <si>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</si>
  <si>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</si>
  <si>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</si>
  <si>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</si>
  <si>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</si>
  <si>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</si>
  <si>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</si>
  <si>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</si>
  <si>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</si>
  <si>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</si>
  <si>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</si>
  <si>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</si>
  <si>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</si>
  <si>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</si>
  <si>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</si>
  <si>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</si>
  <si>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</si>
  <si>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</si>
  <si>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</si>
  <si>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</si>
  <si>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</si>
  <si>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</si>
  <si>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</si>
  <si>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</si>
  <si>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</si>
  <si>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</si>
  <si>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</si>
  <si>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</si>
  <si>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</si>
  <si>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</si>
  <si>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</si>
  <si>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</si>
  <si>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</si>
  <si>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</si>
  <si>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</si>
  <si>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</si>
  <si>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</si>
  <si>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</si>
  <si>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</si>
  <si>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</si>
  <si>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</si>
  <si>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</si>
  <si>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</si>
  <si>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</si>
  <si>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</si>
  <si>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</si>
  <si>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</si>
  <si>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</si>
  <si>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</si>
  <si>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</si>
  <si>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</si>
  <si>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</si>
  <si>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</si>
  <si>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</si>
  <si>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</si>
  <si>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</si>
  <si>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</si>
  <si>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</si>
  <si>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</si>
  <si>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</si>
  <si>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CHECK — income in period not counted in any box above (must be 0)</t>
  </si>
  <si>
    <t xml:space="preserve">Non-recoverable VAT paid in period (cost to you)</t>
  </si>
  <si>
    <t xml:space="preserve">CHECK — expenses in period with an unrecognised VAT treatment (must be 0)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</si>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</sst>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DE9E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09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1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1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15" hidden="false" customHeight="false" outlineLevel="0" collapsed="false">
      <c r="A9" s="12" t="s">
        <v>86</v>
      </c>
      <c r="B9" s="30" t="n">
        <v>187500</v>
      </c>
      <c r="C9" s="24"/>
      <c r="E9" s="25" t="s">
        <v>87</v>
      </c>
      <c r="F9" s="25" t="s">
        <v>88</v>
      </c>
      <c r="G9" s="31" t="s">
        <v>89</v>
      </c>
    </row>
    <row r="10" customFormat="false" ht="15" hidden="false" customHeight="false" outlineLevel="0" collapsed="false">
      <c r="A10" s="12" t="s">
        <v>90</v>
      </c>
      <c r="B10" s="29" t="n">
        <v>0.09</v>
      </c>
      <c r="C10" s="24" t="s">
        <v>91</v>
      </c>
      <c r="E10" s="25" t="s">
        <v>92</v>
      </c>
      <c r="F10" s="25" t="s">
        <v>93</v>
      </c>
      <c r="G10" s="32" t="s">
        <v>72</v>
      </c>
    </row>
    <row r="11" customFormat="false" ht="15" hidden="false" customHeight="false" outlineLevel="0" collapsed="false">
      <c r="A11" s="12" t="s">
        <v>94</v>
      </c>
      <c r="B11" s="30" t="n">
        <v>375000</v>
      </c>
      <c r="C11" s="24" t="s">
        <v>95</v>
      </c>
      <c r="F11" s="25" t="s">
        <v>96</v>
      </c>
      <c r="G11" s="32" t="s">
        <v>97</v>
      </c>
    </row>
    <row r="12" customFormat="false" ht="23.85" hidden="false" customHeight="false" outlineLevel="0" collapsed="false">
      <c r="A12" s="12" t="s">
        <v>98</v>
      </c>
      <c r="B12" s="28" t="s">
        <v>72</v>
      </c>
      <c r="C12" s="24" t="s">
        <v>99</v>
      </c>
      <c r="F12" s="25" t="s">
        <v>100</v>
      </c>
    </row>
    <row r="13" customFormat="false" ht="15" hidden="false" customHeight="false" outlineLevel="0" collapsed="false">
      <c r="A13" s="12" t="s">
        <v>101</v>
      </c>
      <c r="B13" s="30" t="n">
        <v>3000000</v>
      </c>
      <c r="C13" s="24"/>
      <c r="F13" s="25" t="s">
        <v>102</v>
      </c>
      <c r="G13" s="31" t="s">
        <v>103</v>
      </c>
    </row>
    <row r="14" customFormat="false" ht="15" hidden="false" customHeight="false" outlineLevel="0" collapsed="false">
      <c r="A14" s="12" t="s">
        <v>104</v>
      </c>
      <c r="B14" s="33" t="n">
        <v>46387</v>
      </c>
      <c r="C14" s="24" t="s">
        <v>105</v>
      </c>
      <c r="F14" s="25" t="s">
        <v>106</v>
      </c>
      <c r="G14" s="32" t="s">
        <v>107</v>
      </c>
    </row>
    <row r="15" customFormat="false" ht="15" hidden="false" customHeight="false" outlineLevel="0" collapsed="false">
      <c r="A15" s="12" t="s">
        <v>108</v>
      </c>
      <c r="B15" s="27" t="n">
        <v>46023</v>
      </c>
      <c r="C15" s="24" t="s">
        <v>109</v>
      </c>
      <c r="F15" s="25" t="s">
        <v>110</v>
      </c>
      <c r="G15" s="32" t="s">
        <v>111</v>
      </c>
    </row>
    <row r="16" customFormat="false" ht="15" hidden="false" customHeight="false" outlineLevel="0" collapsed="false">
      <c r="A16" s="12" t="s">
        <v>112</v>
      </c>
      <c r="B16" s="27" t="n">
        <v>46112</v>
      </c>
      <c r="C16" s="24"/>
      <c r="F16" s="25" t="s">
        <v>113</v>
      </c>
      <c r="G16" s="32" t="s">
        <v>114</v>
      </c>
    </row>
    <row r="17" customFormat="false" ht="15" hidden="false" customHeight="false" outlineLevel="0" collapsed="false">
      <c r="A17" s="12" t="s">
        <v>115</v>
      </c>
      <c r="B17" s="34" t="n">
        <v>0</v>
      </c>
      <c r="C17" s="24" t="s">
        <v>116</v>
      </c>
      <c r="G17" s="32" t="s">
        <v>117</v>
      </c>
    </row>
    <row r="18" customFormat="false" ht="15" hidden="false" customHeight="false" outlineLevel="0" collapsed="false">
      <c r="A18" s="12" t="s">
        <v>118</v>
      </c>
      <c r="B18" s="35" t="n">
        <v>30</v>
      </c>
      <c r="C18" s="24" t="s">
        <v>119</v>
      </c>
      <c r="E18" s="31" t="s">
        <v>120</v>
      </c>
      <c r="G18" s="32" t="s">
        <v>121</v>
      </c>
    </row>
    <row r="19" customFormat="false" ht="15" hidden="false" customHeight="false" outlineLevel="0" collapsed="false">
      <c r="E19" s="0" t="s">
        <v>122</v>
      </c>
      <c r="G19" s="0" t="s">
        <v>123</v>
      </c>
    </row>
    <row r="20" customFormat="false" ht="15" hidden="false" customHeight="false" outlineLevel="0" collapsed="false">
      <c r="A20" s="12" t="s">
        <v>124</v>
      </c>
      <c r="B20" s="36"/>
      <c r="E20" s="32" t="s">
        <v>125</v>
      </c>
    </row>
    <row r="21" customFormat="false" ht="15" hidden="false" customHeight="false" outlineLevel="0" collapsed="false">
      <c r="A21" s="12" t="s">
        <v>126</v>
      </c>
      <c r="B21" s="36"/>
      <c r="E21" s="32" t="s">
        <v>127</v>
      </c>
    </row>
    <row r="22" customFormat="false" ht="15" hidden="false" customHeight="false" outlineLevel="0" collapsed="false">
      <c r="E22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3" customFormat="false" ht="31.5" hidden="false" customHeight="true" outlineLevel="0" collapsed="false">
      <c r="A3" s="11" t="s">
        <v>131</v>
      </c>
      <c r="B3" s="11" t="s">
        <v>132</v>
      </c>
      <c r="C3" s="11" t="s">
        <v>133</v>
      </c>
      <c r="D3" s="11" t="s">
        <v>134</v>
      </c>
      <c r="E3" s="11" t="s">
        <v>135</v>
      </c>
      <c r="F3" s="11" t="s">
        <v>136</v>
      </c>
      <c r="G3" s="11" t="s">
        <v>59</v>
      </c>
      <c r="H3" s="11" t="s">
        <v>137</v>
      </c>
      <c r="I3" s="11" t="s">
        <v>138</v>
      </c>
      <c r="J3" s="11" t="s">
        <v>120</v>
      </c>
      <c r="K3" s="11" t="s">
        <v>139</v>
      </c>
      <c r="L3" s="11" t="s">
        <v>140</v>
      </c>
      <c r="M3" s="11" t="s">
        <v>141</v>
      </c>
      <c r="N3" s="11" t="s">
        <v>142</v>
      </c>
      <c r="O3" s="11" t="s">
        <v>143</v>
      </c>
      <c r="P3" s="11" t="s">
        <v>144</v>
      </c>
    </row>
    <row r="4" customFormat="false" ht="15" hidden="false" customHeight="false" outlineLevel="0" collapsed="false">
      <c r="A4" s="37" t="n">
        <v>46034</v>
      </c>
      <c r="B4" s="36" t="s">
        <v>145</v>
      </c>
      <c r="C4" s="36" t="s">
        <v>146</v>
      </c>
      <c r="D4" s="36" t="s">
        <v>147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122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148</v>
      </c>
      <c r="C5" s="36" t="s">
        <v>149</v>
      </c>
      <c r="D5" s="36" t="s">
        <v>150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125</v>
      </c>
      <c r="K5" s="37"/>
      <c r="L5" s="38"/>
      <c r="M5" s="22" t="n">
        <f aca="true">IF(OR(A5="",J5="Paid",J5="Written off"),"",TODAY()-A5)</f>
        <v>218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151</v>
      </c>
      <c r="C6" s="36" t="s">
        <v>152</v>
      </c>
      <c r="D6" s="36" t="s">
        <v>153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122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conditionalFormatting sqref="G4:G503">
    <cfRule type="expression" priority="4" aboveAverage="0" equalAverage="0" bottom="0" percent="0" rank="0" text="" dxfId="11">
      <formula>AND($G4&lt;&gt;"",ISNA(MATCH($G4,INDIRECT("Settings!$G$4:$G$7"),0)))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3" customFormat="false" ht="31.5" hidden="false" customHeight="true" outlineLevel="0" collapsed="false">
      <c r="A3" s="11" t="s">
        <v>156</v>
      </c>
      <c r="B3" s="11" t="s">
        <v>157</v>
      </c>
      <c r="C3" s="11" t="s">
        <v>134</v>
      </c>
      <c r="D3" s="11" t="s">
        <v>135</v>
      </c>
      <c r="E3" s="11" t="s">
        <v>136</v>
      </c>
      <c r="F3" s="11" t="s">
        <v>59</v>
      </c>
      <c r="G3" s="11" t="s">
        <v>158</v>
      </c>
      <c r="H3" s="11" t="s">
        <v>159</v>
      </c>
      <c r="I3" s="11" t="s">
        <v>160</v>
      </c>
      <c r="J3" s="11" t="s">
        <v>161</v>
      </c>
      <c r="K3" s="11" t="s">
        <v>103</v>
      </c>
      <c r="L3" s="11" t="s">
        <v>162</v>
      </c>
      <c r="M3" s="11" t="s">
        <v>143</v>
      </c>
      <c r="N3" s="11" t="s">
        <v>144</v>
      </c>
    </row>
    <row r="4" customFormat="false" ht="15" hidden="false" customHeight="false" outlineLevel="0" collapsed="false">
      <c r="A4" s="37" t="n">
        <v>46027</v>
      </c>
      <c r="B4" s="36" t="s">
        <v>163</v>
      </c>
      <c r="C4" s="36" t="s">
        <v>164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97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107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165</v>
      </c>
      <c r="C5" s="36" t="s">
        <v>166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111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167</v>
      </c>
      <c r="C6" s="36" t="s">
        <v>168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111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conditionalFormatting sqref="F4:F503">
    <cfRule type="expression" priority="2" aboveAverage="0" equalAverage="0" bottom="0" percent="0" rank="0" text="" dxfId="11">
      <formula>AND($F4&lt;&gt;"",ISNA(MATCH($F4,INDIRECT("Settings!$G$4:$G$7"),0)))</formula>
    </cfRule>
  </conditionalFormatting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B4" s="31" t="s">
        <v>171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172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173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174</v>
      </c>
      <c r="B8" s="11" t="s">
        <v>134</v>
      </c>
      <c r="C8" s="11" t="s">
        <v>175</v>
      </c>
      <c r="D8" s="11" t="s">
        <v>176</v>
      </c>
      <c r="E8" s="11" t="s">
        <v>177</v>
      </c>
    </row>
    <row r="9" customFormat="false" ht="15" hidden="false" customHeight="false" outlineLevel="0" collapsed="false">
      <c r="A9" s="22" t="s">
        <v>178</v>
      </c>
      <c r="B9" s="22" t="s">
        <v>179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180</v>
      </c>
    </row>
    <row r="10" customFormat="false" ht="15" hidden="false" customHeight="false" outlineLevel="0" collapsed="false">
      <c r="A10" s="22" t="s">
        <v>181</v>
      </c>
      <c r="B10" s="22" t="s">
        <v>182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183</v>
      </c>
    </row>
    <row r="11" customFormat="false" ht="15" hidden="false" customHeight="false" outlineLevel="0" collapsed="false">
      <c r="A11" s="22" t="s">
        <v>184</v>
      </c>
      <c r="B11" s="22" t="s">
        <v>185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186</v>
      </c>
    </row>
    <row r="12" customFormat="false" ht="15" hidden="false" customHeight="false" outlineLevel="0" collapsed="false">
      <c r="A12" s="22" t="s">
        <v>187</v>
      </c>
      <c r="B12" s="22" t="s">
        <v>188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189</v>
      </c>
    </row>
    <row r="13" customFormat="false" ht="15" hidden="false" customHeight="false" outlineLevel="0" collapsed="false">
      <c r="A13" s="18" t="s">
        <v>190</v>
      </c>
      <c r="B13" s="18" t="s">
        <v>191</v>
      </c>
      <c r="C13" s="44" t="n">
        <f aca="false">C9+C10+C11</f>
        <v>24500</v>
      </c>
      <c r="D13" s="44" t="n">
        <f aca="false">D9+D10+D11</f>
        <v>825</v>
      </c>
      <c r="E13" s="45" t="s">
        <v>192</v>
      </c>
    </row>
    <row r="14" customFormat="false" ht="23.85" hidden="false" customHeight="false" outlineLevel="0" collapsed="false">
      <c r="A14" s="22" t="s">
        <v>193</v>
      </c>
      <c r="B14" s="22" t="s">
        <v>194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195</v>
      </c>
    </row>
    <row r="15" customFormat="false" ht="15" hidden="false" customHeight="false" outlineLevel="0" collapsed="false">
      <c r="A15" s="18" t="s">
        <v>196</v>
      </c>
      <c r="B15" s="18" t="s">
        <v>197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198</v>
      </c>
      <c r="B16" s="18" t="s">
        <v>199</v>
      </c>
      <c r="C16" s="44"/>
      <c r="D16" s="46" t="n">
        <f aca="false">D13-D15</f>
        <v>630</v>
      </c>
      <c r="E16" s="45" t="s">
        <v>200</v>
      </c>
    </row>
    <row r="17" customFormat="false" ht="15" hidden="false" customHeight="false" outlineLevel="0" collapsed="false">
      <c r="B17" s="12" t="s">
        <v>201</v>
      </c>
      <c r="D17" s="47" t="n">
        <f aca="false">SUMIFS(Income!$F$4:$F$503,Income!$P$4:$P$503,1)-C9-C10-C11-C12</f>
        <v>0</v>
      </c>
    </row>
    <row r="18" customFormat="false" ht="15" hidden="false" customHeight="false" outlineLevel="0" collapsed="false">
      <c r="B18" s="12" t="s">
        <v>202</v>
      </c>
      <c r="D18" s="48" t="n">
        <f aca="false">SUMIFS(Expenses!$G$4:$G$503,Expenses!$N$4:$N$503,1)-D14</f>
        <v>0</v>
      </c>
    </row>
    <row r="19" customFormat="false" ht="15" hidden="false" customHeight="false" outlineLevel="0" collapsed="false">
      <c r="B19" s="12" t="s">
        <v>203</v>
      </c>
      <c r="D19" s="47" t="n">
        <f aca="false">SUMIFS(Expenses!$E$4:$E$503,Expenses!$N$4:$N$503,1)-SUMIFS(Expenses!$E$4:$E$503,Expenses!$F$4:$F$503,"Standard 5%",Expenses!$N$4:$N$503,1)-SUMIFS(Expenses!$E$4:$E$503,Expenses!$F$4:$F$503,"Zero-rated 0%",Expenses!$N$4:$N$503,1)-SUMIFS(Expenses!$E$4:$E$503,Expenses!$F$4:$F$503,"Exempt",Expenses!$N$4:$N$503,1)-SUMIFS(Expenses!$E$4:$E$503,Expenses!$F$4:$F$503,"Out of scope",Expenses!$N$4:$N$503,1)</f>
        <v>0</v>
      </c>
    </row>
    <row r="20" customFormat="false" ht="15" hidden="false" customHeight="false" outlineLevel="0" collapsed="false">
      <c r="B20" s="12" t="s">
        <v>204</v>
      </c>
      <c r="D20" s="48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205</v>
      </c>
      <c r="D21" s="49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50" t="s">
        <v>206</v>
      </c>
      <c r="C23" s="50"/>
      <c r="D23" s="50"/>
      <c r="E23" s="50"/>
    </row>
  </sheetData>
  <mergeCells count="1">
    <mergeCell ref="B23:E23"/>
  </mergeCells>
  <conditionalFormatting sqref="D17">
    <cfRule type="cellIs" priority="2" operator="notEqual" aboveAverage="0" equalAverage="0" bottom="0" percent="0" rank="0" text="" dxfId="11">
      <formula>0</formula>
    </cfRule>
  </conditionalFormatting>
  <conditionalFormatting sqref="D19">
    <cfRule type="cellIs" priority="3" operator="notEqual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3" customFormat="false" ht="31.5" hidden="false" customHeight="true" outlineLevel="0" collapsed="false">
      <c r="A3" s="11" t="s">
        <v>209</v>
      </c>
      <c r="B3" s="11" t="s">
        <v>210</v>
      </c>
      <c r="C3" s="11" t="s">
        <v>211</v>
      </c>
    </row>
    <row r="4" customFormat="false" ht="15" hidden="false" customHeight="false" outlineLevel="0" collapsed="false">
      <c r="A4" s="12" t="s">
        <v>212</v>
      </c>
      <c r="B4" s="51" t="str">
        <f aca="false">TEXT(FY_START,"dd-mmm-yyyy")&amp;" to "&amp;TEXT(EDATE(FY_START,12)-1,"dd-mmm-yyyy")</f>
        <v>01-Jan-2026 to 31-Dec-2026</v>
      </c>
      <c r="C4" s="24" t="s">
        <v>213</v>
      </c>
    </row>
    <row r="5" customFormat="false" ht="15" hidden="false" customHeight="false" outlineLevel="0" collapsed="false">
      <c r="A5" s="12" t="s">
        <v>214</v>
      </c>
      <c r="B5" s="52" t="n">
        <f aca="false">SUMIFS(Income!$F$4:$F$503,Income!$A$4:$A$503,"&gt;="&amp;FY_START,Income!$A$4:$A$503,"&lt;="&amp;EDATE(FY_START,12)-1)</f>
        <v>24500</v>
      </c>
      <c r="C5" s="24" t="s">
        <v>215</v>
      </c>
    </row>
    <row r="6" customFormat="false" ht="15" hidden="false" customHeight="false" outlineLevel="0" collapsed="false">
      <c r="A6" s="12" t="s">
        <v>216</v>
      </c>
      <c r="B6" s="52" t="n">
        <f aca="false">SUMIFS(Expenses!$E$4:$E$503,Expenses!$L$4:$L$503,"Yes",Expenses!$A$4:$A$503,"&gt;="&amp;FY_START,Expenses!$A$4:$A$503,"&lt;="&amp;EDATE(FY_START,12)-1)</f>
        <v>11400</v>
      </c>
      <c r="C6" s="24" t="s">
        <v>217</v>
      </c>
    </row>
    <row r="7" customFormat="false" ht="15" hidden="false" customHeight="false" outlineLevel="0" collapsed="false">
      <c r="A7" s="12" t="s">
        <v>218</v>
      </c>
      <c r="B7" s="52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219</v>
      </c>
    </row>
    <row r="8" customFormat="false" ht="15" hidden="false" customHeight="false" outlineLevel="0" collapsed="false">
      <c r="A8" s="12" t="s">
        <v>220</v>
      </c>
      <c r="B8" s="53" t="n">
        <v>0</v>
      </c>
      <c r="C8" s="24" t="s">
        <v>221</v>
      </c>
    </row>
    <row r="9" customFormat="false" ht="15" hidden="false" customHeight="false" outlineLevel="0" collapsed="false">
      <c r="A9" s="12" t="s">
        <v>222</v>
      </c>
      <c r="B9" s="52" t="n">
        <f aca="false">B5-B6-B7+B8</f>
        <v>13100</v>
      </c>
      <c r="C9" s="24" t="s">
        <v>223</v>
      </c>
    </row>
    <row r="10" customFormat="false" ht="15" hidden="false" customHeight="false" outlineLevel="0" collapsed="false">
      <c r="A10" s="12" t="s">
        <v>224</v>
      </c>
      <c r="B10" s="51" t="str">
        <f aca="false">SBR_ELECT</f>
        <v>Yes</v>
      </c>
      <c r="C10" s="24" t="s">
        <v>213</v>
      </c>
    </row>
    <row r="11" customFormat="false" ht="15" hidden="false" customHeight="false" outlineLevel="0" collapsed="false">
      <c r="A11" s="12" t="s">
        <v>225</v>
      </c>
      <c r="B11" s="51" t="str">
        <f aca="false">IF(AND(SBR_ELECT="Yes",B5&lt;=SBR_LIMIT,EDATE(FY_START,12)-1&lt;=SBR_END),"Yes","No")</f>
        <v>Yes</v>
      </c>
      <c r="C11" s="24" t="s">
        <v>226</v>
      </c>
    </row>
    <row r="12" customFormat="false" ht="15" hidden="false" customHeight="false" outlineLevel="0" collapsed="false">
      <c r="A12" s="12" t="s">
        <v>227</v>
      </c>
      <c r="B12" s="52" t="n">
        <f aca="false">MAX(0,B9-CT_BAND)</f>
        <v>0</v>
      </c>
      <c r="C12" s="24" t="s">
        <v>228</v>
      </c>
    </row>
    <row r="13" customFormat="false" ht="15" hidden="false" customHeight="false" outlineLevel="0" collapsed="false">
      <c r="A13" s="18" t="s">
        <v>229</v>
      </c>
      <c r="B13" s="54" t="n">
        <f aca="false">IF(B11="Yes",0,B12*CT_RATE)</f>
        <v>0</v>
      </c>
      <c r="C13" s="24" t="s">
        <v>230</v>
      </c>
    </row>
    <row r="14" customFormat="false" ht="15" hidden="false" customHeight="false" outlineLevel="0" collapsed="false">
      <c r="A14" s="12" t="s">
        <v>231</v>
      </c>
      <c r="B14" s="55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232</v>
      </c>
      <c r="B15" s="52" t="n">
        <f aca="false">B13/12</f>
        <v>0</v>
      </c>
      <c r="C15" s="24" t="s">
        <v>233</v>
      </c>
    </row>
    <row r="18" customFormat="false" ht="45" hidden="false" customHeight="true" outlineLevel="0" collapsed="false">
      <c r="A18" s="50" t="s">
        <v>234</v>
      </c>
      <c r="B18" s="50"/>
      <c r="C18" s="50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2026-09-09T07:31:07Z</dcterms:created>
  <dc:creator>openpyxl</dc:creator>
  <dc:description/>
  <dc:language>en-US</dc:language>
  <cp:lastModifiedBy/>
  <dcterms:modified xsi:type="dcterms:W3CDTF">2026-09-09T07:31:08Z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