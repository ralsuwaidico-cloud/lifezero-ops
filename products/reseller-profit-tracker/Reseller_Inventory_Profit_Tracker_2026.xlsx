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Inventory" sheetId="3" state="visible" r:id="rId5"/>
    <sheet name="Sales" sheetId="4" state="visible" r:id="rId6"/>
    <sheet name="Expenses" sheetId="5" state="visible" r:id="rId7"/>
    <sheet name="Dashboard" sheetId="6" state="visible" r:id="rId8"/>
    <sheet name="Death Pile" sheetId="7" state="visible" r:id="rId9"/>
    <sheet name="Tax Summary" sheetId="8" state="visible" r:id="rId10"/>
  </sheets>
  <definedNames>
    <definedName function="false" hidden="true" localSheetId="4" name="_xlnm._FilterDatabase" vbProcedure="false">Expenses!$A$3:$G$503</definedName>
    <definedName function="false" hidden="true" localSheetId="2" name="_xlnm._FilterDatabase" vbProcedure="false">Inventory!$A$3:$R$503</definedName>
    <definedName function="false" hidden="true" localSheetId="3" name="_xlnm._FilterDatabase" vbProcedure="false">Sales!$A$3:$P$503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SKU is generated from the row number. You may type your own SKU over it, but keep it unique - Sales looks items up by SKU.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" authorId="0">
      <text>
        <r>
          <rPr>
            <sz val="10"/>
            <rFont val="Arial"/>
            <family val="2"/>
          </rPr>
          <t xml:space="preserve">Fee = (Sale Price [+ buyer shipping if flagged Y in Settings]) x (Fee % + Processing %) + Fixed Fee. Poshmark sales under the threshold pay the flat fee. Edit rates in Settings.</t>
        </r>
      </text>
    </comment>
  </commentList>
</comments>
</file>

<file path=xl/sharedStrings.xml><?xml version="1.0" encoding="utf-8"?>
<sst xmlns="http://schemas.openxmlformats.org/spreadsheetml/2006/main" count="395" uniqueCount="299">
  <si>
    <t xml:space="preserve">Reseller Inventory &amp; Profit Tracker 2026</t>
  </si>
  <si>
    <t xml:space="preserve">For eBay - Poshmark - Mercari - Depop - Whatnot - Facebook Marketplace - Etsy sellers</t>
  </si>
  <si>
    <t xml:space="preserve">HOW TO USE</t>
  </si>
  <si>
    <t xml:space="preserve">1</t>
  </si>
  <si>
    <t xml:space="preserve">Settings: review platform fee rates (pre-filled approximations - verify against each platform's current fee page) and set your mileage rate, stale-item threshold and year start date.</t>
  </si>
  <si>
    <t xml:space="preserve">2</t>
  </si>
  <si>
    <t xml:space="preserve">Inventory: log every item you buy, one per row. SKU is auto-generated when you enter a purchase date (you can overwrite it with your own code). Set Status to Listed and add the Date Listed when it goes live.</t>
  </si>
  <si>
    <t xml:space="preserve">3</t>
  </si>
  <si>
    <t xml:space="preserve">Sales: when an item sells, enter the Date Sold, SKU, Platform, Sale Price and shipping details. Description, cost, fees, profit, ROI and days-to-sell are calculated for you. Remember to change the item's Status to Sold on the Inventory sheet.</t>
  </si>
  <si>
    <t xml:space="preserve">4</t>
  </si>
  <si>
    <t xml:space="preserve">Expenses: record business costs not tied to one item (supplies, subscriptions, storage, mileage). Enter miles in the Miles column and the deduction is calculated at your Settings rate.</t>
  </si>
  <si>
    <t xml:space="preserve">5</t>
  </si>
  <si>
    <t xml:space="preserve">Dashboard, Death Pile and Tax Summary update automatically. Nothing needs to be typed on those sheets.</t>
  </si>
  <si>
    <t xml:space="preserve">LEGEND</t>
  </si>
  <si>
    <t xml:space="preserve">BLUE text</t>
  </si>
  <si>
    <t xml:space="preserve">Cells you type into (inputs). Dropdowns are provided where a list is expected.</t>
  </si>
  <si>
    <t xml:space="preserve">BLACK text</t>
  </si>
  <si>
    <t xml:space="preserve">Formulas - do not overwrite. If you accidentally delete one, copy the cell above it and paste down.</t>
  </si>
  <si>
    <t xml:space="preserve">Grey 'helper' columns</t>
  </si>
  <si>
    <t xml:space="preserve">Support the Dashboard and Death Pile lookups. Leave them in place; you may hide them.</t>
  </si>
  <si>
    <t xml:space="preserve">SAMPLE DATA</t>
  </si>
  <si>
    <t xml:space="preserve">Delete before use</t>
  </si>
  <si>
    <t xml:space="preserve">Inventory, Sales and Expenses contain sample rows (Patagonia fleece, Pyrex, Nike etc.) so you can see how the tracker works. Select those rows and press Delete (clear contents) - do not delete whole rows, because SKUs are numbered by row position and formulas run down to row 503.</t>
  </si>
  <si>
    <t xml:space="preserve">Rows supported</t>
  </si>
  <si>
    <t xml:space="preserve">500 inventory items, 500 sales and 500 expense lines per copy. Start a fresh copy of the file each year (change the Year Start Date in Settings).</t>
  </si>
  <si>
    <t xml:space="preserve">TIPS</t>
  </si>
  <si>
    <t xml:space="preserve">Sell-through rate</t>
  </si>
  <si>
    <t xml:space="preserve">Items sold / items sourced this year. Full-time flippers typically aim for 30%+ per quarter.</t>
  </si>
  <si>
    <t xml:space="preserve">Death Pile</t>
  </si>
  <si>
    <t xml:space="preserve">Any Listed item older than the stale threshold (default 60 days) is flagged. Reprice, bundle, or relist it.</t>
  </si>
  <si>
    <t xml:space="preserve">Fee accuracy</t>
  </si>
  <si>
    <t xml:space="preserve">Fees are estimates using the Settings table. Promoted listings, store subscriptions and international fees are not modelled - add them to Other Costs on the Sales row.</t>
  </si>
  <si>
    <t xml:space="preserve">Check the fee rates</t>
  </si>
  <si>
    <t xml:space="preserve">Platforms change their fees without much notice, and a wrong rate quietly distorts every profit and ROI figure in this workbook. The 'Rates last checked' column in Settings tells you which rows have been verified and which have not - the honest answer is that most say 'not re-verified'. Spend five minutes against each platform's current fee page before you trust the numbers, and update Settings; everything else recalculates.</t>
  </si>
  <si>
    <t xml:space="preserve">DISCLAIMER</t>
  </si>
  <si>
    <t xml:space="preserve">Not tax advice</t>
  </si>
  <si>
    <t xml:space="preserve">This workbook is a bookkeeping aid only. The Tax Summary is an estimate mapped loosely to US Schedule C categories and is not a substitute for advice from a qualified tax professional. Fee rates and the mileage rate are user-editable approximations - verify them for your situation.</t>
  </si>
  <si>
    <t xml:space="preserve">Settings</t>
  </si>
  <si>
    <t xml:space="preserve">Blue cells are yours to edit. All other sheets read from here.</t>
  </si>
  <si>
    <t xml:space="preserve">Platform</t>
  </si>
  <si>
    <t xml:space="preserve">Fee %</t>
  </si>
  <si>
    <t xml:space="preserve">Fixed Fee / Sale</t>
  </si>
  <si>
    <t xml:space="preserve">Payment Processing %</t>
  </si>
  <si>
    <t xml:space="preserve">Fee on Buyer Shipping? (Y/N)</t>
  </si>
  <si>
    <t xml:space="preserve">Notes - verify against the platform's current fee page</t>
  </si>
  <si>
    <t xml:space="preserve">Rates last checked</t>
  </si>
  <si>
    <t xml:space="preserve">Sources</t>
  </si>
  <si>
    <t xml:space="preserve">Categories</t>
  </si>
  <si>
    <t xml:space="preserve">Statuses</t>
  </si>
  <si>
    <t xml:space="preserve">Expense Categories</t>
  </si>
  <si>
    <t xml:space="preserve">eBay</t>
  </si>
  <si>
    <t xml:space="preserve">Y</t>
  </si>
  <si>
    <t xml:space="preserve">Final value fee ~13.6% of total incl. shipping + $0.40 per order (most categories).</t>
  </si>
  <si>
    <t xml:space="preserve">not re-verified</t>
  </si>
  <si>
    <t xml:space="preserve">Thrift</t>
  </si>
  <si>
    <t xml:space="preserve">Clothing</t>
  </si>
  <si>
    <t xml:space="preserve">Sourced</t>
  </si>
  <si>
    <t xml:space="preserve">Supplies</t>
  </si>
  <si>
    <t xml:space="preserve">Poshmark</t>
  </si>
  <si>
    <t xml:space="preserve">N</t>
  </si>
  <si>
    <t xml:space="preserve">20% of sale price at/over the threshold below; flat fee under it. Buyer pays shipping.</t>
  </si>
  <si>
    <t xml:space="preserve">Estate Sale</t>
  </si>
  <si>
    <t xml:space="preserve">Shoes</t>
  </si>
  <si>
    <t xml:space="preserve">Listed</t>
  </si>
  <si>
    <t xml:space="preserve">Shipping Supplies</t>
  </si>
  <si>
    <t xml:space="preserve">Mercari</t>
  </si>
  <si>
    <t xml:space="preserve">Flat 10% on item + buyer-paid shipping. The separate 2.9% + $0.50 seller payment-processing fee was removed on 6 Jan 2025; buyers now pay a 3.6% Buyer Protection fee instead.</t>
  </si>
  <si>
    <t xml:space="preserve">2026-09-10</t>
  </si>
  <si>
    <t xml:space="preserve">Garage Sale</t>
  </si>
  <si>
    <t xml:space="preserve">Accessories</t>
  </si>
  <si>
    <t xml:space="preserve">Sold</t>
  </si>
  <si>
    <t xml:space="preserve">Mileage</t>
  </si>
  <si>
    <t xml:space="preserve">Depop</t>
  </si>
  <si>
    <t xml:space="preserve">No US selling commission since 2024 - it moved to the buyer. 3.3% + $0.45 payment processing remains on the seller, charged on item + shipping + tax. Optional Boosted Listings cost 12% on top and are not modelled.</t>
  </si>
  <si>
    <t xml:space="preserve">2026-09-11</t>
  </si>
  <si>
    <t xml:space="preserve">Auction</t>
  </si>
  <si>
    <t xml:space="preserve">Electronics</t>
  </si>
  <si>
    <t xml:space="preserve">Returned</t>
  </si>
  <si>
    <t xml:space="preserve">Subscriptions</t>
  </si>
  <si>
    <t xml:space="preserve">Whatnot</t>
  </si>
  <si>
    <t xml:space="preserve">8% commission + 2.9% + $0.30 processing.</t>
  </si>
  <si>
    <t xml:space="preserve">Online</t>
  </si>
  <si>
    <t xml:space="preserve">Home</t>
  </si>
  <si>
    <t xml:space="preserve">Donated</t>
  </si>
  <si>
    <t xml:space="preserve">Storage</t>
  </si>
  <si>
    <t xml:space="preserve">FB Marketplace</t>
  </si>
  <si>
    <t xml:space="preserve">10% of the buyer's total on shipped orders (raised from 5% on 15 Apr 2024), minimum $0.80 per order - this table has no minimum-fee column, so sales under $8 are understated by a few cents. Local pickup sales have no selling fee; log those as Other with 0%.</t>
  </si>
  <si>
    <t xml:space="preserve">Wholesale</t>
  </si>
  <si>
    <t xml:space="preserve">Toys</t>
  </si>
  <si>
    <t xml:space="preserve">Fees</t>
  </si>
  <si>
    <t xml:space="preserve">Etsy</t>
  </si>
  <si>
    <t xml:space="preserve">6.5% transaction + 3% + $0.25 processing + $0.20 listing fee.</t>
  </si>
  <si>
    <t xml:space="preserve">Other</t>
  </si>
  <si>
    <t xml:space="preserve">Books &amp; Media</t>
  </si>
  <si>
    <t xml:space="preserve">Generic placeholder - edit for any other marketplace.</t>
  </si>
  <si>
    <t xml:space="preserve">Collectibles</t>
  </si>
  <si>
    <t xml:space="preserve">General Setting</t>
  </si>
  <si>
    <t xml:space="preserve">Value</t>
  </si>
  <si>
    <t xml:space="preserve">Notes</t>
  </si>
  <si>
    <t xml:space="preserve">Currency Symbol</t>
  </si>
  <si>
    <t xml:space="preserve">$</t>
  </si>
  <si>
    <t xml:space="preserve">Used in Dashboard labels. Number formats use $ - change via Format Cells if needed.</t>
  </si>
  <si>
    <t xml:space="preserve">Lists feed the dropdowns on other sheets. Edit names here (keep the Statuses list as-is; formulas depend on it).</t>
  </si>
  <si>
    <t xml:space="preserve">Year Start Date</t>
  </si>
  <si>
    <t xml:space="preserve">Dashboard months run 12 months from this date.</t>
  </si>
  <si>
    <t xml:space="preserve">Sales Tax Rate (optional)</t>
  </si>
  <si>
    <t xml:space="preserve">Only if you collect tax yourself (e.g. local cash sales). Marketplaces remit tax for you.</t>
  </si>
  <si>
    <t xml:space="preserve">Mileage Rate (per mile)</t>
  </si>
  <si>
    <t xml:space="preserve">IRS standard mileage rate - 2026 default of 70 cents entered; verify the current rate at irs.gov.</t>
  </si>
  <si>
    <t xml:space="preserve">Default Shipping Cost</t>
  </si>
  <si>
    <t xml:space="preserve">Reference figure for quick estimates when pricing.</t>
  </si>
  <si>
    <t xml:space="preserve">Stale Item Threshold (days)</t>
  </si>
  <si>
    <t xml:space="preserve">Listed items older than this are flagged on the Death Pile.</t>
  </si>
  <si>
    <t xml:space="preserve">Poshmark Flat-Fee Threshold</t>
  </si>
  <si>
    <t xml:space="preserve">Sales below this price pay the flat fee instead of the % fee.</t>
  </si>
  <si>
    <t xml:space="preserve">Poshmark Flat Fee</t>
  </si>
  <si>
    <t xml:space="preserve">Flat fee charged on sales below the threshold.</t>
  </si>
  <si>
    <t xml:space="preserve">Inventory</t>
  </si>
  <si>
    <t xml:space="preserve">One row per item. Blue = type, black = formula. Clear (don't delete) the sample rows before use.</t>
  </si>
  <si>
    <t xml:space="preserve">SKU</t>
  </si>
  <si>
    <t xml:space="preserve">Date Purchased</t>
  </si>
  <si>
    <t xml:space="preserve">Source</t>
  </si>
  <si>
    <t xml:space="preserve">Brand</t>
  </si>
  <si>
    <t xml:space="preserve">Item Description</t>
  </si>
  <si>
    <t xml:space="preserve">Category</t>
  </si>
  <si>
    <t xml:space="preserve">Size</t>
  </si>
  <si>
    <t xml:space="preserve">Cost of Goods</t>
  </si>
  <si>
    <t xml:space="preserve">Extra Costs (cleaning/repair)</t>
  </si>
  <si>
    <t xml:space="preserve">Total Cost</t>
  </si>
  <si>
    <t xml:space="preserve">Status</t>
  </si>
  <si>
    <t xml:space="preserve">Date Listed</t>
  </si>
  <si>
    <t xml:space="preserve">List Price</t>
  </si>
  <si>
    <t xml:space="preserve">Platform Listed</t>
  </si>
  <si>
    <t xml:space="preserve">Days in Inventory</t>
  </si>
  <si>
    <t xml:space="preserve">Days Listed</t>
  </si>
  <si>
    <t xml:space="preserve">Stale?</t>
  </si>
  <si>
    <t xml:space="preserve">Stale # (helper)</t>
  </si>
  <si>
    <t xml:space="preserve">Patagonia</t>
  </si>
  <si>
    <t xml:space="preserve">Men's Better Sweater Fleece Full-Zip, Navy</t>
  </si>
  <si>
    <t xml:space="preserve">L</t>
  </si>
  <si>
    <t xml:space="preserve">Pyrex</t>
  </si>
  <si>
    <t xml:space="preserve">Vintage Butterfly Gold Mixing Bowl Set (3 pc)</t>
  </si>
  <si>
    <t xml:space="preserve">Nike</t>
  </si>
  <si>
    <t xml:space="preserve">Air Max 90 Sneakers, White/Grey</t>
  </si>
  <si>
    <t xml:space="preserve">10</t>
  </si>
  <si>
    <t xml:space="preserve">Gap Kids</t>
  </si>
  <si>
    <t xml:space="preserve">Denim Trucker Jacket, Medium Wash</t>
  </si>
  <si>
    <t xml:space="preserve">M (8)</t>
  </si>
  <si>
    <t xml:space="preserve">LEGO</t>
  </si>
  <si>
    <t xml:space="preserve">Creator Expert 10265 Ford Mustang (sealed)</t>
  </si>
  <si>
    <t xml:space="preserve">Carhartt</t>
  </si>
  <si>
    <t xml:space="preserve">Detroit Jacket, Duck Canvas, Brown</t>
  </si>
  <si>
    <t xml:space="preserve">XL</t>
  </si>
  <si>
    <t xml:space="preserve">Sony</t>
  </si>
  <si>
    <t xml:space="preserve">Walkman WM-F41 Cassette Player (tested)</t>
  </si>
  <si>
    <t xml:space="preserve">Lululemon</t>
  </si>
  <si>
    <t xml:space="preserve">Align High-Rise Leggings 25", Black</t>
  </si>
  <si>
    <t xml:space="preserve">6</t>
  </si>
  <si>
    <t xml:space="preserve">Sales</t>
  </si>
  <si>
    <t xml:space="preserve">Enter Date Sold, SKU, Platform, Sale Price and shipping. Everything else is calculated. Fees follow the Settings table.</t>
  </si>
  <si>
    <t xml:space="preserve">Date Sold</t>
  </si>
  <si>
    <t xml:space="preserve">Sale Price</t>
  </si>
  <si>
    <t xml:space="preserve">Shipping Charged to Buyer</t>
  </si>
  <si>
    <t xml:space="preserve">Shipping Cost Paid</t>
  </si>
  <si>
    <t xml:space="preserve">Platform Fees (est.)</t>
  </si>
  <si>
    <t xml:space="preserve">Sales Tax Collected by Platform (info)</t>
  </si>
  <si>
    <t xml:space="preserve">Other Costs</t>
  </si>
  <si>
    <t xml:space="preserve">Item Total Cost</t>
  </si>
  <si>
    <t xml:space="preserve">Net Profit</t>
  </si>
  <si>
    <t xml:space="preserve">ROI %</t>
  </si>
  <si>
    <t xml:space="preserve">Days to Sell</t>
  </si>
  <si>
    <t xml:space="preserve">Category (helper)</t>
  </si>
  <si>
    <t xml:space="preserve">Source (helper)</t>
  </si>
  <si>
    <t xml:space="preserve">SKU-0001</t>
  </si>
  <si>
    <t xml:space="preserve">SKU-0002</t>
  </si>
  <si>
    <t xml:space="preserve">SKU-0003</t>
  </si>
  <si>
    <t xml:space="preserve">SKU-0004</t>
  </si>
  <si>
    <t xml:space="preserve">SKU-0005</t>
  </si>
  <si>
    <t xml:space="preserve">Expenses</t>
  </si>
  <si>
    <t xml:space="preserve">Business costs not tied to one item. For mileage, enter Miles and the deduction is calculated from Settings.</t>
  </si>
  <si>
    <t xml:space="preserve">Date</t>
  </si>
  <si>
    <t xml:space="preserve">Description</t>
  </si>
  <si>
    <t xml:space="preserve">Amount</t>
  </si>
  <si>
    <t xml:space="preserve">Miles</t>
  </si>
  <si>
    <t xml:space="preserve">Mileage Deduction</t>
  </si>
  <si>
    <t xml:space="preserve">Total Deductible</t>
  </si>
  <si>
    <t xml:space="preserve">Poly mailers 10x13 (100 pk) + tape</t>
  </si>
  <si>
    <t xml:space="preserve">Thrift route - 3 stores</t>
  </si>
  <si>
    <t xml:space="preserve">Crosslisting app - monthly</t>
  </si>
  <si>
    <t xml:space="preserve">Garment steamer + lint roller</t>
  </si>
  <si>
    <t xml:space="preserve">Dashboard</t>
  </si>
  <si>
    <t xml:space="preserve">Sell-Through Rate</t>
  </si>
  <si>
    <t xml:space="preserve">Avg ROI</t>
  </si>
  <si>
    <t xml:space="preserve">Avg Days to Sell</t>
  </si>
  <si>
    <t xml:space="preserve">Best Platform by Profit</t>
  </si>
  <si>
    <t xml:space="preserve">Death Pile Items (stale)</t>
  </si>
  <si>
    <t xml:space="preserve">Items Sold (year)</t>
  </si>
  <si>
    <t xml:space="preserve">Monthly Performance</t>
  </si>
  <si>
    <t xml:space="preserve">Month</t>
  </si>
  <si>
    <t xml:space="preserve">Items Sourced</t>
  </si>
  <si>
    <t xml:space="preserve">COGS Spent</t>
  </si>
  <si>
    <t xml:space="preserve">Items Sold</t>
  </si>
  <si>
    <t xml:space="preserve">Gross Sales</t>
  </si>
  <si>
    <t xml:space="preserve">Shipping Net (charged - paid)</t>
  </si>
  <si>
    <t xml:space="preserve">Item Profit</t>
  </si>
  <si>
    <t xml:space="preserve">Overhead Expenses</t>
  </si>
  <si>
    <t xml:space="preserve">Month Start (helper)</t>
  </si>
  <si>
    <t xml:space="preserve">Month End (helper)</t>
  </si>
  <si>
    <t xml:space="preserve">TOTAL</t>
  </si>
  <si>
    <t xml:space="preserve">Performance by Platform</t>
  </si>
  <si>
    <t xml:space="preserve">Avg Profit / Item</t>
  </si>
  <si>
    <t xml:space="preserve">Performance by Category</t>
  </si>
  <si>
    <t xml:space="preserve">Cost Invested (all)</t>
  </si>
  <si>
    <t xml:space="preserve">Unsold at Cost</t>
  </si>
  <si>
    <t xml:space="preserve">Net Profit (sold)</t>
  </si>
  <si>
    <t xml:space="preserve">ROI (sold)</t>
  </si>
  <si>
    <t xml:space="preserve">ROI by Sourcing Channel</t>
  </si>
  <si>
    <t xml:space="preserve">Sell-Through</t>
  </si>
  <si>
    <t xml:space="preserve">Cost of Items Sold</t>
  </si>
  <si>
    <t xml:space="preserve">Death Pile - Stale Listings</t>
  </si>
  <si>
    <t xml:space="preserve">Items with Status = Listed that have been live longer than the Settings threshold. Automatic - nothing to type here.</t>
  </si>
  <si>
    <t xml:space="preserve">Stale threshold (days)</t>
  </si>
  <si>
    <t xml:space="preserve">Stale items</t>
  </si>
  <si>
    <t xml:space="preserve">Cash tied up (at cost)</t>
  </si>
  <si>
    <t xml:space="preserve">Total list value</t>
  </si>
  <si>
    <t xml:space="preserve">#</t>
  </si>
  <si>
    <t xml:space="preserve">15% Markdown Price</t>
  </si>
  <si>
    <t xml:space="preserve">Shows up to 50 stale items. Tip: a 10-15% price drop, a bundle offer, or relisting on a second platform usually clears a death pile fastest.</t>
  </si>
  <si>
    <t xml:space="preserve">Tax Summary (Estimate)</t>
  </si>
  <si>
    <t xml:space="preserve">Totals for the 12 months from the Settings year start, mapped loosely to US Schedule C lines. Rows dated outside that window are excluded. ESTIMATE ONLY - not tax advice. Confirm with a tax professional.</t>
  </si>
  <si>
    <t xml:space="preserve">Line</t>
  </si>
  <si>
    <t xml:space="preserve">Item</t>
  </si>
  <si>
    <t xml:space="preserve">Schedule C mapping (approx.)</t>
  </si>
  <si>
    <t xml:space="preserve">INCOME</t>
  </si>
  <si>
    <t xml:space="preserve">Gross sales (item prices)</t>
  </si>
  <si>
    <t xml:space="preserve">Line 1 - Gross receipts</t>
  </si>
  <si>
    <t xml:space="preserve">Sales: Sale Price</t>
  </si>
  <si>
    <t xml:space="preserve">Shipping charged to buyers</t>
  </si>
  <si>
    <t xml:space="preserve">Sales: Shipping Charged</t>
  </si>
  <si>
    <t xml:space="preserve">Total gross receipts</t>
  </si>
  <si>
    <t xml:space="preserve">Line 1</t>
  </si>
  <si>
    <t xml:space="preserve">Lines 1 + 2</t>
  </si>
  <si>
    <t xml:space="preserve">Cost of goods sold (sold items only)</t>
  </si>
  <si>
    <t xml:space="preserve">Part III / Line 4 - COGS</t>
  </si>
  <si>
    <t xml:space="preserve">Sales: Item Total Cost</t>
  </si>
  <si>
    <t xml:space="preserve">Gross profit</t>
  </si>
  <si>
    <t xml:space="preserve">Line 7</t>
  </si>
  <si>
    <t xml:space="preserve">Line 3 - line 4</t>
  </si>
  <si>
    <t xml:space="preserve">EXPENSES</t>
  </si>
  <si>
    <t xml:space="preserve">Marketplace &amp; payment fees</t>
  </si>
  <si>
    <t xml:space="preserve">Line 10 - Commissions and fees</t>
  </si>
  <si>
    <t xml:space="preserve">Sales: Platform Fees + Expenses: Fees</t>
  </si>
  <si>
    <t xml:space="preserve">7</t>
  </si>
  <si>
    <t xml:space="preserve">Shipping / postage paid</t>
  </si>
  <si>
    <t xml:space="preserve">Line 27a - Other expenses (postage)</t>
  </si>
  <si>
    <t xml:space="preserve">Sales: Shipping Cost Paid</t>
  </si>
  <si>
    <t xml:space="preserve">8</t>
  </si>
  <si>
    <t xml:space="preserve">Shipping supplies</t>
  </si>
  <si>
    <t xml:space="preserve">Line 22 - Supplies</t>
  </si>
  <si>
    <t xml:space="preserve">Expenses: Shipping Supplies</t>
  </si>
  <si>
    <t xml:space="preserve">9</t>
  </si>
  <si>
    <t xml:space="preserve">Expenses: Supplies</t>
  </si>
  <si>
    <t xml:space="preserve">Subscriptions / software</t>
  </si>
  <si>
    <t xml:space="preserve">Line 18 - Office expense</t>
  </si>
  <si>
    <t xml:space="preserve">Expenses: Subscriptions</t>
  </si>
  <si>
    <t xml:space="preserve">11</t>
  </si>
  <si>
    <t xml:space="preserve">Line 20b - Rent (other business property)</t>
  </si>
  <si>
    <t xml:space="preserve">Expenses: Storage</t>
  </si>
  <si>
    <t xml:space="preserve">12</t>
  </si>
  <si>
    <t xml:space="preserve">Vehicle mileage deduction + costs on Mileage rows</t>
  </si>
  <si>
    <t xml:space="preserve">Line 9 - Car and truck expenses</t>
  </si>
  <si>
    <t xml:space="preserve">Expenses: Miles x rate + Amount on Mileage rows</t>
  </si>
  <si>
    <t xml:space="preserve">13</t>
  </si>
  <si>
    <t xml:space="preserve">Other item costs &amp; other expenses</t>
  </si>
  <si>
    <t xml:space="preserve">Line 27a - Other expenses</t>
  </si>
  <si>
    <t xml:space="preserve">Sales: Other Costs + Expenses: Other</t>
  </si>
  <si>
    <t xml:space="preserve">14</t>
  </si>
  <si>
    <t xml:space="preserve">Total expenses</t>
  </si>
  <si>
    <t xml:space="preserve">Line 28</t>
  </si>
  <si>
    <t xml:space="preserve">Sum of lines 6-13</t>
  </si>
  <si>
    <t xml:space="preserve">RESULT</t>
  </si>
  <si>
    <t xml:space="preserve">15</t>
  </si>
  <si>
    <t xml:space="preserve">Estimated net profit (loss)</t>
  </si>
  <si>
    <t xml:space="preserve">Line 31 - Net profit or (loss)</t>
  </si>
  <si>
    <t xml:space="preserve">Line 5 - line 14</t>
  </si>
  <si>
    <t xml:space="preserve">Cross-check: Dashboard net profit</t>
  </si>
  <si>
    <t xml:space="preserve">Should equal line 15</t>
  </si>
  <si>
    <t xml:space="preserve">Dashboard total row</t>
  </si>
  <si>
    <t xml:space="preserve">INFO</t>
  </si>
  <si>
    <t xml:space="preserve">Sales tax collected &amp; remitted by platforms</t>
  </si>
  <si>
    <t xml:space="preserve">Not your income or expense - info only</t>
  </si>
  <si>
    <t xml:space="preserve">Sales: Sales Tax Collected</t>
  </si>
  <si>
    <t xml:space="preserve">Miles driven (tracking year)</t>
  </si>
  <si>
    <t xml:space="preserve">Keep a contemporaneous mileage log</t>
  </si>
  <si>
    <t xml:space="preserve">Expenses: Miles</t>
  </si>
  <si>
    <t xml:space="preserve">Unsold inventory at cost (year end)</t>
  </si>
  <si>
    <t xml:space="preserve">Inventory carried forward (Part III)</t>
  </si>
  <si>
    <t xml:space="preserve">Dashboard KPI</t>
  </si>
  <si>
    <t xml:space="preserve">Disclaimer: This summary is a bookkeeping estimate produced from the data you entered. Fee, mileage and category mappings are approximations. It is not tax, legal or accounting advice. Consult a qualified professional before filing.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</si>
</sst>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\$#,##0.00;&quot;($&quot;#,##0.00\);\-"/>
    <numFmt numFmtId="167" formatCode="mm/dd/yyyy"/>
    <numFmt numFmtId="168" formatCode="\$0.000"/>
    <numFmt numFmtId="169" formatCode="0"/>
    <numFmt numFmtId="170" formatCode="#,##0;\(#,##0\);\-"/>
    <numFmt numFmtId="171" formatCode="#,##0.0"/>
    <numFmt numFmtId="172" formatCode="0.0"/>
    <numFmt numFmtId="173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9C0006"/>
      <name val="Arial"/>
      <family val="0"/>
      <charset val="1"/>
    </font>
    <font>
      <i val="true"/>
      <sz val="9"/>
      <color rgb="FF0061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D0D0D0"/>
      <name val="Arial"/>
      <family val="0"/>
      <charset val="1"/>
    </font>
    <font>
      <sz val="9"/>
      <color rgb="FFA0A0A0"/>
      <name val="Arial"/>
      <family val="0"/>
      <charset val="1"/>
    </font>
    <font>
      <sz val="10"/>
      <name val="Arial"/>
      <family val="2"/>
    </font>
    <font>
      <b val="true"/>
      <sz val="9"/>
      <color rgb="FFFFFFF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9"/>
      <color rgb="FFD0D0D0"/>
      <name val="Arial"/>
      <family val="0"/>
      <charset val="1"/>
    </font>
    <font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9EEF5"/>
        <bgColor rgb="FFF5F7FA"/>
      </patternFill>
    </fill>
    <fill>
      <patternFill patternType="solid">
        <fgColor rgb="FFF5F7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  <border diagonalUp="false" diagonalDown="false">
      <left style="thin">
        <color rgb="FFBFC7D1"/>
      </left>
      <right style="thin">
        <color rgb="FFBFC7D1"/>
      </right>
      <top style="medium">
        <color rgb="FF1F3A5F"/>
      </top>
      <bottom style="thin">
        <color rgb="FFBFC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A0A0A0"/>
          <bgColor rgb="FF000000"/>
        </patternFill>
      </fill>
    </dxf>
    <dxf>
      <fill>
        <patternFill patternType="solid">
          <fgColor rgb="FFD0D0D0"/>
          <bgColor rgb="FF000000"/>
        </patternFill>
      </fill>
    </dxf>
    <dxf>
      <font>
        <name val="Arial"/>
        <charset val="1"/>
        <family val="0"/>
        <color rgb="FF9C0006"/>
      </font>
      <fill>
        <patternFill>
          <bgColor rgb="FFFDE9D9"/>
        </patternFill>
      </fill>
    </dxf>
    <dxf>
      <fill>
        <patternFill>
          <bgColor rgb="FFE2F0D9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DE9D9"/>
        </patternFill>
      </fill>
    </dxf>
    <dxf>
      <font>
        <name val="Arial"/>
        <charset val="1"/>
        <family val="0"/>
        <b val="1"/>
        <color rgb="FF9C0006"/>
      </font>
    </dxf>
    <dxf>
      <font>
        <name val="Arial"/>
        <charset val="1"/>
        <family val="0"/>
        <b val="1"/>
        <color rgb="FF1F3A5F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C7D1"/>
      <rgbColor rgb="FF808080"/>
      <rgbColor rgb="FF9999FF"/>
      <rgbColor rgb="FF993366"/>
      <rgbColor rgb="FFF5F7FA"/>
      <rgbColor rgb="FFE9EEF5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D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0A0A0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23.85" hidden="false" customHeight="false" outlineLevel="0" collapsed="false">
      <c r="A5" s="5" t="s">
        <v>3</v>
      </c>
      <c r="B5" s="6" t="s">
        <v>4</v>
      </c>
    </row>
    <row r="6" customFormat="false" ht="23.85" hidden="false" customHeight="false" outlineLevel="0" collapsed="false">
      <c r="A6" s="5" t="s">
        <v>5</v>
      </c>
      <c r="B6" s="6" t="s">
        <v>6</v>
      </c>
    </row>
    <row r="7" customFormat="false" ht="23.85" hidden="false" customHeight="false" outlineLevel="0" collapsed="false">
      <c r="A7" s="5" t="s">
        <v>7</v>
      </c>
      <c r="B7" s="6" t="s">
        <v>8</v>
      </c>
    </row>
    <row r="8" customFormat="false" ht="23.8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/>
      <c r="B10" s="6"/>
    </row>
    <row r="11" customFormat="false" ht="15" hidden="false" customHeight="false" outlineLevel="0" collapsed="false">
      <c r="A11" s="3" t="s">
        <v>13</v>
      </c>
      <c r="B11" s="4"/>
    </row>
    <row r="12" customFormat="false" ht="15" hidden="false" customHeight="false" outlineLevel="0" collapsed="false">
      <c r="A12" s="7" t="s">
        <v>14</v>
      </c>
      <c r="B12" s="6" t="s">
        <v>15</v>
      </c>
    </row>
    <row r="13" customFormat="false" ht="15" hidden="false" customHeight="false" outlineLevel="0" collapsed="false">
      <c r="A13" s="5" t="s">
        <v>16</v>
      </c>
      <c r="B13" s="6" t="s">
        <v>17</v>
      </c>
    </row>
    <row r="14" customFormat="false" ht="15" hidden="false" customHeight="false" outlineLevel="0" collapsed="false">
      <c r="A14" s="8" t="s">
        <v>18</v>
      </c>
      <c r="B14" s="6" t="s">
        <v>19</v>
      </c>
    </row>
    <row r="15" customFormat="false" ht="15" hidden="false" customHeight="false" outlineLevel="0" collapsed="false">
      <c r="A15" s="5"/>
      <c r="B15" s="6"/>
    </row>
    <row r="16" customFormat="false" ht="15" hidden="false" customHeight="false" outlineLevel="0" collapsed="false">
      <c r="A16" s="3" t="s">
        <v>20</v>
      </c>
      <c r="B16" s="4"/>
    </row>
    <row r="17" customFormat="false" ht="23.85" hidden="false" customHeight="false" outlineLevel="0" collapsed="false">
      <c r="A17" s="5" t="s">
        <v>21</v>
      </c>
      <c r="B17" s="6" t="s">
        <v>22</v>
      </c>
    </row>
    <row r="18" customFormat="false" ht="15" hidden="false" customHeight="false" outlineLevel="0" collapsed="false">
      <c r="A18" s="5" t="s">
        <v>23</v>
      </c>
      <c r="B18" s="6" t="s">
        <v>24</v>
      </c>
    </row>
    <row r="19" customFormat="false" ht="15" hidden="false" customHeight="false" outlineLevel="0" collapsed="false">
      <c r="A19" s="5"/>
      <c r="B19" s="6"/>
    </row>
    <row r="20" customFormat="false" ht="15" hidden="false" customHeight="false" outlineLevel="0" collapsed="false">
      <c r="A20" s="3" t="s">
        <v>25</v>
      </c>
      <c r="B20" s="4"/>
    </row>
    <row r="21" customFormat="false" ht="15" hidden="false" customHeight="false" outlineLevel="0" collapsed="false">
      <c r="A21" s="5" t="s">
        <v>26</v>
      </c>
      <c r="B21" s="6" t="s">
        <v>27</v>
      </c>
    </row>
    <row r="22" customFormat="false" ht="15" hidden="false" customHeight="false" outlineLevel="0" collapsed="false">
      <c r="A22" s="5" t="s">
        <v>28</v>
      </c>
      <c r="B22" s="6" t="s">
        <v>29</v>
      </c>
    </row>
    <row r="23" customFormat="false" ht="15" hidden="false" customHeight="false" outlineLevel="0" collapsed="false">
      <c r="A23" s="5" t="s">
        <v>30</v>
      </c>
      <c r="B23" s="6" t="s">
        <v>31</v>
      </c>
    </row>
    <row r="24" customFormat="false" ht="35.05" hidden="false" customHeight="false" outlineLevel="0" collapsed="false">
      <c r="A24" s="5" t="s">
        <v>32</v>
      </c>
      <c r="B24" s="6" t="s">
        <v>33</v>
      </c>
    </row>
    <row r="25" customFormat="false" ht="15" hidden="false" customHeight="false" outlineLevel="0" collapsed="false">
      <c r="A25" s="5"/>
      <c r="B25" s="6"/>
    </row>
    <row r="26" customFormat="false" ht="15" hidden="false" customHeight="false" outlineLevel="0" collapsed="false">
      <c r="A26" s="3" t="s">
        <v>34</v>
      </c>
      <c r="B26" s="4"/>
    </row>
    <row r="27" customFormat="false" ht="23.85" hidden="false" customHeight="false" outlineLevel="0" collapsed="false">
      <c r="A27" s="5" t="s">
        <v>35</v>
      </c>
      <c r="B27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70"/>
    <col collapsed="false" customWidth="true" hidden="false" outlineLevel="0" max="8" min="7" style="0" width="16"/>
    <col collapsed="false" customWidth="true" hidden="false" outlineLevel="0" max="9" min="9" style="0" width="12"/>
    <col collapsed="false" customWidth="true" hidden="false" outlineLevel="0" max="10" min="10" style="0" width="20"/>
  </cols>
  <sheetData>
    <row r="1" customFormat="false" ht="19.7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3" customFormat="false" ht="30" hidden="false" customHeight="true" outlineLevel="0" collapsed="false">
      <c r="A3" s="9" t="s">
        <v>39</v>
      </c>
      <c r="B3" s="9" t="s">
        <v>40</v>
      </c>
      <c r="C3" s="9" t="s">
        <v>41</v>
      </c>
      <c r="D3" s="9" t="s">
        <v>42</v>
      </c>
      <c r="E3" s="9" t="s">
        <v>43</v>
      </c>
      <c r="F3" s="9" t="s">
        <v>44</v>
      </c>
      <c r="G3" s="9" t="s">
        <v>45</v>
      </c>
      <c r="H3" s="9" t="s">
        <v>46</v>
      </c>
      <c r="I3" s="9" t="s">
        <v>47</v>
      </c>
      <c r="J3" s="9" t="s">
        <v>48</v>
      </c>
      <c r="K3" s="9" t="s">
        <v>49</v>
      </c>
    </row>
    <row r="4" customFormat="false" ht="15" hidden="false" customHeight="false" outlineLevel="0" collapsed="false">
      <c r="A4" s="10" t="s">
        <v>50</v>
      </c>
      <c r="B4" s="11" t="n">
        <v>0.136</v>
      </c>
      <c r="C4" s="12" t="n">
        <v>0.4</v>
      </c>
      <c r="D4" s="11" t="n">
        <v>0</v>
      </c>
      <c r="E4" s="13" t="s">
        <v>51</v>
      </c>
      <c r="F4" s="14" t="s">
        <v>52</v>
      </c>
      <c r="G4" s="15" t="s">
        <v>53</v>
      </c>
      <c r="H4" s="10" t="s">
        <v>54</v>
      </c>
      <c r="I4" s="10" t="s">
        <v>55</v>
      </c>
      <c r="J4" s="10" t="s">
        <v>56</v>
      </c>
      <c r="K4" s="10" t="s">
        <v>57</v>
      </c>
    </row>
    <row r="5" customFormat="false" ht="15" hidden="false" customHeight="false" outlineLevel="0" collapsed="false">
      <c r="A5" s="10" t="s">
        <v>58</v>
      </c>
      <c r="B5" s="11" t="n">
        <v>0.2</v>
      </c>
      <c r="C5" s="12" t="n">
        <v>0</v>
      </c>
      <c r="D5" s="11" t="n">
        <v>0</v>
      </c>
      <c r="E5" s="13" t="s">
        <v>59</v>
      </c>
      <c r="F5" s="14" t="s">
        <v>60</v>
      </c>
      <c r="G5" s="15" t="s">
        <v>53</v>
      </c>
      <c r="H5" s="10" t="s">
        <v>61</v>
      </c>
      <c r="I5" s="10" t="s">
        <v>62</v>
      </c>
      <c r="J5" s="10" t="s">
        <v>63</v>
      </c>
      <c r="K5" s="10" t="s">
        <v>64</v>
      </c>
    </row>
    <row r="6" customFormat="false" ht="15" hidden="false" customHeight="false" outlineLevel="0" collapsed="false">
      <c r="A6" s="10" t="s">
        <v>65</v>
      </c>
      <c r="B6" s="11" t="n">
        <v>0.1</v>
      </c>
      <c r="C6" s="12" t="n">
        <v>0</v>
      </c>
      <c r="D6" s="11" t="n">
        <v>0</v>
      </c>
      <c r="E6" s="13" t="s">
        <v>51</v>
      </c>
      <c r="F6" s="14" t="s">
        <v>66</v>
      </c>
      <c r="G6" s="16" t="s">
        <v>67</v>
      </c>
      <c r="H6" s="10" t="s">
        <v>68</v>
      </c>
      <c r="I6" s="10" t="s">
        <v>69</v>
      </c>
      <c r="J6" s="10" t="s">
        <v>70</v>
      </c>
      <c r="K6" s="10" t="s">
        <v>71</v>
      </c>
    </row>
    <row r="7" customFormat="false" ht="15" hidden="false" customHeight="false" outlineLevel="0" collapsed="false">
      <c r="A7" s="10" t="s">
        <v>72</v>
      </c>
      <c r="B7" s="11" t="n">
        <v>0</v>
      </c>
      <c r="C7" s="12" t="n">
        <v>0.45</v>
      </c>
      <c r="D7" s="11" t="n">
        <v>0.033</v>
      </c>
      <c r="E7" s="13" t="s">
        <v>51</v>
      </c>
      <c r="F7" s="14" t="s">
        <v>73</v>
      </c>
      <c r="G7" s="16" t="s">
        <v>74</v>
      </c>
      <c r="H7" s="10" t="s">
        <v>75</v>
      </c>
      <c r="I7" s="10" t="s">
        <v>76</v>
      </c>
      <c r="J7" s="10" t="s">
        <v>77</v>
      </c>
      <c r="K7" s="10" t="s">
        <v>78</v>
      </c>
    </row>
    <row r="8" customFormat="false" ht="15" hidden="false" customHeight="false" outlineLevel="0" collapsed="false">
      <c r="A8" s="10" t="s">
        <v>79</v>
      </c>
      <c r="B8" s="11" t="n">
        <v>0.08</v>
      </c>
      <c r="C8" s="12" t="n">
        <v>0.3</v>
      </c>
      <c r="D8" s="11" t="n">
        <v>0.029</v>
      </c>
      <c r="E8" s="13" t="s">
        <v>59</v>
      </c>
      <c r="F8" s="14" t="s">
        <v>80</v>
      </c>
      <c r="G8" s="15" t="s">
        <v>53</v>
      </c>
      <c r="H8" s="10" t="s">
        <v>81</v>
      </c>
      <c r="I8" s="10" t="s">
        <v>82</v>
      </c>
      <c r="J8" s="10" t="s">
        <v>83</v>
      </c>
      <c r="K8" s="10" t="s">
        <v>84</v>
      </c>
    </row>
    <row r="9" customFormat="false" ht="15" hidden="false" customHeight="false" outlineLevel="0" collapsed="false">
      <c r="A9" s="10" t="s">
        <v>85</v>
      </c>
      <c r="B9" s="11" t="n">
        <v>0.1</v>
      </c>
      <c r="C9" s="12" t="n">
        <v>0</v>
      </c>
      <c r="D9" s="11" t="n">
        <v>0</v>
      </c>
      <c r="E9" s="13" t="s">
        <v>51</v>
      </c>
      <c r="F9" s="14" t="s">
        <v>86</v>
      </c>
      <c r="G9" s="16" t="s">
        <v>74</v>
      </c>
      <c r="H9" s="10" t="s">
        <v>87</v>
      </c>
      <c r="I9" s="10" t="s">
        <v>88</v>
      </c>
      <c r="K9" s="10" t="s">
        <v>89</v>
      </c>
    </row>
    <row r="10" customFormat="false" ht="15" hidden="false" customHeight="false" outlineLevel="0" collapsed="false">
      <c r="A10" s="10" t="s">
        <v>90</v>
      </c>
      <c r="B10" s="11" t="n">
        <v>0.065</v>
      </c>
      <c r="C10" s="12" t="n">
        <v>0.45</v>
      </c>
      <c r="D10" s="11" t="n">
        <v>0.03</v>
      </c>
      <c r="E10" s="13" t="s">
        <v>51</v>
      </c>
      <c r="F10" s="14" t="s">
        <v>91</v>
      </c>
      <c r="G10" s="15" t="s">
        <v>53</v>
      </c>
      <c r="H10" s="10" t="s">
        <v>92</v>
      </c>
      <c r="I10" s="10" t="s">
        <v>93</v>
      </c>
      <c r="K10" s="10" t="s">
        <v>92</v>
      </c>
    </row>
    <row r="11" customFormat="false" ht="15" hidden="false" customHeight="false" outlineLevel="0" collapsed="false">
      <c r="A11" s="10" t="s">
        <v>92</v>
      </c>
      <c r="B11" s="11" t="n">
        <v>0.1</v>
      </c>
      <c r="C11" s="12" t="n">
        <v>0</v>
      </c>
      <c r="D11" s="11" t="n">
        <v>0</v>
      </c>
      <c r="E11" s="13" t="s">
        <v>59</v>
      </c>
      <c r="F11" s="14" t="s">
        <v>94</v>
      </c>
      <c r="G11" s="15" t="s">
        <v>53</v>
      </c>
      <c r="I11" s="10" t="s">
        <v>95</v>
      </c>
    </row>
    <row r="12" customFormat="false" ht="15" hidden="false" customHeight="false" outlineLevel="0" collapsed="false">
      <c r="I12" s="10" t="s">
        <v>92</v>
      </c>
    </row>
    <row r="13" customFormat="false" ht="30" hidden="false" customHeight="true" outlineLevel="0" collapsed="false">
      <c r="A13" s="9" t="s">
        <v>96</v>
      </c>
      <c r="B13" s="9" t="s">
        <v>97</v>
      </c>
      <c r="C13" s="9" t="s">
        <v>98</v>
      </c>
      <c r="D13" s="9"/>
      <c r="E13" s="9"/>
      <c r="F13" s="9"/>
    </row>
    <row r="14" customFormat="false" ht="15" hidden="false" customHeight="false" outlineLevel="0" collapsed="false">
      <c r="A14" s="17" t="s">
        <v>99</v>
      </c>
      <c r="B14" s="10" t="s">
        <v>100</v>
      </c>
      <c r="C14" s="18" t="s">
        <v>101</v>
      </c>
      <c r="D14" s="18"/>
      <c r="E14" s="18"/>
      <c r="F14" s="18"/>
      <c r="H14" s="2" t="s">
        <v>102</v>
      </c>
    </row>
    <row r="15" customFormat="false" ht="15" hidden="false" customHeight="false" outlineLevel="0" collapsed="false">
      <c r="A15" s="17" t="s">
        <v>103</v>
      </c>
      <c r="B15" s="19" t="n">
        <v>46023</v>
      </c>
      <c r="C15" s="18" t="s">
        <v>104</v>
      </c>
      <c r="D15" s="18"/>
      <c r="E15" s="18"/>
      <c r="F15" s="18"/>
    </row>
    <row r="16" customFormat="false" ht="15" hidden="false" customHeight="false" outlineLevel="0" collapsed="false">
      <c r="A16" s="17" t="s">
        <v>105</v>
      </c>
      <c r="B16" s="11" t="n">
        <v>0</v>
      </c>
      <c r="C16" s="18" t="s">
        <v>106</v>
      </c>
      <c r="D16" s="18"/>
      <c r="E16" s="18"/>
      <c r="F16" s="18"/>
    </row>
    <row r="17" customFormat="false" ht="15" hidden="false" customHeight="false" outlineLevel="0" collapsed="false">
      <c r="A17" s="17" t="s">
        <v>107</v>
      </c>
      <c r="B17" s="20" t="n">
        <v>0.7</v>
      </c>
      <c r="C17" s="18" t="s">
        <v>108</v>
      </c>
      <c r="D17" s="18"/>
      <c r="E17" s="18"/>
      <c r="F17" s="18"/>
    </row>
    <row r="18" customFormat="false" ht="15" hidden="false" customHeight="false" outlineLevel="0" collapsed="false">
      <c r="A18" s="17" t="s">
        <v>109</v>
      </c>
      <c r="B18" s="12" t="n">
        <v>9</v>
      </c>
      <c r="C18" s="18" t="s">
        <v>110</v>
      </c>
      <c r="D18" s="18"/>
      <c r="E18" s="18"/>
      <c r="F18" s="18"/>
    </row>
    <row r="19" customFormat="false" ht="15" hidden="false" customHeight="false" outlineLevel="0" collapsed="false">
      <c r="A19" s="17" t="s">
        <v>111</v>
      </c>
      <c r="B19" s="21" t="n">
        <v>60</v>
      </c>
      <c r="C19" s="18" t="s">
        <v>112</v>
      </c>
      <c r="D19" s="18"/>
      <c r="E19" s="18"/>
      <c r="F19" s="18"/>
    </row>
    <row r="20" customFormat="false" ht="15" hidden="false" customHeight="false" outlineLevel="0" collapsed="false">
      <c r="A20" s="17" t="s">
        <v>113</v>
      </c>
      <c r="B20" s="12" t="n">
        <v>15</v>
      </c>
      <c r="C20" s="18" t="s">
        <v>114</v>
      </c>
      <c r="D20" s="18"/>
      <c r="E20" s="18"/>
      <c r="F20" s="18"/>
    </row>
    <row r="21" customFormat="false" ht="15" hidden="false" customHeight="false" outlineLevel="0" collapsed="false">
      <c r="A21" s="17" t="s">
        <v>115</v>
      </c>
      <c r="B21" s="12" t="n">
        <v>2.95</v>
      </c>
      <c r="C21" s="18" t="s">
        <v>116</v>
      </c>
      <c r="D21" s="18"/>
      <c r="E21" s="18"/>
      <c r="F21" s="18"/>
    </row>
  </sheetData>
  <mergeCells count="9"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</mergeCells>
  <dataValidations count="1">
    <dataValidation allowBlank="true" errorStyle="stop" operator="between" showDropDown="false" showErrorMessage="false" showInputMessage="false" sqref="E4:E1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false"/>
  </sheetPr>
  <dimension ref="A1:R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5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8" min="17" style="0" width="9"/>
  </cols>
  <sheetData>
    <row r="1" customFormat="false" ht="19.7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3" customFormat="false" ht="30" hidden="false" customHeight="true" outlineLevel="0" collapsed="false">
      <c r="A3" s="9" t="s">
        <v>119</v>
      </c>
      <c r="B3" s="9" t="s">
        <v>120</v>
      </c>
      <c r="C3" s="9" t="s">
        <v>121</v>
      </c>
      <c r="D3" s="9" t="s">
        <v>122</v>
      </c>
      <c r="E3" s="9" t="s">
        <v>123</v>
      </c>
      <c r="F3" s="9" t="s">
        <v>124</v>
      </c>
      <c r="G3" s="9" t="s">
        <v>125</v>
      </c>
      <c r="H3" s="9" t="s">
        <v>126</v>
      </c>
      <c r="I3" s="9" t="s">
        <v>127</v>
      </c>
      <c r="J3" s="9" t="s">
        <v>128</v>
      </c>
      <c r="K3" s="9" t="s">
        <v>129</v>
      </c>
      <c r="L3" s="9" t="s">
        <v>130</v>
      </c>
      <c r="M3" s="9" t="s">
        <v>131</v>
      </c>
      <c r="N3" s="9" t="s">
        <v>132</v>
      </c>
      <c r="O3" s="9" t="s">
        <v>133</v>
      </c>
      <c r="P3" s="9" t="s">
        <v>134</v>
      </c>
      <c r="Q3" s="9" t="s">
        <v>135</v>
      </c>
      <c r="R3" s="22" t="s">
        <v>136</v>
      </c>
    </row>
    <row r="4" customFormat="false" ht="15" hidden="false" customHeight="false" outlineLevel="0" collapsed="false">
      <c r="A4" s="23" t="str">
        <f aca="false">IF(B4="","","SKU-"&amp;TEXT(ROW()-3,"0000"))</f>
        <v>SKU-0001</v>
      </c>
      <c r="B4" s="19" t="n">
        <v>46034</v>
      </c>
      <c r="C4" s="10" t="s">
        <v>54</v>
      </c>
      <c r="D4" s="10" t="s">
        <v>137</v>
      </c>
      <c r="E4" s="10" t="s">
        <v>138</v>
      </c>
      <c r="F4" s="10" t="s">
        <v>55</v>
      </c>
      <c r="G4" s="10" t="s">
        <v>139</v>
      </c>
      <c r="H4" s="12" t="n">
        <v>12.99</v>
      </c>
      <c r="I4" s="12" t="n">
        <v>0</v>
      </c>
      <c r="J4" s="24" t="n">
        <f aca="false">IF(B4="","",N(H4)+N(I4))</f>
        <v>12.99</v>
      </c>
      <c r="K4" s="10" t="s">
        <v>70</v>
      </c>
      <c r="L4" s="19" t="n">
        <v>46037</v>
      </c>
      <c r="M4" s="12" t="n">
        <v>79</v>
      </c>
      <c r="N4" s="10" t="s">
        <v>50</v>
      </c>
      <c r="O4" s="25" t="str">
        <f aca="true">IF(OR(B4="",K4="Sold",K4="Donated"),"",TODAY()-B4)</f>
        <v/>
      </c>
      <c r="P4" s="25" t="str">
        <f aca="true">IF(OR(L4="",K4="Sold",K4="Donated"),"",TODAY()-L4)</f>
        <v/>
      </c>
      <c r="Q4" s="26" t="str">
        <f aca="false">IF(AND(K4="Listed",P4&lt;&gt;"",N(P4)&gt;Settings!$B$19),"STALE","")</f>
        <v/>
      </c>
      <c r="R4" s="27" t="str">
        <f aca="false">IF(Q4="STALE",COUNTIF($Q$4:Q4,"STALE"),"")</f>
        <v/>
      </c>
    </row>
    <row r="5" customFormat="false" ht="15" hidden="false" customHeight="false" outlineLevel="0" collapsed="false">
      <c r="A5" s="23" t="str">
        <f aca="false">IF(B5="","","SKU-"&amp;TEXT(ROW()-3,"0000"))</f>
        <v>SKU-0002</v>
      </c>
      <c r="B5" s="19" t="n">
        <v>46042</v>
      </c>
      <c r="C5" s="10" t="s">
        <v>61</v>
      </c>
      <c r="D5" s="10" t="s">
        <v>140</v>
      </c>
      <c r="E5" s="10" t="s">
        <v>141</v>
      </c>
      <c r="F5" s="10" t="s">
        <v>82</v>
      </c>
      <c r="G5" s="10"/>
      <c r="H5" s="12" t="n">
        <v>18</v>
      </c>
      <c r="I5" s="12" t="n">
        <v>2.5</v>
      </c>
      <c r="J5" s="24" t="n">
        <f aca="false">IF(B5="","",N(H5)+N(I5))</f>
        <v>20.5</v>
      </c>
      <c r="K5" s="10" t="s">
        <v>70</v>
      </c>
      <c r="L5" s="19" t="n">
        <v>46044</v>
      </c>
      <c r="M5" s="12" t="n">
        <v>65</v>
      </c>
      <c r="N5" s="10" t="s">
        <v>65</v>
      </c>
      <c r="O5" s="25" t="str">
        <f aca="true">IF(OR(B5="",K5="Sold",K5="Donated"),"",TODAY()-B5)</f>
        <v/>
      </c>
      <c r="P5" s="25" t="str">
        <f aca="true">IF(OR(L5="",K5="Sold",K5="Donated"),"",TODAY()-L5)</f>
        <v/>
      </c>
      <c r="Q5" s="26" t="str">
        <f aca="false">IF(AND(K5="Listed",P5&lt;&gt;"",N(P5)&gt;Settings!$B$19),"STALE","")</f>
        <v/>
      </c>
      <c r="R5" s="27" t="str">
        <f aca="false">IF(Q5="STALE",COUNTIF($Q$4:Q5,"STALE"),"")</f>
        <v/>
      </c>
    </row>
    <row r="6" customFormat="false" ht="15" hidden="false" customHeight="false" outlineLevel="0" collapsed="false">
      <c r="A6" s="23" t="str">
        <f aca="false">IF(B6="","","SKU-"&amp;TEXT(ROW()-3,"0000"))</f>
        <v>SKU-0003</v>
      </c>
      <c r="B6" s="19" t="n">
        <v>46056</v>
      </c>
      <c r="C6" s="10" t="s">
        <v>54</v>
      </c>
      <c r="D6" s="10" t="s">
        <v>142</v>
      </c>
      <c r="E6" s="10" t="s">
        <v>143</v>
      </c>
      <c r="F6" s="10" t="s">
        <v>62</v>
      </c>
      <c r="G6" s="10" t="s">
        <v>144</v>
      </c>
      <c r="H6" s="12" t="n">
        <v>22</v>
      </c>
      <c r="I6" s="12" t="n">
        <v>4</v>
      </c>
      <c r="J6" s="24" t="n">
        <f aca="false">IF(B6="","",N(H6)+N(I6))</f>
        <v>26</v>
      </c>
      <c r="K6" s="10" t="s">
        <v>70</v>
      </c>
      <c r="L6" s="19" t="n">
        <v>46058</v>
      </c>
      <c r="M6" s="12" t="n">
        <v>68</v>
      </c>
      <c r="N6" s="10" t="s">
        <v>58</v>
      </c>
      <c r="O6" s="25" t="str">
        <f aca="true">IF(OR(B6="",K6="Sold",K6="Donated"),"",TODAY()-B6)</f>
        <v/>
      </c>
      <c r="P6" s="25" t="str">
        <f aca="true">IF(OR(L6="",K6="Sold",K6="Donated"),"",TODAY()-L6)</f>
        <v/>
      </c>
      <c r="Q6" s="26" t="str">
        <f aca="false">IF(AND(K6="Listed",P6&lt;&gt;"",N(P6)&gt;Settings!$B$19),"STALE","")</f>
        <v/>
      </c>
      <c r="R6" s="27" t="str">
        <f aca="false">IF(Q6="STALE",COUNTIF($Q$4:Q6,"STALE"),"")</f>
        <v/>
      </c>
    </row>
    <row r="7" customFormat="false" ht="15" hidden="false" customHeight="false" outlineLevel="0" collapsed="false">
      <c r="A7" s="23" t="str">
        <f aca="false">IF(B7="","","SKU-"&amp;TEXT(ROW()-3,"0000"))</f>
        <v>SKU-0004</v>
      </c>
      <c r="B7" s="19" t="n">
        <v>46067</v>
      </c>
      <c r="C7" s="10" t="s">
        <v>68</v>
      </c>
      <c r="D7" s="10" t="s">
        <v>145</v>
      </c>
      <c r="E7" s="10" t="s">
        <v>146</v>
      </c>
      <c r="F7" s="10" t="s">
        <v>55</v>
      </c>
      <c r="G7" s="10" t="s">
        <v>147</v>
      </c>
      <c r="H7" s="12" t="n">
        <v>3</v>
      </c>
      <c r="I7" s="12" t="n">
        <v>0</v>
      </c>
      <c r="J7" s="24" t="n">
        <f aca="false">IF(B7="","",N(H7)+N(I7))</f>
        <v>3</v>
      </c>
      <c r="K7" s="10" t="s">
        <v>70</v>
      </c>
      <c r="L7" s="19" t="n">
        <v>46069</v>
      </c>
      <c r="M7" s="12" t="n">
        <v>14</v>
      </c>
      <c r="N7" s="10" t="s">
        <v>58</v>
      </c>
      <c r="O7" s="25" t="str">
        <f aca="true">IF(OR(B7="",K7="Sold",K7="Donated"),"",TODAY()-B7)</f>
        <v/>
      </c>
      <c r="P7" s="25" t="str">
        <f aca="true">IF(OR(L7="",K7="Sold",K7="Donated"),"",TODAY()-L7)</f>
        <v/>
      </c>
      <c r="Q7" s="26" t="str">
        <f aca="false">IF(AND(K7="Listed",P7&lt;&gt;"",N(P7)&gt;Settings!$B$19),"STALE","")</f>
        <v/>
      </c>
      <c r="R7" s="27" t="str">
        <f aca="false">IF(Q7="STALE",COUNTIF($Q$4:Q7,"STALE"),"")</f>
        <v/>
      </c>
    </row>
    <row r="8" customFormat="false" ht="15" hidden="false" customHeight="false" outlineLevel="0" collapsed="false">
      <c r="A8" s="23" t="str">
        <f aca="false">IF(B8="","","SKU-"&amp;TEXT(ROW()-3,"0000"))</f>
        <v>SKU-0005</v>
      </c>
      <c r="B8" s="19" t="n">
        <v>46083</v>
      </c>
      <c r="C8" s="10" t="s">
        <v>81</v>
      </c>
      <c r="D8" s="10" t="s">
        <v>148</v>
      </c>
      <c r="E8" s="10" t="s">
        <v>149</v>
      </c>
      <c r="F8" s="10" t="s">
        <v>88</v>
      </c>
      <c r="G8" s="10"/>
      <c r="H8" s="12" t="n">
        <v>45</v>
      </c>
      <c r="I8" s="12" t="n">
        <v>0</v>
      </c>
      <c r="J8" s="24" t="n">
        <f aca="false">IF(B8="","",N(H8)+N(I8))</f>
        <v>45</v>
      </c>
      <c r="K8" s="10" t="s">
        <v>70</v>
      </c>
      <c r="L8" s="19" t="n">
        <v>46085</v>
      </c>
      <c r="M8" s="12" t="n">
        <v>95</v>
      </c>
      <c r="N8" s="10" t="s">
        <v>79</v>
      </c>
      <c r="O8" s="25" t="str">
        <f aca="true">IF(OR(B8="",K8="Sold",K8="Donated"),"",TODAY()-B8)</f>
        <v/>
      </c>
      <c r="P8" s="25" t="str">
        <f aca="true">IF(OR(L8="",K8="Sold",K8="Donated"),"",TODAY()-L8)</f>
        <v/>
      </c>
      <c r="Q8" s="26" t="str">
        <f aca="false">IF(AND(K8="Listed",P8&lt;&gt;"",N(P8)&gt;Settings!$B$19),"STALE","")</f>
        <v/>
      </c>
      <c r="R8" s="27" t="str">
        <f aca="false">IF(Q8="STALE",COUNTIF($Q$4:Q8,"STALE"),"")</f>
        <v/>
      </c>
    </row>
    <row r="9" customFormat="false" ht="15" hidden="false" customHeight="false" outlineLevel="0" collapsed="false">
      <c r="A9" s="23" t="str">
        <f aca="false">IF(B9="","","SKU-"&amp;TEXT(ROW()-3,"0000"))</f>
        <v>SKU-0006</v>
      </c>
      <c r="B9" s="19" t="n">
        <v>46099</v>
      </c>
      <c r="C9" s="10" t="s">
        <v>54</v>
      </c>
      <c r="D9" s="10" t="s">
        <v>150</v>
      </c>
      <c r="E9" s="10" t="s">
        <v>151</v>
      </c>
      <c r="F9" s="10" t="s">
        <v>55</v>
      </c>
      <c r="G9" s="10" t="s">
        <v>152</v>
      </c>
      <c r="H9" s="12" t="n">
        <v>24.99</v>
      </c>
      <c r="I9" s="12" t="n">
        <v>6</v>
      </c>
      <c r="J9" s="24" t="n">
        <f aca="false">IF(B9="","",N(H9)+N(I9))</f>
        <v>30.99</v>
      </c>
      <c r="K9" s="10" t="s">
        <v>63</v>
      </c>
      <c r="L9" s="19" t="n">
        <v>46101</v>
      </c>
      <c r="M9" s="12" t="n">
        <v>145</v>
      </c>
      <c r="N9" s="10" t="s">
        <v>50</v>
      </c>
      <c r="O9" s="25" t="n">
        <f aca="true">IF(OR(B9="",K9="Sold",K9="Donated"),"",TODAY()-B9)</f>
        <v>188</v>
      </c>
      <c r="P9" s="25" t="n">
        <f aca="true">IF(OR(L9="",K9="Sold",K9="Donated"),"",TODAY()-L9)</f>
        <v>186</v>
      </c>
      <c r="Q9" s="26" t="str">
        <f aca="false">IF(AND(K9="Listed",P9&lt;&gt;"",N(P9)&gt;Settings!$B$19),"STALE","")</f>
        <v>STALE</v>
      </c>
      <c r="R9" s="27" t="n">
        <f aca="false">IF(Q9="STALE",COUNTIF($Q$4:Q9,"STALE"),"")</f>
        <v>1</v>
      </c>
    </row>
    <row r="10" customFormat="false" ht="15" hidden="false" customHeight="false" outlineLevel="0" collapsed="false">
      <c r="A10" s="23" t="str">
        <f aca="false">IF(B10="","","SKU-"&amp;TEXT(ROW()-3,"0000"))</f>
        <v>SKU-0007</v>
      </c>
      <c r="B10" s="19" t="n">
        <v>46178</v>
      </c>
      <c r="C10" s="10" t="s">
        <v>75</v>
      </c>
      <c r="D10" s="10" t="s">
        <v>153</v>
      </c>
      <c r="E10" s="10" t="s">
        <v>154</v>
      </c>
      <c r="F10" s="10" t="s">
        <v>76</v>
      </c>
      <c r="G10" s="10"/>
      <c r="H10" s="12" t="n">
        <v>30</v>
      </c>
      <c r="I10" s="12" t="n">
        <v>0</v>
      </c>
      <c r="J10" s="24" t="n">
        <f aca="false">IF(B10="","",N(H10)+N(I10))</f>
        <v>30</v>
      </c>
      <c r="K10" s="10" t="s">
        <v>63</v>
      </c>
      <c r="L10" s="19" t="n">
        <v>46254</v>
      </c>
      <c r="M10" s="12" t="n">
        <v>89</v>
      </c>
      <c r="N10" s="10" t="s">
        <v>50</v>
      </c>
      <c r="O10" s="25" t="n">
        <f aca="true">IF(OR(B10="",K10="Sold",K10="Donated"),"",TODAY()-B10)</f>
        <v>109</v>
      </c>
      <c r="P10" s="25" t="n">
        <f aca="true">IF(OR(L10="",K10="Sold",K10="Donated"),"",TODAY()-L10)</f>
        <v>33</v>
      </c>
      <c r="Q10" s="26" t="str">
        <f aca="false">IF(AND(K10="Listed",P10&lt;&gt;"",N(P10)&gt;Settings!$B$19),"STALE","")</f>
        <v/>
      </c>
      <c r="R10" s="27" t="str">
        <f aca="false">IF(Q10="STALE",COUNTIF($Q$4:Q10,"STALE"),"")</f>
        <v/>
      </c>
    </row>
    <row r="11" customFormat="false" ht="15" hidden="false" customHeight="false" outlineLevel="0" collapsed="false">
      <c r="A11" s="23" t="str">
        <f aca="false">IF(B11="","","SKU-"&amp;TEXT(ROW()-3,"0000"))</f>
        <v>SKU-0008</v>
      </c>
      <c r="B11" s="19" t="n">
        <v>46262</v>
      </c>
      <c r="C11" s="10" t="s">
        <v>87</v>
      </c>
      <c r="D11" s="10" t="s">
        <v>155</v>
      </c>
      <c r="E11" s="10" t="s">
        <v>156</v>
      </c>
      <c r="F11" s="10" t="s">
        <v>55</v>
      </c>
      <c r="G11" s="10" t="s">
        <v>157</v>
      </c>
      <c r="H11" s="12" t="n">
        <v>20</v>
      </c>
      <c r="I11" s="12" t="n">
        <v>0</v>
      </c>
      <c r="J11" s="24" t="n">
        <f aca="false">IF(B11="","",N(H11)+N(I11))</f>
        <v>20</v>
      </c>
      <c r="K11" s="10" t="s">
        <v>56</v>
      </c>
      <c r="L11" s="19"/>
      <c r="M11" s="12"/>
      <c r="N11" s="10"/>
      <c r="O11" s="25" t="n">
        <f aca="true">IF(OR(B11="",K11="Sold",K11="Donated"),"",TODAY()-B11)</f>
        <v>25</v>
      </c>
      <c r="P11" s="25" t="str">
        <f aca="true">IF(OR(L11="",K11="Sold",K11="Donated"),"",TODAY()-L11)</f>
        <v/>
      </c>
      <c r="Q11" s="26" t="str">
        <f aca="false">IF(AND(K11="Listed",P11&lt;&gt;"",N(P11)&gt;Settings!$B$19),"STALE","")</f>
        <v/>
      </c>
      <c r="R11" s="27" t="str">
        <f aca="false">IF(Q11="STALE",COUNTIF($Q$4:Q11,"STALE"),"")</f>
        <v/>
      </c>
    </row>
    <row r="12" customFormat="false" ht="15" hidden="false" customHeight="false" outlineLevel="0" collapsed="false">
      <c r="A12" s="23" t="str">
        <f aca="false">IF(B12="","","SKU-"&amp;TEXT(ROW()-3,"0000"))</f>
        <v/>
      </c>
      <c r="B12" s="19"/>
      <c r="C12" s="10"/>
      <c r="D12" s="10"/>
      <c r="E12" s="10"/>
      <c r="F12" s="10"/>
      <c r="G12" s="10"/>
      <c r="H12" s="12"/>
      <c r="I12" s="12"/>
      <c r="J12" s="24" t="str">
        <f aca="false">IF(B12="","",N(H12)+N(I12))</f>
        <v/>
      </c>
      <c r="K12" s="10"/>
      <c r="L12" s="19"/>
      <c r="M12" s="12"/>
      <c r="N12" s="10"/>
      <c r="O12" s="25" t="str">
        <f aca="true">IF(OR(B12="",K12="Sold",K12="Donated"),"",TODAY()-B12)</f>
        <v/>
      </c>
      <c r="P12" s="25" t="str">
        <f aca="true">IF(OR(L12="",K12="Sold",K12="Donated"),"",TODAY()-L12)</f>
        <v/>
      </c>
      <c r="Q12" s="26" t="str">
        <f aca="false">IF(AND(K12="Listed",P12&lt;&gt;"",N(P12)&gt;Settings!$B$19),"STALE","")</f>
        <v/>
      </c>
      <c r="R12" s="27" t="str">
        <f aca="false">IF(Q12="STALE",COUNTIF($Q$4:Q12,"STALE"),"")</f>
        <v/>
      </c>
    </row>
    <row r="13" customFormat="false" ht="15" hidden="false" customHeight="false" outlineLevel="0" collapsed="false">
      <c r="A13" s="23" t="str">
        <f aca="false">IF(B13="","","SKU-"&amp;TEXT(ROW()-3,"0000"))</f>
        <v/>
      </c>
      <c r="B13" s="19"/>
      <c r="C13" s="10"/>
      <c r="D13" s="10"/>
      <c r="E13" s="10"/>
      <c r="F13" s="10"/>
      <c r="G13" s="10"/>
      <c r="H13" s="12"/>
      <c r="I13" s="12"/>
      <c r="J13" s="24" t="str">
        <f aca="false">IF(B13="","",N(H13)+N(I13))</f>
        <v/>
      </c>
      <c r="K13" s="10"/>
      <c r="L13" s="19"/>
      <c r="M13" s="12"/>
      <c r="N13" s="10"/>
      <c r="O13" s="25" t="str">
        <f aca="true">IF(OR(B13="",K13="Sold",K13="Donated"),"",TODAY()-B13)</f>
        <v/>
      </c>
      <c r="P13" s="25" t="str">
        <f aca="true">IF(OR(L13="",K13="Sold",K13="Donated"),"",TODAY()-L13)</f>
        <v/>
      </c>
      <c r="Q13" s="26" t="str">
        <f aca="false">IF(AND(K13="Listed",P13&lt;&gt;"",N(P13)&gt;Settings!$B$19),"STALE","")</f>
        <v/>
      </c>
      <c r="R13" s="27" t="str">
        <f aca="false">IF(Q13="STALE",COUNTIF($Q$4:Q13,"STALE"),"")</f>
        <v/>
      </c>
    </row>
    <row r="14" customFormat="false" ht="15" hidden="false" customHeight="false" outlineLevel="0" collapsed="false">
      <c r="A14" s="23" t="str">
        <f aca="false">IF(B14="","","SKU-"&amp;TEXT(ROW()-3,"0000"))</f>
        <v/>
      </c>
      <c r="B14" s="19"/>
      <c r="C14" s="10"/>
      <c r="D14" s="10"/>
      <c r="E14" s="10"/>
      <c r="F14" s="10"/>
      <c r="G14" s="10"/>
      <c r="H14" s="12"/>
      <c r="I14" s="12"/>
      <c r="J14" s="24" t="str">
        <f aca="false">IF(B14="","",N(H14)+N(I14))</f>
        <v/>
      </c>
      <c r="K14" s="10"/>
      <c r="L14" s="19"/>
      <c r="M14" s="12"/>
      <c r="N14" s="10"/>
      <c r="O14" s="25" t="str">
        <f aca="true">IF(OR(B14="",K14="Sold",K14="Donated"),"",TODAY()-B14)</f>
        <v/>
      </c>
      <c r="P14" s="25" t="str">
        <f aca="true">IF(OR(L14="",K14="Sold",K14="Donated"),"",TODAY()-L14)</f>
        <v/>
      </c>
      <c r="Q14" s="26" t="str">
        <f aca="false">IF(AND(K14="Listed",P14&lt;&gt;"",N(P14)&gt;Settings!$B$19),"STALE","")</f>
        <v/>
      </c>
      <c r="R14" s="27" t="str">
        <f aca="false">IF(Q14="STALE",COUNTIF($Q$4:Q14,"STALE"),"")</f>
        <v/>
      </c>
    </row>
    <row r="15" customFormat="false" ht="15" hidden="false" customHeight="false" outlineLevel="0" collapsed="false">
      <c r="A15" s="23" t="str">
        <f aca="false">IF(B15="","","SKU-"&amp;TEXT(ROW()-3,"0000"))</f>
        <v/>
      </c>
      <c r="B15" s="19"/>
      <c r="C15" s="10"/>
      <c r="D15" s="10"/>
      <c r="E15" s="10"/>
      <c r="F15" s="10"/>
      <c r="G15" s="10"/>
      <c r="H15" s="12"/>
      <c r="I15" s="12"/>
      <c r="J15" s="24" t="str">
        <f aca="false">IF(B15="","",N(H15)+N(I15))</f>
        <v/>
      </c>
      <c r="K15" s="10"/>
      <c r="L15" s="19"/>
      <c r="M15" s="12"/>
      <c r="N15" s="10"/>
      <c r="O15" s="25" t="str">
        <f aca="true">IF(OR(B15="",K15="Sold",K15="Donated"),"",TODAY()-B15)</f>
        <v/>
      </c>
      <c r="P15" s="25" t="str">
        <f aca="true">IF(OR(L15="",K15="Sold",K15="Donated"),"",TODAY()-L15)</f>
        <v/>
      </c>
      <c r="Q15" s="26" t="str">
        <f aca="false">IF(AND(K15="Listed",P15&lt;&gt;"",N(P15)&gt;Settings!$B$19),"STALE","")</f>
        <v/>
      </c>
      <c r="R15" s="27" t="str">
        <f aca="false">IF(Q15="STALE",COUNTIF($Q$4:Q15,"STALE"),"")</f>
        <v/>
      </c>
    </row>
    <row r="16" customFormat="false" ht="15" hidden="false" customHeight="false" outlineLevel="0" collapsed="false">
      <c r="A16" s="23" t="str">
        <f aca="false">IF(B16="","","SKU-"&amp;TEXT(ROW()-3,"0000"))</f>
        <v/>
      </c>
      <c r="B16" s="19"/>
      <c r="C16" s="10"/>
      <c r="D16" s="10"/>
      <c r="E16" s="10"/>
      <c r="F16" s="10"/>
      <c r="G16" s="10"/>
      <c r="H16" s="12"/>
      <c r="I16" s="12"/>
      <c r="J16" s="24" t="str">
        <f aca="false">IF(B16="","",N(H16)+N(I16))</f>
        <v/>
      </c>
      <c r="K16" s="10"/>
      <c r="L16" s="19"/>
      <c r="M16" s="12"/>
      <c r="N16" s="10"/>
      <c r="O16" s="25" t="str">
        <f aca="true">IF(OR(B16="",K16="Sold",K16="Donated"),"",TODAY()-B16)</f>
        <v/>
      </c>
      <c r="P16" s="25" t="str">
        <f aca="true">IF(OR(L16="",K16="Sold",K16="Donated"),"",TODAY()-L16)</f>
        <v/>
      </c>
      <c r="Q16" s="26" t="str">
        <f aca="false">IF(AND(K16="Listed",P16&lt;&gt;"",N(P16)&gt;Settings!$B$19),"STALE","")</f>
        <v/>
      </c>
      <c r="R16" s="27" t="str">
        <f aca="false">IF(Q16="STALE",COUNTIF($Q$4:Q16,"STALE"),"")</f>
        <v/>
      </c>
    </row>
    <row r="17" customFormat="false" ht="15" hidden="false" customHeight="false" outlineLevel="0" collapsed="false">
      <c r="A17" s="23" t="str">
        <f aca="false">IF(B17="","","SKU-"&amp;TEXT(ROW()-3,"0000"))</f>
        <v/>
      </c>
      <c r="B17" s="19"/>
      <c r="C17" s="10"/>
      <c r="D17" s="10"/>
      <c r="E17" s="10"/>
      <c r="F17" s="10"/>
      <c r="G17" s="10"/>
      <c r="H17" s="12"/>
      <c r="I17" s="12"/>
      <c r="J17" s="24" t="str">
        <f aca="false">IF(B17="","",N(H17)+N(I17))</f>
        <v/>
      </c>
      <c r="K17" s="10"/>
      <c r="L17" s="19"/>
      <c r="M17" s="12"/>
      <c r="N17" s="10"/>
      <c r="O17" s="25" t="str">
        <f aca="true">IF(OR(B17="",K17="Sold",K17="Donated"),"",TODAY()-B17)</f>
        <v/>
      </c>
      <c r="P17" s="25" t="str">
        <f aca="true">IF(OR(L17="",K17="Sold",K17="Donated"),"",TODAY()-L17)</f>
        <v/>
      </c>
      <c r="Q17" s="26" t="str">
        <f aca="false">IF(AND(K17="Listed",P17&lt;&gt;"",N(P17)&gt;Settings!$B$19),"STALE","")</f>
        <v/>
      </c>
      <c r="R17" s="27" t="str">
        <f aca="false">IF(Q17="STALE",COUNTIF($Q$4:Q17,"STALE"),"")</f>
        <v/>
      </c>
    </row>
    <row r="18" customFormat="false" ht="15" hidden="false" customHeight="false" outlineLevel="0" collapsed="false">
      <c r="A18" s="23" t="str">
        <f aca="false">IF(B18="","","SKU-"&amp;TEXT(ROW()-3,"0000"))</f>
        <v/>
      </c>
      <c r="B18" s="19"/>
      <c r="C18" s="10"/>
      <c r="D18" s="10"/>
      <c r="E18" s="10"/>
      <c r="F18" s="10"/>
      <c r="G18" s="10"/>
      <c r="H18" s="12"/>
      <c r="I18" s="12"/>
      <c r="J18" s="24" t="str">
        <f aca="false">IF(B18="","",N(H18)+N(I18))</f>
        <v/>
      </c>
      <c r="K18" s="10"/>
      <c r="L18" s="19"/>
      <c r="M18" s="12"/>
      <c r="N18" s="10"/>
      <c r="O18" s="25" t="str">
        <f aca="true">IF(OR(B18="",K18="Sold",K18="Donated"),"",TODAY()-B18)</f>
        <v/>
      </c>
      <c r="P18" s="25" t="str">
        <f aca="true">IF(OR(L18="",K18="Sold",K18="Donated"),"",TODAY()-L18)</f>
        <v/>
      </c>
      <c r="Q18" s="26" t="str">
        <f aca="false">IF(AND(K18="Listed",P18&lt;&gt;"",N(P18)&gt;Settings!$B$19),"STALE","")</f>
        <v/>
      </c>
      <c r="R18" s="27" t="str">
        <f aca="false">IF(Q18="STALE",COUNTIF($Q$4:Q18,"STALE"),"")</f>
        <v/>
      </c>
    </row>
    <row r="19" customFormat="false" ht="15" hidden="false" customHeight="false" outlineLevel="0" collapsed="false">
      <c r="A19" s="23" t="str">
        <f aca="false">IF(B19="","","SKU-"&amp;TEXT(ROW()-3,"0000"))</f>
        <v/>
      </c>
      <c r="B19" s="19"/>
      <c r="C19" s="10"/>
      <c r="D19" s="10"/>
      <c r="E19" s="10"/>
      <c r="F19" s="10"/>
      <c r="G19" s="10"/>
      <c r="H19" s="12"/>
      <c r="I19" s="12"/>
      <c r="J19" s="24" t="str">
        <f aca="false">IF(B19="","",N(H19)+N(I19))</f>
        <v/>
      </c>
      <c r="K19" s="10"/>
      <c r="L19" s="19"/>
      <c r="M19" s="12"/>
      <c r="N19" s="10"/>
      <c r="O19" s="25" t="str">
        <f aca="true">IF(OR(B19="",K19="Sold",K19="Donated"),"",TODAY()-B19)</f>
        <v/>
      </c>
      <c r="P19" s="25" t="str">
        <f aca="true">IF(OR(L19="",K19="Sold",K19="Donated"),"",TODAY()-L19)</f>
        <v/>
      </c>
      <c r="Q19" s="26" t="str">
        <f aca="false">IF(AND(K19="Listed",P19&lt;&gt;"",N(P19)&gt;Settings!$B$19),"STALE","")</f>
        <v/>
      </c>
      <c r="R19" s="27" t="str">
        <f aca="false">IF(Q19="STALE",COUNTIF($Q$4:Q19,"STALE"),"")</f>
        <v/>
      </c>
    </row>
    <row r="20" customFormat="false" ht="15" hidden="false" customHeight="false" outlineLevel="0" collapsed="false">
      <c r="A20" s="23" t="str">
        <f aca="false">IF(B20="","","SKU-"&amp;TEXT(ROW()-3,"0000"))</f>
        <v/>
      </c>
      <c r="B20" s="19"/>
      <c r="C20" s="10"/>
      <c r="D20" s="10"/>
      <c r="E20" s="10"/>
      <c r="F20" s="10"/>
      <c r="G20" s="10"/>
      <c r="H20" s="12"/>
      <c r="I20" s="12"/>
      <c r="J20" s="24" t="str">
        <f aca="false">IF(B20="","",N(H20)+N(I20))</f>
        <v/>
      </c>
      <c r="K20" s="10"/>
      <c r="L20" s="19"/>
      <c r="M20" s="12"/>
      <c r="N20" s="10"/>
      <c r="O20" s="25" t="str">
        <f aca="true">IF(OR(B20="",K20="Sold",K20="Donated"),"",TODAY()-B20)</f>
        <v/>
      </c>
      <c r="P20" s="25" t="str">
        <f aca="true">IF(OR(L20="",K20="Sold",K20="Donated"),"",TODAY()-L20)</f>
        <v/>
      </c>
      <c r="Q20" s="26" t="str">
        <f aca="false">IF(AND(K20="Listed",P20&lt;&gt;"",N(P20)&gt;Settings!$B$19),"STALE","")</f>
        <v/>
      </c>
      <c r="R20" s="27" t="str">
        <f aca="false">IF(Q20="STALE",COUNTIF($Q$4:Q20,"STALE"),"")</f>
        <v/>
      </c>
    </row>
    <row r="21" customFormat="false" ht="15" hidden="false" customHeight="false" outlineLevel="0" collapsed="false">
      <c r="A21" s="23" t="str">
        <f aca="false">IF(B21="","","SKU-"&amp;TEXT(ROW()-3,"0000"))</f>
        <v/>
      </c>
      <c r="B21" s="19"/>
      <c r="C21" s="10"/>
      <c r="D21" s="10"/>
      <c r="E21" s="10"/>
      <c r="F21" s="10"/>
      <c r="G21" s="10"/>
      <c r="H21" s="12"/>
      <c r="I21" s="12"/>
      <c r="J21" s="24" t="str">
        <f aca="false">IF(B21="","",N(H21)+N(I21))</f>
        <v/>
      </c>
      <c r="K21" s="10"/>
      <c r="L21" s="19"/>
      <c r="M21" s="12"/>
      <c r="N21" s="10"/>
      <c r="O21" s="25" t="str">
        <f aca="true">IF(OR(B21="",K21="Sold",K21="Donated"),"",TODAY()-B21)</f>
        <v/>
      </c>
      <c r="P21" s="25" t="str">
        <f aca="true">IF(OR(L21="",K21="Sold",K21="Donated"),"",TODAY()-L21)</f>
        <v/>
      </c>
      <c r="Q21" s="26" t="str">
        <f aca="false">IF(AND(K21="Listed",P21&lt;&gt;"",N(P21)&gt;Settings!$B$19),"STALE","")</f>
        <v/>
      </c>
      <c r="R21" s="27" t="str">
        <f aca="false">IF(Q21="STALE",COUNTIF($Q$4:Q21,"STALE"),"")</f>
        <v/>
      </c>
    </row>
    <row r="22" customFormat="false" ht="15" hidden="false" customHeight="false" outlineLevel="0" collapsed="false">
      <c r="A22" s="23" t="str">
        <f aca="false">IF(B22="","","SKU-"&amp;TEXT(ROW()-3,"0000"))</f>
        <v/>
      </c>
      <c r="B22" s="19"/>
      <c r="C22" s="10"/>
      <c r="D22" s="10"/>
      <c r="E22" s="10"/>
      <c r="F22" s="10"/>
      <c r="G22" s="10"/>
      <c r="H22" s="12"/>
      <c r="I22" s="12"/>
      <c r="J22" s="24" t="str">
        <f aca="false">IF(B22="","",N(H22)+N(I22))</f>
        <v/>
      </c>
      <c r="K22" s="10"/>
      <c r="L22" s="19"/>
      <c r="M22" s="12"/>
      <c r="N22" s="10"/>
      <c r="O22" s="25" t="str">
        <f aca="true">IF(OR(B22="",K22="Sold",K22="Donated"),"",TODAY()-B22)</f>
        <v/>
      </c>
      <c r="P22" s="25" t="str">
        <f aca="true">IF(OR(L22="",K22="Sold",K22="Donated"),"",TODAY()-L22)</f>
        <v/>
      </c>
      <c r="Q22" s="26" t="str">
        <f aca="false">IF(AND(K22="Listed",P22&lt;&gt;"",N(P22)&gt;Settings!$B$19),"STALE","")</f>
        <v/>
      </c>
      <c r="R22" s="27" t="str">
        <f aca="false">IF(Q22="STALE",COUNTIF($Q$4:Q22,"STALE"),"")</f>
        <v/>
      </c>
    </row>
    <row r="23" customFormat="false" ht="15" hidden="false" customHeight="false" outlineLevel="0" collapsed="false">
      <c r="A23" s="23" t="str">
        <f aca="false">IF(B23="","","SKU-"&amp;TEXT(ROW()-3,"0000"))</f>
        <v/>
      </c>
      <c r="B23" s="19"/>
      <c r="C23" s="10"/>
      <c r="D23" s="10"/>
      <c r="E23" s="10"/>
      <c r="F23" s="10"/>
      <c r="G23" s="10"/>
      <c r="H23" s="12"/>
      <c r="I23" s="12"/>
      <c r="J23" s="24" t="str">
        <f aca="false">IF(B23="","",N(H23)+N(I23))</f>
        <v/>
      </c>
      <c r="K23" s="10"/>
      <c r="L23" s="19"/>
      <c r="M23" s="12"/>
      <c r="N23" s="10"/>
      <c r="O23" s="25" t="str">
        <f aca="true">IF(OR(B23="",K23="Sold",K23="Donated"),"",TODAY()-B23)</f>
        <v/>
      </c>
      <c r="P23" s="25" t="str">
        <f aca="true">IF(OR(L23="",K23="Sold",K23="Donated"),"",TODAY()-L23)</f>
        <v/>
      </c>
      <c r="Q23" s="26" t="str">
        <f aca="false">IF(AND(K23="Listed",P23&lt;&gt;"",N(P23)&gt;Settings!$B$19),"STALE","")</f>
        <v/>
      </c>
      <c r="R23" s="27" t="str">
        <f aca="false">IF(Q23="STALE",COUNTIF($Q$4:Q23,"STALE"),"")</f>
        <v/>
      </c>
    </row>
    <row r="24" customFormat="false" ht="15" hidden="false" customHeight="false" outlineLevel="0" collapsed="false">
      <c r="A24" s="23" t="str">
        <f aca="false">IF(B24="","","SKU-"&amp;TEXT(ROW()-3,"0000"))</f>
        <v/>
      </c>
      <c r="B24" s="19"/>
      <c r="C24" s="10"/>
      <c r="D24" s="10"/>
      <c r="E24" s="10"/>
      <c r="F24" s="10"/>
      <c r="G24" s="10"/>
      <c r="H24" s="12"/>
      <c r="I24" s="12"/>
      <c r="J24" s="24" t="str">
        <f aca="false">IF(B24="","",N(H24)+N(I24))</f>
        <v/>
      </c>
      <c r="K24" s="10"/>
      <c r="L24" s="19"/>
      <c r="M24" s="12"/>
      <c r="N24" s="10"/>
      <c r="O24" s="25" t="str">
        <f aca="true">IF(OR(B24="",K24="Sold",K24="Donated"),"",TODAY()-B24)</f>
        <v/>
      </c>
      <c r="P24" s="25" t="str">
        <f aca="true">IF(OR(L24="",K24="Sold",K24="Donated"),"",TODAY()-L24)</f>
        <v/>
      </c>
      <c r="Q24" s="26" t="str">
        <f aca="false">IF(AND(K24="Listed",P24&lt;&gt;"",N(P24)&gt;Settings!$B$19),"STALE","")</f>
        <v/>
      </c>
      <c r="R24" s="27" t="str">
        <f aca="false">IF(Q24="STALE",COUNTIF($Q$4:Q24,"STALE"),"")</f>
        <v/>
      </c>
    </row>
    <row r="25" customFormat="false" ht="15" hidden="false" customHeight="false" outlineLevel="0" collapsed="false">
      <c r="A25" s="23" t="str">
        <f aca="false">IF(B25="","","SKU-"&amp;TEXT(ROW()-3,"0000"))</f>
        <v/>
      </c>
      <c r="B25" s="19"/>
      <c r="C25" s="10"/>
      <c r="D25" s="10"/>
      <c r="E25" s="10"/>
      <c r="F25" s="10"/>
      <c r="G25" s="10"/>
      <c r="H25" s="12"/>
      <c r="I25" s="12"/>
      <c r="J25" s="24" t="str">
        <f aca="false">IF(B25="","",N(H25)+N(I25))</f>
        <v/>
      </c>
      <c r="K25" s="10"/>
      <c r="L25" s="19"/>
      <c r="M25" s="12"/>
      <c r="N25" s="10"/>
      <c r="O25" s="25" t="str">
        <f aca="true">IF(OR(B25="",K25="Sold",K25="Donated"),"",TODAY()-B25)</f>
        <v/>
      </c>
      <c r="P25" s="25" t="str">
        <f aca="true">IF(OR(L25="",K25="Sold",K25="Donated"),"",TODAY()-L25)</f>
        <v/>
      </c>
      <c r="Q25" s="26" t="str">
        <f aca="false">IF(AND(K25="Listed",P25&lt;&gt;"",N(P25)&gt;Settings!$B$19),"STALE","")</f>
        <v/>
      </c>
      <c r="R25" s="27" t="str">
        <f aca="false">IF(Q25="STALE",COUNTIF($Q$4:Q25,"STALE"),"")</f>
        <v/>
      </c>
    </row>
    <row r="26" customFormat="false" ht="15" hidden="false" customHeight="false" outlineLevel="0" collapsed="false">
      <c r="A26" s="23" t="str">
        <f aca="false">IF(B26="","","SKU-"&amp;TEXT(ROW()-3,"0000"))</f>
        <v/>
      </c>
      <c r="B26" s="19"/>
      <c r="C26" s="10"/>
      <c r="D26" s="10"/>
      <c r="E26" s="10"/>
      <c r="F26" s="10"/>
      <c r="G26" s="10"/>
      <c r="H26" s="12"/>
      <c r="I26" s="12"/>
      <c r="J26" s="24" t="str">
        <f aca="false">IF(B26="","",N(H26)+N(I26))</f>
        <v/>
      </c>
      <c r="K26" s="10"/>
      <c r="L26" s="19"/>
      <c r="M26" s="12"/>
      <c r="N26" s="10"/>
      <c r="O26" s="25" t="str">
        <f aca="true">IF(OR(B26="",K26="Sold",K26="Donated"),"",TODAY()-B26)</f>
        <v/>
      </c>
      <c r="P26" s="25" t="str">
        <f aca="true">IF(OR(L26="",K26="Sold",K26="Donated"),"",TODAY()-L26)</f>
        <v/>
      </c>
      <c r="Q26" s="26" t="str">
        <f aca="false">IF(AND(K26="Listed",P26&lt;&gt;"",N(P26)&gt;Settings!$B$19),"STALE","")</f>
        <v/>
      </c>
      <c r="R26" s="27" t="str">
        <f aca="false">IF(Q26="STALE",COUNTIF($Q$4:Q26,"STALE"),"")</f>
        <v/>
      </c>
    </row>
    <row r="27" customFormat="false" ht="15" hidden="false" customHeight="false" outlineLevel="0" collapsed="false">
      <c r="A27" s="23" t="str">
        <f aca="false">IF(B27="","","SKU-"&amp;TEXT(ROW()-3,"0000"))</f>
        <v/>
      </c>
      <c r="B27" s="19"/>
      <c r="C27" s="10"/>
      <c r="D27" s="10"/>
      <c r="E27" s="10"/>
      <c r="F27" s="10"/>
      <c r="G27" s="10"/>
      <c r="H27" s="12"/>
      <c r="I27" s="12"/>
      <c r="J27" s="24" t="str">
        <f aca="false">IF(B27="","",N(H27)+N(I27))</f>
        <v/>
      </c>
      <c r="K27" s="10"/>
      <c r="L27" s="19"/>
      <c r="M27" s="12"/>
      <c r="N27" s="10"/>
      <c r="O27" s="25" t="str">
        <f aca="true">IF(OR(B27="",K27="Sold",K27="Donated"),"",TODAY()-B27)</f>
        <v/>
      </c>
      <c r="P27" s="25" t="str">
        <f aca="true">IF(OR(L27="",K27="Sold",K27="Donated"),"",TODAY()-L27)</f>
        <v/>
      </c>
      <c r="Q27" s="26" t="str">
        <f aca="false">IF(AND(K27="Listed",P27&lt;&gt;"",N(P27)&gt;Settings!$B$19),"STALE","")</f>
        <v/>
      </c>
      <c r="R27" s="27" t="str">
        <f aca="false">IF(Q27="STALE",COUNTIF($Q$4:Q27,"STALE"),"")</f>
        <v/>
      </c>
    </row>
    <row r="28" customFormat="false" ht="15" hidden="false" customHeight="false" outlineLevel="0" collapsed="false">
      <c r="A28" s="23" t="str">
        <f aca="false">IF(B28="","","SKU-"&amp;TEXT(ROW()-3,"0000"))</f>
        <v/>
      </c>
      <c r="B28" s="19"/>
      <c r="C28" s="10"/>
      <c r="D28" s="10"/>
      <c r="E28" s="10"/>
      <c r="F28" s="10"/>
      <c r="G28" s="10"/>
      <c r="H28" s="12"/>
      <c r="I28" s="12"/>
      <c r="J28" s="24" t="str">
        <f aca="false">IF(B28="","",N(H28)+N(I28))</f>
        <v/>
      </c>
      <c r="K28" s="10"/>
      <c r="L28" s="19"/>
      <c r="M28" s="12"/>
      <c r="N28" s="10"/>
      <c r="O28" s="25" t="str">
        <f aca="true">IF(OR(B28="",K28="Sold",K28="Donated"),"",TODAY()-B28)</f>
        <v/>
      </c>
      <c r="P28" s="25" t="str">
        <f aca="true">IF(OR(L28="",K28="Sold",K28="Donated"),"",TODAY()-L28)</f>
        <v/>
      </c>
      <c r="Q28" s="26" t="str">
        <f aca="false">IF(AND(K28="Listed",P28&lt;&gt;"",N(P28)&gt;Settings!$B$19),"STALE","")</f>
        <v/>
      </c>
      <c r="R28" s="27" t="str">
        <f aca="false">IF(Q28="STALE",COUNTIF($Q$4:Q28,"STALE"),"")</f>
        <v/>
      </c>
    </row>
    <row r="29" customFormat="false" ht="15" hidden="false" customHeight="false" outlineLevel="0" collapsed="false">
      <c r="A29" s="23" t="str">
        <f aca="false">IF(B29="","","SKU-"&amp;TEXT(ROW()-3,"0000"))</f>
        <v/>
      </c>
      <c r="B29" s="19"/>
      <c r="C29" s="10"/>
      <c r="D29" s="10"/>
      <c r="E29" s="10"/>
      <c r="F29" s="10"/>
      <c r="G29" s="10"/>
      <c r="H29" s="12"/>
      <c r="I29" s="12"/>
      <c r="J29" s="24" t="str">
        <f aca="false">IF(B29="","",N(H29)+N(I29))</f>
        <v/>
      </c>
      <c r="K29" s="10"/>
      <c r="L29" s="19"/>
      <c r="M29" s="12"/>
      <c r="N29" s="10"/>
      <c r="O29" s="25" t="str">
        <f aca="true">IF(OR(B29="",K29="Sold",K29="Donated"),"",TODAY()-B29)</f>
        <v/>
      </c>
      <c r="P29" s="25" t="str">
        <f aca="true">IF(OR(L29="",K29="Sold",K29="Donated"),"",TODAY()-L29)</f>
        <v/>
      </c>
      <c r="Q29" s="26" t="str">
        <f aca="false">IF(AND(K29="Listed",P29&lt;&gt;"",N(P29)&gt;Settings!$B$19),"STALE","")</f>
        <v/>
      </c>
      <c r="R29" s="27" t="str">
        <f aca="false">IF(Q29="STALE",COUNTIF($Q$4:Q29,"STALE"),"")</f>
        <v/>
      </c>
    </row>
    <row r="30" customFormat="false" ht="15" hidden="false" customHeight="false" outlineLevel="0" collapsed="false">
      <c r="A30" s="23" t="str">
        <f aca="false">IF(B30="","","SKU-"&amp;TEXT(ROW()-3,"0000"))</f>
        <v/>
      </c>
      <c r="B30" s="19"/>
      <c r="C30" s="10"/>
      <c r="D30" s="10"/>
      <c r="E30" s="10"/>
      <c r="F30" s="10"/>
      <c r="G30" s="10"/>
      <c r="H30" s="12"/>
      <c r="I30" s="12"/>
      <c r="J30" s="24" t="str">
        <f aca="false">IF(B30="","",N(H30)+N(I30))</f>
        <v/>
      </c>
      <c r="K30" s="10"/>
      <c r="L30" s="19"/>
      <c r="M30" s="12"/>
      <c r="N30" s="10"/>
      <c r="O30" s="25" t="str">
        <f aca="true">IF(OR(B30="",K30="Sold",K30="Donated"),"",TODAY()-B30)</f>
        <v/>
      </c>
      <c r="P30" s="25" t="str">
        <f aca="true">IF(OR(L30="",K30="Sold",K30="Donated"),"",TODAY()-L30)</f>
        <v/>
      </c>
      <c r="Q30" s="26" t="str">
        <f aca="false">IF(AND(K30="Listed",P30&lt;&gt;"",N(P30)&gt;Settings!$B$19),"STALE","")</f>
        <v/>
      </c>
      <c r="R30" s="27" t="str">
        <f aca="false">IF(Q30="STALE",COUNTIF($Q$4:Q30,"STALE"),"")</f>
        <v/>
      </c>
    </row>
    <row r="31" customFormat="false" ht="15" hidden="false" customHeight="false" outlineLevel="0" collapsed="false">
      <c r="A31" s="23" t="str">
        <f aca="false">IF(B31="","","SKU-"&amp;TEXT(ROW()-3,"0000"))</f>
        <v/>
      </c>
      <c r="B31" s="19"/>
      <c r="C31" s="10"/>
      <c r="D31" s="10"/>
      <c r="E31" s="10"/>
      <c r="F31" s="10"/>
      <c r="G31" s="10"/>
      <c r="H31" s="12"/>
      <c r="I31" s="12"/>
      <c r="J31" s="24" t="str">
        <f aca="false">IF(B31="","",N(H31)+N(I31))</f>
        <v/>
      </c>
      <c r="K31" s="10"/>
      <c r="L31" s="19"/>
      <c r="M31" s="12"/>
      <c r="N31" s="10"/>
      <c r="O31" s="25" t="str">
        <f aca="true">IF(OR(B31="",K31="Sold",K31="Donated"),"",TODAY()-B31)</f>
        <v/>
      </c>
      <c r="P31" s="25" t="str">
        <f aca="true">IF(OR(L31="",K31="Sold",K31="Donated"),"",TODAY()-L31)</f>
        <v/>
      </c>
      <c r="Q31" s="26" t="str">
        <f aca="false">IF(AND(K31="Listed",P31&lt;&gt;"",N(P31)&gt;Settings!$B$19),"STALE","")</f>
        <v/>
      </c>
      <c r="R31" s="27" t="str">
        <f aca="false">IF(Q31="STALE",COUNTIF($Q$4:Q31,"STALE"),"")</f>
        <v/>
      </c>
    </row>
    <row r="32" customFormat="false" ht="15" hidden="false" customHeight="false" outlineLevel="0" collapsed="false">
      <c r="A32" s="23" t="str">
        <f aca="false">IF(B32="","","SKU-"&amp;TEXT(ROW()-3,"0000"))</f>
        <v/>
      </c>
      <c r="B32" s="19"/>
      <c r="C32" s="10"/>
      <c r="D32" s="10"/>
      <c r="E32" s="10"/>
      <c r="F32" s="10"/>
      <c r="G32" s="10"/>
      <c r="H32" s="12"/>
      <c r="I32" s="12"/>
      <c r="J32" s="24" t="str">
        <f aca="false">IF(B32="","",N(H32)+N(I32))</f>
        <v/>
      </c>
      <c r="K32" s="10"/>
      <c r="L32" s="19"/>
      <c r="M32" s="12"/>
      <c r="N32" s="10"/>
      <c r="O32" s="25" t="str">
        <f aca="true">IF(OR(B32="",K32="Sold",K32="Donated"),"",TODAY()-B32)</f>
        <v/>
      </c>
      <c r="P32" s="25" t="str">
        <f aca="true">IF(OR(L32="",K32="Sold",K32="Donated"),"",TODAY()-L32)</f>
        <v/>
      </c>
      <c r="Q32" s="26" t="str">
        <f aca="false">IF(AND(K32="Listed",P32&lt;&gt;"",N(P32)&gt;Settings!$B$19),"STALE","")</f>
        <v/>
      </c>
      <c r="R32" s="27" t="str">
        <f aca="false">IF(Q32="STALE",COUNTIF($Q$4:Q32,"STALE"),"")</f>
        <v/>
      </c>
    </row>
    <row r="33" customFormat="false" ht="15" hidden="false" customHeight="false" outlineLevel="0" collapsed="false">
      <c r="A33" s="23" t="str">
        <f aca="false">IF(B33="","","SKU-"&amp;TEXT(ROW()-3,"0000"))</f>
        <v/>
      </c>
      <c r="B33" s="19"/>
      <c r="C33" s="10"/>
      <c r="D33" s="10"/>
      <c r="E33" s="10"/>
      <c r="F33" s="10"/>
      <c r="G33" s="10"/>
      <c r="H33" s="12"/>
      <c r="I33" s="12"/>
      <c r="J33" s="24" t="str">
        <f aca="false">IF(B33="","",N(H33)+N(I33))</f>
        <v/>
      </c>
      <c r="K33" s="10"/>
      <c r="L33" s="19"/>
      <c r="M33" s="12"/>
      <c r="N33" s="10"/>
      <c r="O33" s="25" t="str">
        <f aca="true">IF(OR(B33="",K33="Sold",K33="Donated"),"",TODAY()-B33)</f>
        <v/>
      </c>
      <c r="P33" s="25" t="str">
        <f aca="true">IF(OR(L33="",K33="Sold",K33="Donated"),"",TODAY()-L33)</f>
        <v/>
      </c>
      <c r="Q33" s="26" t="str">
        <f aca="false">IF(AND(K33="Listed",P33&lt;&gt;"",N(P33)&gt;Settings!$B$19),"STALE","")</f>
        <v/>
      </c>
      <c r="R33" s="27" t="str">
        <f aca="false">IF(Q33="STALE",COUNTIF($Q$4:Q33,"STALE"),"")</f>
        <v/>
      </c>
    </row>
    <row r="34" customFormat="false" ht="15" hidden="false" customHeight="false" outlineLevel="0" collapsed="false">
      <c r="A34" s="23" t="str">
        <f aca="false">IF(B34="","","SKU-"&amp;TEXT(ROW()-3,"0000"))</f>
        <v/>
      </c>
      <c r="B34" s="19"/>
      <c r="C34" s="10"/>
      <c r="D34" s="10"/>
      <c r="E34" s="10"/>
      <c r="F34" s="10"/>
      <c r="G34" s="10"/>
      <c r="H34" s="12"/>
      <c r="I34" s="12"/>
      <c r="J34" s="24" t="str">
        <f aca="false">IF(B34="","",N(H34)+N(I34))</f>
        <v/>
      </c>
      <c r="K34" s="10"/>
      <c r="L34" s="19"/>
      <c r="M34" s="12"/>
      <c r="N34" s="10"/>
      <c r="O34" s="25" t="str">
        <f aca="true">IF(OR(B34="",K34="Sold",K34="Donated"),"",TODAY()-B34)</f>
        <v/>
      </c>
      <c r="P34" s="25" t="str">
        <f aca="true">IF(OR(L34="",K34="Sold",K34="Donated"),"",TODAY()-L34)</f>
        <v/>
      </c>
      <c r="Q34" s="26" t="str">
        <f aca="false">IF(AND(K34="Listed",P34&lt;&gt;"",N(P34)&gt;Settings!$B$19),"STALE","")</f>
        <v/>
      </c>
      <c r="R34" s="27" t="str">
        <f aca="false">IF(Q34="STALE",COUNTIF($Q$4:Q34,"STALE"),"")</f>
        <v/>
      </c>
    </row>
    <row r="35" customFormat="false" ht="15" hidden="false" customHeight="false" outlineLevel="0" collapsed="false">
      <c r="A35" s="23" t="str">
        <f aca="false">IF(B35="","","SKU-"&amp;TEXT(ROW()-3,"0000"))</f>
        <v/>
      </c>
      <c r="B35" s="19"/>
      <c r="C35" s="10"/>
      <c r="D35" s="10"/>
      <c r="E35" s="10"/>
      <c r="F35" s="10"/>
      <c r="G35" s="10"/>
      <c r="H35" s="12"/>
      <c r="I35" s="12"/>
      <c r="J35" s="24" t="str">
        <f aca="false">IF(B35="","",N(H35)+N(I35))</f>
        <v/>
      </c>
      <c r="K35" s="10"/>
      <c r="L35" s="19"/>
      <c r="M35" s="12"/>
      <c r="N35" s="10"/>
      <c r="O35" s="25" t="str">
        <f aca="true">IF(OR(B35="",K35="Sold",K35="Donated"),"",TODAY()-B35)</f>
        <v/>
      </c>
      <c r="P35" s="25" t="str">
        <f aca="true">IF(OR(L35="",K35="Sold",K35="Donated"),"",TODAY()-L35)</f>
        <v/>
      </c>
      <c r="Q35" s="26" t="str">
        <f aca="false">IF(AND(K35="Listed",P35&lt;&gt;"",N(P35)&gt;Settings!$B$19),"STALE","")</f>
        <v/>
      </c>
      <c r="R35" s="27" t="str">
        <f aca="false">IF(Q35="STALE",COUNTIF($Q$4:Q35,"STALE"),"")</f>
        <v/>
      </c>
    </row>
    <row r="36" customFormat="false" ht="15" hidden="false" customHeight="false" outlineLevel="0" collapsed="false">
      <c r="A36" s="23" t="str">
        <f aca="false">IF(B36="","","SKU-"&amp;TEXT(ROW()-3,"0000"))</f>
        <v/>
      </c>
      <c r="B36" s="19"/>
      <c r="C36" s="10"/>
      <c r="D36" s="10"/>
      <c r="E36" s="10"/>
      <c r="F36" s="10"/>
      <c r="G36" s="10"/>
      <c r="H36" s="12"/>
      <c r="I36" s="12"/>
      <c r="J36" s="24" t="str">
        <f aca="false">IF(B36="","",N(H36)+N(I36))</f>
        <v/>
      </c>
      <c r="K36" s="10"/>
      <c r="L36" s="19"/>
      <c r="M36" s="12"/>
      <c r="N36" s="10"/>
      <c r="O36" s="25" t="str">
        <f aca="true">IF(OR(B36="",K36="Sold",K36="Donated"),"",TODAY()-B36)</f>
        <v/>
      </c>
      <c r="P36" s="25" t="str">
        <f aca="true">IF(OR(L36="",K36="Sold",K36="Donated"),"",TODAY()-L36)</f>
        <v/>
      </c>
      <c r="Q36" s="26" t="str">
        <f aca="false">IF(AND(K36="Listed",P36&lt;&gt;"",N(P36)&gt;Settings!$B$19),"STALE","")</f>
        <v/>
      </c>
      <c r="R36" s="27" t="str">
        <f aca="false">IF(Q36="STALE",COUNTIF($Q$4:Q36,"STALE"),"")</f>
        <v/>
      </c>
    </row>
    <row r="37" customFormat="false" ht="15" hidden="false" customHeight="false" outlineLevel="0" collapsed="false">
      <c r="A37" s="23" t="str">
        <f aca="false">IF(B37="","","SKU-"&amp;TEXT(ROW()-3,"0000"))</f>
        <v/>
      </c>
      <c r="B37" s="19"/>
      <c r="C37" s="10"/>
      <c r="D37" s="10"/>
      <c r="E37" s="10"/>
      <c r="F37" s="10"/>
      <c r="G37" s="10"/>
      <c r="H37" s="12"/>
      <c r="I37" s="12"/>
      <c r="J37" s="24" t="str">
        <f aca="false">IF(B37="","",N(H37)+N(I37))</f>
        <v/>
      </c>
      <c r="K37" s="10"/>
      <c r="L37" s="19"/>
      <c r="M37" s="12"/>
      <c r="N37" s="10"/>
      <c r="O37" s="25" t="str">
        <f aca="true">IF(OR(B37="",K37="Sold",K37="Donated"),"",TODAY()-B37)</f>
        <v/>
      </c>
      <c r="P37" s="25" t="str">
        <f aca="true">IF(OR(L37="",K37="Sold",K37="Donated"),"",TODAY()-L37)</f>
        <v/>
      </c>
      <c r="Q37" s="26" t="str">
        <f aca="false">IF(AND(K37="Listed",P37&lt;&gt;"",N(P37)&gt;Settings!$B$19),"STALE","")</f>
        <v/>
      </c>
      <c r="R37" s="27" t="str">
        <f aca="false">IF(Q37="STALE",COUNTIF($Q$4:Q37,"STALE"),"")</f>
        <v/>
      </c>
    </row>
    <row r="38" customFormat="false" ht="15" hidden="false" customHeight="false" outlineLevel="0" collapsed="false">
      <c r="A38" s="23" t="str">
        <f aca="false">IF(B38="","","SKU-"&amp;TEXT(ROW()-3,"0000"))</f>
        <v/>
      </c>
      <c r="B38" s="19"/>
      <c r="C38" s="10"/>
      <c r="D38" s="10"/>
      <c r="E38" s="10"/>
      <c r="F38" s="10"/>
      <c r="G38" s="10"/>
      <c r="H38" s="12"/>
      <c r="I38" s="12"/>
      <c r="J38" s="24" t="str">
        <f aca="false">IF(B38="","",N(H38)+N(I38))</f>
        <v/>
      </c>
      <c r="K38" s="10"/>
      <c r="L38" s="19"/>
      <c r="M38" s="12"/>
      <c r="N38" s="10"/>
      <c r="O38" s="25" t="str">
        <f aca="true">IF(OR(B38="",K38="Sold",K38="Donated"),"",TODAY()-B38)</f>
        <v/>
      </c>
      <c r="P38" s="25" t="str">
        <f aca="true">IF(OR(L38="",K38="Sold",K38="Donated"),"",TODAY()-L38)</f>
        <v/>
      </c>
      <c r="Q38" s="26" t="str">
        <f aca="false">IF(AND(K38="Listed",P38&lt;&gt;"",N(P38)&gt;Settings!$B$19),"STALE","")</f>
        <v/>
      </c>
      <c r="R38" s="27" t="str">
        <f aca="false">IF(Q38="STALE",COUNTIF($Q$4:Q38,"STALE"),"")</f>
        <v/>
      </c>
    </row>
    <row r="39" customFormat="false" ht="15" hidden="false" customHeight="false" outlineLevel="0" collapsed="false">
      <c r="A39" s="23" t="str">
        <f aca="false">IF(B39="","","SKU-"&amp;TEXT(ROW()-3,"0000"))</f>
        <v/>
      </c>
      <c r="B39" s="19"/>
      <c r="C39" s="10"/>
      <c r="D39" s="10"/>
      <c r="E39" s="10"/>
      <c r="F39" s="10"/>
      <c r="G39" s="10"/>
      <c r="H39" s="12"/>
      <c r="I39" s="12"/>
      <c r="J39" s="24" t="str">
        <f aca="false">IF(B39="","",N(H39)+N(I39))</f>
        <v/>
      </c>
      <c r="K39" s="10"/>
      <c r="L39" s="19"/>
      <c r="M39" s="12"/>
      <c r="N39" s="10"/>
      <c r="O39" s="25" t="str">
        <f aca="true">IF(OR(B39="",K39="Sold",K39="Donated"),"",TODAY()-B39)</f>
        <v/>
      </c>
      <c r="P39" s="25" t="str">
        <f aca="true">IF(OR(L39="",K39="Sold",K39="Donated"),"",TODAY()-L39)</f>
        <v/>
      </c>
      <c r="Q39" s="26" t="str">
        <f aca="false">IF(AND(K39="Listed",P39&lt;&gt;"",N(P39)&gt;Settings!$B$19),"STALE","")</f>
        <v/>
      </c>
      <c r="R39" s="27" t="str">
        <f aca="false">IF(Q39="STALE",COUNTIF($Q$4:Q39,"STALE"),"")</f>
        <v/>
      </c>
    </row>
    <row r="40" customFormat="false" ht="15" hidden="false" customHeight="false" outlineLevel="0" collapsed="false">
      <c r="A40" s="23" t="str">
        <f aca="false">IF(B40="","","SKU-"&amp;TEXT(ROW()-3,"0000"))</f>
        <v/>
      </c>
      <c r="B40" s="19"/>
      <c r="C40" s="10"/>
      <c r="D40" s="10"/>
      <c r="E40" s="10"/>
      <c r="F40" s="10"/>
      <c r="G40" s="10"/>
      <c r="H40" s="12"/>
      <c r="I40" s="12"/>
      <c r="J40" s="24" t="str">
        <f aca="false">IF(B40="","",N(H40)+N(I40))</f>
        <v/>
      </c>
      <c r="K40" s="10"/>
      <c r="L40" s="19"/>
      <c r="M40" s="12"/>
      <c r="N40" s="10"/>
      <c r="O40" s="25" t="str">
        <f aca="true">IF(OR(B40="",K40="Sold",K40="Donated"),"",TODAY()-B40)</f>
        <v/>
      </c>
      <c r="P40" s="25" t="str">
        <f aca="true">IF(OR(L40="",K40="Sold",K40="Donated"),"",TODAY()-L40)</f>
        <v/>
      </c>
      <c r="Q40" s="26" t="str">
        <f aca="false">IF(AND(K40="Listed",P40&lt;&gt;"",N(P40)&gt;Settings!$B$19),"STALE","")</f>
        <v/>
      </c>
      <c r="R40" s="27" t="str">
        <f aca="false">IF(Q40="STALE",COUNTIF($Q$4:Q40,"STALE"),"")</f>
        <v/>
      </c>
    </row>
    <row r="41" customFormat="false" ht="15" hidden="false" customHeight="false" outlineLevel="0" collapsed="false">
      <c r="A41" s="23" t="str">
        <f aca="false">IF(B41="","","SKU-"&amp;TEXT(ROW()-3,"0000"))</f>
        <v/>
      </c>
      <c r="B41" s="19"/>
      <c r="C41" s="10"/>
      <c r="D41" s="10"/>
      <c r="E41" s="10"/>
      <c r="F41" s="10"/>
      <c r="G41" s="10"/>
      <c r="H41" s="12"/>
      <c r="I41" s="12"/>
      <c r="J41" s="24" t="str">
        <f aca="false">IF(B41="","",N(H41)+N(I41))</f>
        <v/>
      </c>
      <c r="K41" s="10"/>
      <c r="L41" s="19"/>
      <c r="M41" s="12"/>
      <c r="N41" s="10"/>
      <c r="O41" s="25" t="str">
        <f aca="true">IF(OR(B41="",K41="Sold",K41="Donated"),"",TODAY()-B41)</f>
        <v/>
      </c>
      <c r="P41" s="25" t="str">
        <f aca="true">IF(OR(L41="",K41="Sold",K41="Donated"),"",TODAY()-L41)</f>
        <v/>
      </c>
      <c r="Q41" s="26" t="str">
        <f aca="false">IF(AND(K41="Listed",P41&lt;&gt;"",N(P41)&gt;Settings!$B$19),"STALE","")</f>
        <v/>
      </c>
      <c r="R41" s="27" t="str">
        <f aca="false">IF(Q41="STALE",COUNTIF($Q$4:Q41,"STALE"),"")</f>
        <v/>
      </c>
    </row>
    <row r="42" customFormat="false" ht="15" hidden="false" customHeight="false" outlineLevel="0" collapsed="false">
      <c r="A42" s="23" t="str">
        <f aca="false">IF(B42="","","SKU-"&amp;TEXT(ROW()-3,"0000"))</f>
        <v/>
      </c>
      <c r="B42" s="19"/>
      <c r="C42" s="10"/>
      <c r="D42" s="10"/>
      <c r="E42" s="10"/>
      <c r="F42" s="10"/>
      <c r="G42" s="10"/>
      <c r="H42" s="12"/>
      <c r="I42" s="12"/>
      <c r="J42" s="24" t="str">
        <f aca="false">IF(B42="","",N(H42)+N(I42))</f>
        <v/>
      </c>
      <c r="K42" s="10"/>
      <c r="L42" s="19"/>
      <c r="M42" s="12"/>
      <c r="N42" s="10"/>
      <c r="O42" s="25" t="str">
        <f aca="true">IF(OR(B42="",K42="Sold",K42="Donated"),"",TODAY()-B42)</f>
        <v/>
      </c>
      <c r="P42" s="25" t="str">
        <f aca="true">IF(OR(L42="",K42="Sold",K42="Donated"),"",TODAY()-L42)</f>
        <v/>
      </c>
      <c r="Q42" s="26" t="str">
        <f aca="false">IF(AND(K42="Listed",P42&lt;&gt;"",N(P42)&gt;Settings!$B$19),"STALE","")</f>
        <v/>
      </c>
      <c r="R42" s="27" t="str">
        <f aca="false">IF(Q42="STALE",COUNTIF($Q$4:Q42,"STALE"),"")</f>
        <v/>
      </c>
    </row>
    <row r="43" customFormat="false" ht="15" hidden="false" customHeight="false" outlineLevel="0" collapsed="false">
      <c r="A43" s="23" t="str">
        <f aca="false">IF(B43="","","SKU-"&amp;TEXT(ROW()-3,"0000"))</f>
        <v/>
      </c>
      <c r="B43" s="19"/>
      <c r="C43" s="10"/>
      <c r="D43" s="10"/>
      <c r="E43" s="10"/>
      <c r="F43" s="10"/>
      <c r="G43" s="10"/>
      <c r="H43" s="12"/>
      <c r="I43" s="12"/>
      <c r="J43" s="24" t="str">
        <f aca="false">IF(B43="","",N(H43)+N(I43))</f>
        <v/>
      </c>
      <c r="K43" s="10"/>
      <c r="L43" s="19"/>
      <c r="M43" s="12"/>
      <c r="N43" s="10"/>
      <c r="O43" s="25" t="str">
        <f aca="true">IF(OR(B43="",K43="Sold",K43="Donated"),"",TODAY()-B43)</f>
        <v/>
      </c>
      <c r="P43" s="25" t="str">
        <f aca="true">IF(OR(L43="",K43="Sold",K43="Donated"),"",TODAY()-L43)</f>
        <v/>
      </c>
      <c r="Q43" s="26" t="str">
        <f aca="false">IF(AND(K43="Listed",P43&lt;&gt;"",N(P43)&gt;Settings!$B$19),"STALE","")</f>
        <v/>
      </c>
      <c r="R43" s="27" t="str">
        <f aca="false">IF(Q43="STALE",COUNTIF($Q$4:Q43,"STALE"),"")</f>
        <v/>
      </c>
    </row>
    <row r="44" customFormat="false" ht="15" hidden="false" customHeight="false" outlineLevel="0" collapsed="false">
      <c r="A44" s="23" t="str">
        <f aca="false">IF(B44="","","SKU-"&amp;TEXT(ROW()-3,"0000"))</f>
        <v/>
      </c>
      <c r="B44" s="19"/>
      <c r="C44" s="10"/>
      <c r="D44" s="10"/>
      <c r="E44" s="10"/>
      <c r="F44" s="10"/>
      <c r="G44" s="10"/>
      <c r="H44" s="12"/>
      <c r="I44" s="12"/>
      <c r="J44" s="24" t="str">
        <f aca="false">IF(B44="","",N(H44)+N(I44))</f>
        <v/>
      </c>
      <c r="K44" s="10"/>
      <c r="L44" s="19"/>
      <c r="M44" s="12"/>
      <c r="N44" s="10"/>
      <c r="O44" s="25" t="str">
        <f aca="true">IF(OR(B44="",K44="Sold",K44="Donated"),"",TODAY()-B44)</f>
        <v/>
      </c>
      <c r="P44" s="25" t="str">
        <f aca="true">IF(OR(L44="",K44="Sold",K44="Donated"),"",TODAY()-L44)</f>
        <v/>
      </c>
      <c r="Q44" s="26" t="str">
        <f aca="false">IF(AND(K44="Listed",P44&lt;&gt;"",N(P44)&gt;Settings!$B$19),"STALE","")</f>
        <v/>
      </c>
      <c r="R44" s="27" t="str">
        <f aca="false">IF(Q44="STALE",COUNTIF($Q$4:Q44,"STALE"),"")</f>
        <v/>
      </c>
    </row>
    <row r="45" customFormat="false" ht="15" hidden="false" customHeight="false" outlineLevel="0" collapsed="false">
      <c r="A45" s="23" t="str">
        <f aca="false">IF(B45="","","SKU-"&amp;TEXT(ROW()-3,"0000"))</f>
        <v/>
      </c>
      <c r="B45" s="19"/>
      <c r="C45" s="10"/>
      <c r="D45" s="10"/>
      <c r="E45" s="10"/>
      <c r="F45" s="10"/>
      <c r="G45" s="10"/>
      <c r="H45" s="12"/>
      <c r="I45" s="12"/>
      <c r="J45" s="24" t="str">
        <f aca="false">IF(B45="","",N(H45)+N(I45))</f>
        <v/>
      </c>
      <c r="K45" s="10"/>
      <c r="L45" s="19"/>
      <c r="M45" s="12"/>
      <c r="N45" s="10"/>
      <c r="O45" s="25" t="str">
        <f aca="true">IF(OR(B45="",K45="Sold",K45="Donated"),"",TODAY()-B45)</f>
        <v/>
      </c>
      <c r="P45" s="25" t="str">
        <f aca="true">IF(OR(L45="",K45="Sold",K45="Donated"),"",TODAY()-L45)</f>
        <v/>
      </c>
      <c r="Q45" s="26" t="str">
        <f aca="false">IF(AND(K45="Listed",P45&lt;&gt;"",N(P45)&gt;Settings!$B$19),"STALE","")</f>
        <v/>
      </c>
      <c r="R45" s="27" t="str">
        <f aca="false">IF(Q45="STALE",COUNTIF($Q$4:Q45,"STALE"),"")</f>
        <v/>
      </c>
    </row>
    <row r="46" customFormat="false" ht="15" hidden="false" customHeight="false" outlineLevel="0" collapsed="false">
      <c r="A46" s="23" t="str">
        <f aca="false">IF(B46="","","SKU-"&amp;TEXT(ROW()-3,"0000"))</f>
        <v/>
      </c>
      <c r="B46" s="19"/>
      <c r="C46" s="10"/>
      <c r="D46" s="10"/>
      <c r="E46" s="10"/>
      <c r="F46" s="10"/>
      <c r="G46" s="10"/>
      <c r="H46" s="12"/>
      <c r="I46" s="12"/>
      <c r="J46" s="24" t="str">
        <f aca="false">IF(B46="","",N(H46)+N(I46))</f>
        <v/>
      </c>
      <c r="K46" s="10"/>
      <c r="L46" s="19"/>
      <c r="M46" s="12"/>
      <c r="N46" s="10"/>
      <c r="O46" s="25" t="str">
        <f aca="true">IF(OR(B46="",K46="Sold",K46="Donated"),"",TODAY()-B46)</f>
        <v/>
      </c>
      <c r="P46" s="25" t="str">
        <f aca="true">IF(OR(L46="",K46="Sold",K46="Donated"),"",TODAY()-L46)</f>
        <v/>
      </c>
      <c r="Q46" s="26" t="str">
        <f aca="false">IF(AND(K46="Listed",P46&lt;&gt;"",N(P46)&gt;Settings!$B$19),"STALE","")</f>
        <v/>
      </c>
      <c r="R46" s="27" t="str">
        <f aca="false">IF(Q46="STALE",COUNTIF($Q$4:Q46,"STALE"),"")</f>
        <v/>
      </c>
    </row>
    <row r="47" customFormat="false" ht="15" hidden="false" customHeight="false" outlineLevel="0" collapsed="false">
      <c r="A47" s="23" t="str">
        <f aca="false">IF(B47="","","SKU-"&amp;TEXT(ROW()-3,"0000"))</f>
        <v/>
      </c>
      <c r="B47" s="19"/>
      <c r="C47" s="10"/>
      <c r="D47" s="10"/>
      <c r="E47" s="10"/>
      <c r="F47" s="10"/>
      <c r="G47" s="10"/>
      <c r="H47" s="12"/>
      <c r="I47" s="12"/>
      <c r="J47" s="24" t="str">
        <f aca="false">IF(B47="","",N(H47)+N(I47))</f>
        <v/>
      </c>
      <c r="K47" s="10"/>
      <c r="L47" s="19"/>
      <c r="M47" s="12"/>
      <c r="N47" s="10"/>
      <c r="O47" s="25" t="str">
        <f aca="true">IF(OR(B47="",K47="Sold",K47="Donated"),"",TODAY()-B47)</f>
        <v/>
      </c>
      <c r="P47" s="25" t="str">
        <f aca="true">IF(OR(L47="",K47="Sold",K47="Donated"),"",TODAY()-L47)</f>
        <v/>
      </c>
      <c r="Q47" s="26" t="str">
        <f aca="false">IF(AND(K47="Listed",P47&lt;&gt;"",N(P47)&gt;Settings!$B$19),"STALE","")</f>
        <v/>
      </c>
      <c r="R47" s="27" t="str">
        <f aca="false">IF(Q47="STALE",COUNTIF($Q$4:Q47,"STALE"),"")</f>
        <v/>
      </c>
    </row>
    <row r="48" customFormat="false" ht="15" hidden="false" customHeight="false" outlineLevel="0" collapsed="false">
      <c r="A48" s="23" t="str">
        <f aca="false">IF(B48="","","SKU-"&amp;TEXT(ROW()-3,"0000"))</f>
        <v/>
      </c>
      <c r="B48" s="19"/>
      <c r="C48" s="10"/>
      <c r="D48" s="10"/>
      <c r="E48" s="10"/>
      <c r="F48" s="10"/>
      <c r="G48" s="10"/>
      <c r="H48" s="12"/>
      <c r="I48" s="12"/>
      <c r="J48" s="24" t="str">
        <f aca="false">IF(B48="","",N(H48)+N(I48))</f>
        <v/>
      </c>
      <c r="K48" s="10"/>
      <c r="L48" s="19"/>
      <c r="M48" s="12"/>
      <c r="N48" s="10"/>
      <c r="O48" s="25" t="str">
        <f aca="true">IF(OR(B48="",K48="Sold",K48="Donated"),"",TODAY()-B48)</f>
        <v/>
      </c>
      <c r="P48" s="25" t="str">
        <f aca="true">IF(OR(L48="",K48="Sold",K48="Donated"),"",TODAY()-L48)</f>
        <v/>
      </c>
      <c r="Q48" s="26" t="str">
        <f aca="false">IF(AND(K48="Listed",P48&lt;&gt;"",N(P48)&gt;Settings!$B$19),"STALE","")</f>
        <v/>
      </c>
      <c r="R48" s="27" t="str">
        <f aca="false">IF(Q48="STALE",COUNTIF($Q$4:Q48,"STALE"),"")</f>
        <v/>
      </c>
    </row>
    <row r="49" customFormat="false" ht="15" hidden="false" customHeight="false" outlineLevel="0" collapsed="false">
      <c r="A49" s="23" t="str">
        <f aca="false">IF(B49="","","SKU-"&amp;TEXT(ROW()-3,"0000"))</f>
        <v/>
      </c>
      <c r="B49" s="19"/>
      <c r="C49" s="10"/>
      <c r="D49" s="10"/>
      <c r="E49" s="10"/>
      <c r="F49" s="10"/>
      <c r="G49" s="10"/>
      <c r="H49" s="12"/>
      <c r="I49" s="12"/>
      <c r="J49" s="24" t="str">
        <f aca="false">IF(B49="","",N(H49)+N(I49))</f>
        <v/>
      </c>
      <c r="K49" s="10"/>
      <c r="L49" s="19"/>
      <c r="M49" s="12"/>
      <c r="N49" s="10"/>
      <c r="O49" s="25" t="str">
        <f aca="true">IF(OR(B49="",K49="Sold",K49="Donated"),"",TODAY()-B49)</f>
        <v/>
      </c>
      <c r="P49" s="25" t="str">
        <f aca="true">IF(OR(L49="",K49="Sold",K49="Donated"),"",TODAY()-L49)</f>
        <v/>
      </c>
      <c r="Q49" s="26" t="str">
        <f aca="false">IF(AND(K49="Listed",P49&lt;&gt;"",N(P49)&gt;Settings!$B$19),"STALE","")</f>
        <v/>
      </c>
      <c r="R49" s="27" t="str">
        <f aca="false">IF(Q49="STALE",COUNTIF($Q$4:Q49,"STALE"),"")</f>
        <v/>
      </c>
    </row>
    <row r="50" customFormat="false" ht="15" hidden="false" customHeight="false" outlineLevel="0" collapsed="false">
      <c r="A50" s="23" t="str">
        <f aca="false">IF(B50="","","SKU-"&amp;TEXT(ROW()-3,"0000"))</f>
        <v/>
      </c>
      <c r="B50" s="19"/>
      <c r="C50" s="10"/>
      <c r="D50" s="10"/>
      <c r="E50" s="10"/>
      <c r="F50" s="10"/>
      <c r="G50" s="10"/>
      <c r="H50" s="12"/>
      <c r="I50" s="12"/>
      <c r="J50" s="24" t="str">
        <f aca="false">IF(B50="","",N(H50)+N(I50))</f>
        <v/>
      </c>
      <c r="K50" s="10"/>
      <c r="L50" s="19"/>
      <c r="M50" s="12"/>
      <c r="N50" s="10"/>
      <c r="O50" s="25" t="str">
        <f aca="true">IF(OR(B50="",K50="Sold",K50="Donated"),"",TODAY()-B50)</f>
        <v/>
      </c>
      <c r="P50" s="25" t="str">
        <f aca="true">IF(OR(L50="",K50="Sold",K50="Donated"),"",TODAY()-L50)</f>
        <v/>
      </c>
      <c r="Q50" s="26" t="str">
        <f aca="false">IF(AND(K50="Listed",P50&lt;&gt;"",N(P50)&gt;Settings!$B$19),"STALE","")</f>
        <v/>
      </c>
      <c r="R50" s="27" t="str">
        <f aca="false">IF(Q50="STALE",COUNTIF($Q$4:Q50,"STALE"),"")</f>
        <v/>
      </c>
    </row>
    <row r="51" customFormat="false" ht="15" hidden="false" customHeight="false" outlineLevel="0" collapsed="false">
      <c r="A51" s="23" t="str">
        <f aca="false">IF(B51="","","SKU-"&amp;TEXT(ROW()-3,"0000"))</f>
        <v/>
      </c>
      <c r="B51" s="19"/>
      <c r="C51" s="10"/>
      <c r="D51" s="10"/>
      <c r="E51" s="10"/>
      <c r="F51" s="10"/>
      <c r="G51" s="10"/>
      <c r="H51" s="12"/>
      <c r="I51" s="12"/>
      <c r="J51" s="24" t="str">
        <f aca="false">IF(B51="","",N(H51)+N(I51))</f>
        <v/>
      </c>
      <c r="K51" s="10"/>
      <c r="L51" s="19"/>
      <c r="M51" s="12"/>
      <c r="N51" s="10"/>
      <c r="O51" s="25" t="str">
        <f aca="true">IF(OR(B51="",K51="Sold",K51="Donated"),"",TODAY()-B51)</f>
        <v/>
      </c>
      <c r="P51" s="25" t="str">
        <f aca="true">IF(OR(L51="",K51="Sold",K51="Donated"),"",TODAY()-L51)</f>
        <v/>
      </c>
      <c r="Q51" s="26" t="str">
        <f aca="false">IF(AND(K51="Listed",P51&lt;&gt;"",N(P51)&gt;Settings!$B$19),"STALE","")</f>
        <v/>
      </c>
      <c r="R51" s="27" t="str">
        <f aca="false">IF(Q51="STALE",COUNTIF($Q$4:Q51,"STALE"),"")</f>
        <v/>
      </c>
    </row>
    <row r="52" customFormat="false" ht="15" hidden="false" customHeight="false" outlineLevel="0" collapsed="false">
      <c r="A52" s="23" t="str">
        <f aca="false">IF(B52="","","SKU-"&amp;TEXT(ROW()-3,"0000"))</f>
        <v/>
      </c>
      <c r="B52" s="19"/>
      <c r="C52" s="10"/>
      <c r="D52" s="10"/>
      <c r="E52" s="10"/>
      <c r="F52" s="10"/>
      <c r="G52" s="10"/>
      <c r="H52" s="12"/>
      <c r="I52" s="12"/>
      <c r="J52" s="24" t="str">
        <f aca="false">IF(B52="","",N(H52)+N(I52))</f>
        <v/>
      </c>
      <c r="K52" s="10"/>
      <c r="L52" s="19"/>
      <c r="M52" s="12"/>
      <c r="N52" s="10"/>
      <c r="O52" s="25" t="str">
        <f aca="true">IF(OR(B52="",K52="Sold",K52="Donated"),"",TODAY()-B52)</f>
        <v/>
      </c>
      <c r="P52" s="25" t="str">
        <f aca="true">IF(OR(L52="",K52="Sold",K52="Donated"),"",TODAY()-L52)</f>
        <v/>
      </c>
      <c r="Q52" s="26" t="str">
        <f aca="false">IF(AND(K52="Listed",P52&lt;&gt;"",N(P52)&gt;Settings!$B$19),"STALE","")</f>
        <v/>
      </c>
      <c r="R52" s="27" t="str">
        <f aca="false">IF(Q52="STALE",COUNTIF($Q$4:Q52,"STALE"),"")</f>
        <v/>
      </c>
    </row>
    <row r="53" customFormat="false" ht="15" hidden="false" customHeight="false" outlineLevel="0" collapsed="false">
      <c r="A53" s="23" t="str">
        <f aca="false">IF(B53="","","SKU-"&amp;TEXT(ROW()-3,"0000"))</f>
        <v/>
      </c>
      <c r="B53" s="19"/>
      <c r="C53" s="10"/>
      <c r="D53" s="10"/>
      <c r="E53" s="10"/>
      <c r="F53" s="10"/>
      <c r="G53" s="10"/>
      <c r="H53" s="12"/>
      <c r="I53" s="12"/>
      <c r="J53" s="24" t="str">
        <f aca="false">IF(B53="","",N(H53)+N(I53))</f>
        <v/>
      </c>
      <c r="K53" s="10"/>
      <c r="L53" s="19"/>
      <c r="M53" s="12"/>
      <c r="N53" s="10"/>
      <c r="O53" s="25" t="str">
        <f aca="true">IF(OR(B53="",K53="Sold",K53="Donated"),"",TODAY()-B53)</f>
        <v/>
      </c>
      <c r="P53" s="25" t="str">
        <f aca="true">IF(OR(L53="",K53="Sold",K53="Donated"),"",TODAY()-L53)</f>
        <v/>
      </c>
      <c r="Q53" s="26" t="str">
        <f aca="false">IF(AND(K53="Listed",P53&lt;&gt;"",N(P53)&gt;Settings!$B$19),"STALE","")</f>
        <v/>
      </c>
      <c r="R53" s="27" t="str">
        <f aca="false">IF(Q53="STALE",COUNTIF($Q$4:Q53,"STALE"),"")</f>
        <v/>
      </c>
    </row>
    <row r="54" customFormat="false" ht="15" hidden="false" customHeight="false" outlineLevel="0" collapsed="false">
      <c r="A54" s="23" t="str">
        <f aca="false">IF(B54="","","SKU-"&amp;TEXT(ROW()-3,"0000"))</f>
        <v/>
      </c>
      <c r="B54" s="19"/>
      <c r="C54" s="10"/>
      <c r="D54" s="10"/>
      <c r="E54" s="10"/>
      <c r="F54" s="10"/>
      <c r="G54" s="10"/>
      <c r="H54" s="12"/>
      <c r="I54" s="12"/>
      <c r="J54" s="24" t="str">
        <f aca="false">IF(B54="","",N(H54)+N(I54))</f>
        <v/>
      </c>
      <c r="K54" s="10"/>
      <c r="L54" s="19"/>
      <c r="M54" s="12"/>
      <c r="N54" s="10"/>
      <c r="O54" s="25" t="str">
        <f aca="true">IF(OR(B54="",K54="Sold",K54="Donated"),"",TODAY()-B54)</f>
        <v/>
      </c>
      <c r="P54" s="25" t="str">
        <f aca="true">IF(OR(L54="",K54="Sold",K54="Donated"),"",TODAY()-L54)</f>
        <v/>
      </c>
      <c r="Q54" s="26" t="str">
        <f aca="false">IF(AND(K54="Listed",P54&lt;&gt;"",N(P54)&gt;Settings!$B$19),"STALE","")</f>
        <v/>
      </c>
      <c r="R54" s="27" t="str">
        <f aca="false">IF(Q54="STALE",COUNTIF($Q$4:Q54,"STALE"),"")</f>
        <v/>
      </c>
    </row>
    <row r="55" customFormat="false" ht="15" hidden="false" customHeight="false" outlineLevel="0" collapsed="false">
      <c r="A55" s="23" t="str">
        <f aca="false">IF(B55="","","SKU-"&amp;TEXT(ROW()-3,"0000"))</f>
        <v/>
      </c>
      <c r="B55" s="19"/>
      <c r="C55" s="10"/>
      <c r="D55" s="10"/>
      <c r="E55" s="10"/>
      <c r="F55" s="10"/>
      <c r="G55" s="10"/>
      <c r="H55" s="12"/>
      <c r="I55" s="12"/>
      <c r="J55" s="24" t="str">
        <f aca="false">IF(B55="","",N(H55)+N(I55))</f>
        <v/>
      </c>
      <c r="K55" s="10"/>
      <c r="L55" s="19"/>
      <c r="M55" s="12"/>
      <c r="N55" s="10"/>
      <c r="O55" s="25" t="str">
        <f aca="true">IF(OR(B55="",K55="Sold",K55="Donated"),"",TODAY()-B55)</f>
        <v/>
      </c>
      <c r="P55" s="25" t="str">
        <f aca="true">IF(OR(L55="",K55="Sold",K55="Donated"),"",TODAY()-L55)</f>
        <v/>
      </c>
      <c r="Q55" s="26" t="str">
        <f aca="false">IF(AND(K55="Listed",P55&lt;&gt;"",N(P55)&gt;Settings!$B$19),"STALE","")</f>
        <v/>
      </c>
      <c r="R55" s="27" t="str">
        <f aca="false">IF(Q55="STALE",COUNTIF($Q$4:Q55,"STALE"),"")</f>
        <v/>
      </c>
    </row>
    <row r="56" customFormat="false" ht="15" hidden="false" customHeight="false" outlineLevel="0" collapsed="false">
      <c r="A56" s="23" t="str">
        <f aca="false">IF(B56="","","SKU-"&amp;TEXT(ROW()-3,"0000"))</f>
        <v/>
      </c>
      <c r="B56" s="19"/>
      <c r="C56" s="10"/>
      <c r="D56" s="10"/>
      <c r="E56" s="10"/>
      <c r="F56" s="10"/>
      <c r="G56" s="10"/>
      <c r="H56" s="12"/>
      <c r="I56" s="12"/>
      <c r="J56" s="24" t="str">
        <f aca="false">IF(B56="","",N(H56)+N(I56))</f>
        <v/>
      </c>
      <c r="K56" s="10"/>
      <c r="L56" s="19"/>
      <c r="M56" s="12"/>
      <c r="N56" s="10"/>
      <c r="O56" s="25" t="str">
        <f aca="true">IF(OR(B56="",K56="Sold",K56="Donated"),"",TODAY()-B56)</f>
        <v/>
      </c>
      <c r="P56" s="25" t="str">
        <f aca="true">IF(OR(L56="",K56="Sold",K56="Donated"),"",TODAY()-L56)</f>
        <v/>
      </c>
      <c r="Q56" s="26" t="str">
        <f aca="false">IF(AND(K56="Listed",P56&lt;&gt;"",N(P56)&gt;Settings!$B$19),"STALE","")</f>
        <v/>
      </c>
      <c r="R56" s="27" t="str">
        <f aca="false">IF(Q56="STALE",COUNTIF($Q$4:Q56,"STALE"),"")</f>
        <v/>
      </c>
    </row>
    <row r="57" customFormat="false" ht="15" hidden="false" customHeight="false" outlineLevel="0" collapsed="false">
      <c r="A57" s="23" t="str">
        <f aca="false">IF(B57="","","SKU-"&amp;TEXT(ROW()-3,"0000"))</f>
        <v/>
      </c>
      <c r="B57" s="19"/>
      <c r="C57" s="10"/>
      <c r="D57" s="10"/>
      <c r="E57" s="10"/>
      <c r="F57" s="10"/>
      <c r="G57" s="10"/>
      <c r="H57" s="12"/>
      <c r="I57" s="12"/>
      <c r="J57" s="24" t="str">
        <f aca="false">IF(B57="","",N(H57)+N(I57))</f>
        <v/>
      </c>
      <c r="K57" s="10"/>
      <c r="L57" s="19"/>
      <c r="M57" s="12"/>
      <c r="N57" s="10"/>
      <c r="O57" s="25" t="str">
        <f aca="true">IF(OR(B57="",K57="Sold",K57="Donated"),"",TODAY()-B57)</f>
        <v/>
      </c>
      <c r="P57" s="25" t="str">
        <f aca="true">IF(OR(L57="",K57="Sold",K57="Donated"),"",TODAY()-L57)</f>
        <v/>
      </c>
      <c r="Q57" s="26" t="str">
        <f aca="false">IF(AND(K57="Listed",P57&lt;&gt;"",N(P57)&gt;Settings!$B$19),"STALE","")</f>
        <v/>
      </c>
      <c r="R57" s="27" t="str">
        <f aca="false">IF(Q57="STALE",COUNTIF($Q$4:Q57,"STALE"),"")</f>
        <v/>
      </c>
    </row>
    <row r="58" customFormat="false" ht="15" hidden="false" customHeight="false" outlineLevel="0" collapsed="false">
      <c r="A58" s="23" t="str">
        <f aca="false">IF(B58="","","SKU-"&amp;TEXT(ROW()-3,"0000"))</f>
        <v/>
      </c>
      <c r="B58" s="19"/>
      <c r="C58" s="10"/>
      <c r="D58" s="10"/>
      <c r="E58" s="10"/>
      <c r="F58" s="10"/>
      <c r="G58" s="10"/>
      <c r="H58" s="12"/>
      <c r="I58" s="12"/>
      <c r="J58" s="24" t="str">
        <f aca="false">IF(B58="","",N(H58)+N(I58))</f>
        <v/>
      </c>
      <c r="K58" s="10"/>
      <c r="L58" s="19"/>
      <c r="M58" s="12"/>
      <c r="N58" s="10"/>
      <c r="O58" s="25" t="str">
        <f aca="true">IF(OR(B58="",K58="Sold",K58="Donated"),"",TODAY()-B58)</f>
        <v/>
      </c>
      <c r="P58" s="25" t="str">
        <f aca="true">IF(OR(L58="",K58="Sold",K58="Donated"),"",TODAY()-L58)</f>
        <v/>
      </c>
      <c r="Q58" s="26" t="str">
        <f aca="false">IF(AND(K58="Listed",P58&lt;&gt;"",N(P58)&gt;Settings!$B$19),"STALE","")</f>
        <v/>
      </c>
      <c r="R58" s="27" t="str">
        <f aca="false">IF(Q58="STALE",COUNTIF($Q$4:Q58,"STALE"),"")</f>
        <v/>
      </c>
    </row>
    <row r="59" customFormat="false" ht="15" hidden="false" customHeight="false" outlineLevel="0" collapsed="false">
      <c r="A59" s="23" t="str">
        <f aca="false">IF(B59="","","SKU-"&amp;TEXT(ROW()-3,"0000"))</f>
        <v/>
      </c>
      <c r="B59" s="19"/>
      <c r="C59" s="10"/>
      <c r="D59" s="10"/>
      <c r="E59" s="10"/>
      <c r="F59" s="10"/>
      <c r="G59" s="10"/>
      <c r="H59" s="12"/>
      <c r="I59" s="12"/>
      <c r="J59" s="24" t="str">
        <f aca="false">IF(B59="","",N(H59)+N(I59))</f>
        <v/>
      </c>
      <c r="K59" s="10"/>
      <c r="L59" s="19"/>
      <c r="M59" s="12"/>
      <c r="N59" s="10"/>
      <c r="O59" s="25" t="str">
        <f aca="true">IF(OR(B59="",K59="Sold",K59="Donated"),"",TODAY()-B59)</f>
        <v/>
      </c>
      <c r="P59" s="25" t="str">
        <f aca="true">IF(OR(L59="",K59="Sold",K59="Donated"),"",TODAY()-L59)</f>
        <v/>
      </c>
      <c r="Q59" s="26" t="str">
        <f aca="false">IF(AND(K59="Listed",P59&lt;&gt;"",N(P59)&gt;Settings!$B$19),"STALE","")</f>
        <v/>
      </c>
      <c r="R59" s="27" t="str">
        <f aca="false">IF(Q59="STALE",COUNTIF($Q$4:Q59,"STALE"),"")</f>
        <v/>
      </c>
    </row>
    <row r="60" customFormat="false" ht="15" hidden="false" customHeight="false" outlineLevel="0" collapsed="false">
      <c r="A60" s="23" t="str">
        <f aca="false">IF(B60="","","SKU-"&amp;TEXT(ROW()-3,"0000"))</f>
        <v/>
      </c>
      <c r="B60" s="19"/>
      <c r="C60" s="10"/>
      <c r="D60" s="10"/>
      <c r="E60" s="10"/>
      <c r="F60" s="10"/>
      <c r="G60" s="10"/>
      <c r="H60" s="12"/>
      <c r="I60" s="12"/>
      <c r="J60" s="24" t="str">
        <f aca="false">IF(B60="","",N(H60)+N(I60))</f>
        <v/>
      </c>
      <c r="K60" s="10"/>
      <c r="L60" s="19"/>
      <c r="M60" s="12"/>
      <c r="N60" s="10"/>
      <c r="O60" s="25" t="str">
        <f aca="true">IF(OR(B60="",K60="Sold",K60="Donated"),"",TODAY()-B60)</f>
        <v/>
      </c>
      <c r="P60" s="25" t="str">
        <f aca="true">IF(OR(L60="",K60="Sold",K60="Donated"),"",TODAY()-L60)</f>
        <v/>
      </c>
      <c r="Q60" s="26" t="str">
        <f aca="false">IF(AND(K60="Listed",P60&lt;&gt;"",N(P60)&gt;Settings!$B$19),"STALE","")</f>
        <v/>
      </c>
      <c r="R60" s="27" t="str">
        <f aca="false">IF(Q60="STALE",COUNTIF($Q$4:Q60,"STALE"),"")</f>
        <v/>
      </c>
    </row>
    <row r="61" customFormat="false" ht="15" hidden="false" customHeight="false" outlineLevel="0" collapsed="false">
      <c r="A61" s="23" t="str">
        <f aca="false">IF(B61="","","SKU-"&amp;TEXT(ROW()-3,"0000"))</f>
        <v/>
      </c>
      <c r="B61" s="19"/>
      <c r="C61" s="10"/>
      <c r="D61" s="10"/>
      <c r="E61" s="10"/>
      <c r="F61" s="10"/>
      <c r="G61" s="10"/>
      <c r="H61" s="12"/>
      <c r="I61" s="12"/>
      <c r="J61" s="24" t="str">
        <f aca="false">IF(B61="","",N(H61)+N(I61))</f>
        <v/>
      </c>
      <c r="K61" s="10"/>
      <c r="L61" s="19"/>
      <c r="M61" s="12"/>
      <c r="N61" s="10"/>
      <c r="O61" s="25" t="str">
        <f aca="true">IF(OR(B61="",K61="Sold",K61="Donated"),"",TODAY()-B61)</f>
        <v/>
      </c>
      <c r="P61" s="25" t="str">
        <f aca="true">IF(OR(L61="",K61="Sold",K61="Donated"),"",TODAY()-L61)</f>
        <v/>
      </c>
      <c r="Q61" s="26" t="str">
        <f aca="false">IF(AND(K61="Listed",P61&lt;&gt;"",N(P61)&gt;Settings!$B$19),"STALE","")</f>
        <v/>
      </c>
      <c r="R61" s="27" t="str">
        <f aca="false">IF(Q61="STALE",COUNTIF($Q$4:Q61,"STALE"),"")</f>
        <v/>
      </c>
    </row>
    <row r="62" customFormat="false" ht="15" hidden="false" customHeight="false" outlineLevel="0" collapsed="false">
      <c r="A62" s="23" t="str">
        <f aca="false">IF(B62="","","SKU-"&amp;TEXT(ROW()-3,"0000"))</f>
        <v/>
      </c>
      <c r="B62" s="19"/>
      <c r="C62" s="10"/>
      <c r="D62" s="10"/>
      <c r="E62" s="10"/>
      <c r="F62" s="10"/>
      <c r="G62" s="10"/>
      <c r="H62" s="12"/>
      <c r="I62" s="12"/>
      <c r="J62" s="24" t="str">
        <f aca="false">IF(B62="","",N(H62)+N(I62))</f>
        <v/>
      </c>
      <c r="K62" s="10"/>
      <c r="L62" s="19"/>
      <c r="M62" s="12"/>
      <c r="N62" s="10"/>
      <c r="O62" s="25" t="str">
        <f aca="true">IF(OR(B62="",K62="Sold",K62="Donated"),"",TODAY()-B62)</f>
        <v/>
      </c>
      <c r="P62" s="25" t="str">
        <f aca="true">IF(OR(L62="",K62="Sold",K62="Donated"),"",TODAY()-L62)</f>
        <v/>
      </c>
      <c r="Q62" s="26" t="str">
        <f aca="false">IF(AND(K62="Listed",P62&lt;&gt;"",N(P62)&gt;Settings!$B$19),"STALE","")</f>
        <v/>
      </c>
      <c r="R62" s="27" t="str">
        <f aca="false">IF(Q62="STALE",COUNTIF($Q$4:Q62,"STALE"),"")</f>
        <v/>
      </c>
    </row>
    <row r="63" customFormat="false" ht="15" hidden="false" customHeight="false" outlineLevel="0" collapsed="false">
      <c r="A63" s="23" t="str">
        <f aca="false">IF(B63="","","SKU-"&amp;TEXT(ROW()-3,"0000"))</f>
        <v/>
      </c>
      <c r="B63" s="19"/>
      <c r="C63" s="10"/>
      <c r="D63" s="10"/>
      <c r="E63" s="10"/>
      <c r="F63" s="10"/>
      <c r="G63" s="10"/>
      <c r="H63" s="12"/>
      <c r="I63" s="12"/>
      <c r="J63" s="24" t="str">
        <f aca="false">IF(B63="","",N(H63)+N(I63))</f>
        <v/>
      </c>
      <c r="K63" s="10"/>
      <c r="L63" s="19"/>
      <c r="M63" s="12"/>
      <c r="N63" s="10"/>
      <c r="O63" s="25" t="str">
        <f aca="true">IF(OR(B63="",K63="Sold",K63="Donated"),"",TODAY()-B63)</f>
        <v/>
      </c>
      <c r="P63" s="25" t="str">
        <f aca="true">IF(OR(L63="",K63="Sold",K63="Donated"),"",TODAY()-L63)</f>
        <v/>
      </c>
      <c r="Q63" s="26" t="str">
        <f aca="false">IF(AND(K63="Listed",P63&lt;&gt;"",N(P63)&gt;Settings!$B$19),"STALE","")</f>
        <v/>
      </c>
      <c r="R63" s="27" t="str">
        <f aca="false">IF(Q63="STALE",COUNTIF($Q$4:Q63,"STALE"),"")</f>
        <v/>
      </c>
    </row>
    <row r="64" customFormat="false" ht="15" hidden="false" customHeight="false" outlineLevel="0" collapsed="false">
      <c r="A64" s="23" t="str">
        <f aca="false">IF(B64="","","SKU-"&amp;TEXT(ROW()-3,"0000"))</f>
        <v/>
      </c>
      <c r="B64" s="19"/>
      <c r="C64" s="10"/>
      <c r="D64" s="10"/>
      <c r="E64" s="10"/>
      <c r="F64" s="10"/>
      <c r="G64" s="10"/>
      <c r="H64" s="12"/>
      <c r="I64" s="12"/>
      <c r="J64" s="24" t="str">
        <f aca="false">IF(B64="","",N(H64)+N(I64))</f>
        <v/>
      </c>
      <c r="K64" s="10"/>
      <c r="L64" s="19"/>
      <c r="M64" s="12"/>
      <c r="N64" s="10"/>
      <c r="O64" s="25" t="str">
        <f aca="true">IF(OR(B64="",K64="Sold",K64="Donated"),"",TODAY()-B64)</f>
        <v/>
      </c>
      <c r="P64" s="25" t="str">
        <f aca="true">IF(OR(L64="",K64="Sold",K64="Donated"),"",TODAY()-L64)</f>
        <v/>
      </c>
      <c r="Q64" s="26" t="str">
        <f aca="false">IF(AND(K64="Listed",P64&lt;&gt;"",N(P64)&gt;Settings!$B$19),"STALE","")</f>
        <v/>
      </c>
      <c r="R64" s="27" t="str">
        <f aca="false">IF(Q64="STALE",COUNTIF($Q$4:Q64,"STALE"),"")</f>
        <v/>
      </c>
    </row>
    <row r="65" customFormat="false" ht="15" hidden="false" customHeight="false" outlineLevel="0" collapsed="false">
      <c r="A65" s="23" t="str">
        <f aca="false">IF(B65="","","SKU-"&amp;TEXT(ROW()-3,"0000"))</f>
        <v/>
      </c>
      <c r="B65" s="19"/>
      <c r="C65" s="10"/>
      <c r="D65" s="10"/>
      <c r="E65" s="10"/>
      <c r="F65" s="10"/>
      <c r="G65" s="10"/>
      <c r="H65" s="12"/>
      <c r="I65" s="12"/>
      <c r="J65" s="24" t="str">
        <f aca="false">IF(B65="","",N(H65)+N(I65))</f>
        <v/>
      </c>
      <c r="K65" s="10"/>
      <c r="L65" s="19"/>
      <c r="M65" s="12"/>
      <c r="N65" s="10"/>
      <c r="O65" s="25" t="str">
        <f aca="true">IF(OR(B65="",K65="Sold",K65="Donated"),"",TODAY()-B65)</f>
        <v/>
      </c>
      <c r="P65" s="25" t="str">
        <f aca="true">IF(OR(L65="",K65="Sold",K65="Donated"),"",TODAY()-L65)</f>
        <v/>
      </c>
      <c r="Q65" s="26" t="str">
        <f aca="false">IF(AND(K65="Listed",P65&lt;&gt;"",N(P65)&gt;Settings!$B$19),"STALE","")</f>
        <v/>
      </c>
      <c r="R65" s="27" t="str">
        <f aca="false">IF(Q65="STALE",COUNTIF($Q$4:Q65,"STALE"),"")</f>
        <v/>
      </c>
    </row>
    <row r="66" customFormat="false" ht="15" hidden="false" customHeight="false" outlineLevel="0" collapsed="false">
      <c r="A66" s="23" t="str">
        <f aca="false">IF(B66="","","SKU-"&amp;TEXT(ROW()-3,"0000"))</f>
        <v/>
      </c>
      <c r="B66" s="19"/>
      <c r="C66" s="10"/>
      <c r="D66" s="10"/>
      <c r="E66" s="10"/>
      <c r="F66" s="10"/>
      <c r="G66" s="10"/>
      <c r="H66" s="12"/>
      <c r="I66" s="12"/>
      <c r="J66" s="24" t="str">
        <f aca="false">IF(B66="","",N(H66)+N(I66))</f>
        <v/>
      </c>
      <c r="K66" s="10"/>
      <c r="L66" s="19"/>
      <c r="M66" s="12"/>
      <c r="N66" s="10"/>
      <c r="O66" s="25" t="str">
        <f aca="true">IF(OR(B66="",K66="Sold",K66="Donated"),"",TODAY()-B66)</f>
        <v/>
      </c>
      <c r="P66" s="25" t="str">
        <f aca="true">IF(OR(L66="",K66="Sold",K66="Donated"),"",TODAY()-L66)</f>
        <v/>
      </c>
      <c r="Q66" s="26" t="str">
        <f aca="false">IF(AND(K66="Listed",P66&lt;&gt;"",N(P66)&gt;Settings!$B$19),"STALE","")</f>
        <v/>
      </c>
      <c r="R66" s="27" t="str">
        <f aca="false">IF(Q66="STALE",COUNTIF($Q$4:Q66,"STALE"),"")</f>
        <v/>
      </c>
    </row>
    <row r="67" customFormat="false" ht="15" hidden="false" customHeight="false" outlineLevel="0" collapsed="false">
      <c r="A67" s="23" t="str">
        <f aca="false">IF(B67="","","SKU-"&amp;TEXT(ROW()-3,"0000"))</f>
        <v/>
      </c>
      <c r="B67" s="19"/>
      <c r="C67" s="10"/>
      <c r="D67" s="10"/>
      <c r="E67" s="10"/>
      <c r="F67" s="10"/>
      <c r="G67" s="10"/>
      <c r="H67" s="12"/>
      <c r="I67" s="12"/>
      <c r="J67" s="24" t="str">
        <f aca="false">IF(B67="","",N(H67)+N(I67))</f>
        <v/>
      </c>
      <c r="K67" s="10"/>
      <c r="L67" s="19"/>
      <c r="M67" s="12"/>
      <c r="N67" s="10"/>
      <c r="O67" s="25" t="str">
        <f aca="true">IF(OR(B67="",K67="Sold",K67="Donated"),"",TODAY()-B67)</f>
        <v/>
      </c>
      <c r="P67" s="25" t="str">
        <f aca="true">IF(OR(L67="",K67="Sold",K67="Donated"),"",TODAY()-L67)</f>
        <v/>
      </c>
      <c r="Q67" s="26" t="str">
        <f aca="false">IF(AND(K67="Listed",P67&lt;&gt;"",N(P67)&gt;Settings!$B$19),"STALE","")</f>
        <v/>
      </c>
      <c r="R67" s="27" t="str">
        <f aca="false">IF(Q67="STALE",COUNTIF($Q$4:Q67,"STALE"),"")</f>
        <v/>
      </c>
    </row>
    <row r="68" customFormat="false" ht="15" hidden="false" customHeight="false" outlineLevel="0" collapsed="false">
      <c r="A68" s="23" t="str">
        <f aca="false">IF(B68="","","SKU-"&amp;TEXT(ROW()-3,"0000"))</f>
        <v/>
      </c>
      <c r="B68" s="19"/>
      <c r="C68" s="10"/>
      <c r="D68" s="10"/>
      <c r="E68" s="10"/>
      <c r="F68" s="10"/>
      <c r="G68" s="10"/>
      <c r="H68" s="12"/>
      <c r="I68" s="12"/>
      <c r="J68" s="24" t="str">
        <f aca="false">IF(B68="","",N(H68)+N(I68))</f>
        <v/>
      </c>
      <c r="K68" s="10"/>
      <c r="L68" s="19"/>
      <c r="M68" s="12"/>
      <c r="N68" s="10"/>
      <c r="O68" s="25" t="str">
        <f aca="true">IF(OR(B68="",K68="Sold",K68="Donated"),"",TODAY()-B68)</f>
        <v/>
      </c>
      <c r="P68" s="25" t="str">
        <f aca="true">IF(OR(L68="",K68="Sold",K68="Donated"),"",TODAY()-L68)</f>
        <v/>
      </c>
      <c r="Q68" s="26" t="str">
        <f aca="false">IF(AND(K68="Listed",P68&lt;&gt;"",N(P68)&gt;Settings!$B$19),"STALE","")</f>
        <v/>
      </c>
      <c r="R68" s="27" t="str">
        <f aca="false">IF(Q68="STALE",COUNTIF($Q$4:Q68,"STALE"),"")</f>
        <v/>
      </c>
    </row>
    <row r="69" customFormat="false" ht="15" hidden="false" customHeight="false" outlineLevel="0" collapsed="false">
      <c r="A69" s="23" t="str">
        <f aca="false">IF(B69="","","SKU-"&amp;TEXT(ROW()-3,"0000"))</f>
        <v/>
      </c>
      <c r="B69" s="19"/>
      <c r="C69" s="10"/>
      <c r="D69" s="10"/>
      <c r="E69" s="10"/>
      <c r="F69" s="10"/>
      <c r="G69" s="10"/>
      <c r="H69" s="12"/>
      <c r="I69" s="12"/>
      <c r="J69" s="24" t="str">
        <f aca="false">IF(B69="","",N(H69)+N(I69))</f>
        <v/>
      </c>
      <c r="K69" s="10"/>
      <c r="L69" s="19"/>
      <c r="M69" s="12"/>
      <c r="N69" s="10"/>
      <c r="O69" s="25" t="str">
        <f aca="true">IF(OR(B69="",K69="Sold",K69="Donated"),"",TODAY()-B69)</f>
        <v/>
      </c>
      <c r="P69" s="25" t="str">
        <f aca="true">IF(OR(L69="",K69="Sold",K69="Donated"),"",TODAY()-L69)</f>
        <v/>
      </c>
      <c r="Q69" s="26" t="str">
        <f aca="false">IF(AND(K69="Listed",P69&lt;&gt;"",N(P69)&gt;Settings!$B$19),"STALE","")</f>
        <v/>
      </c>
      <c r="R69" s="27" t="str">
        <f aca="false">IF(Q69="STALE",COUNTIF($Q$4:Q69,"STALE"),"")</f>
        <v/>
      </c>
    </row>
    <row r="70" customFormat="false" ht="15" hidden="false" customHeight="false" outlineLevel="0" collapsed="false">
      <c r="A70" s="23" t="str">
        <f aca="false">IF(B70="","","SKU-"&amp;TEXT(ROW()-3,"0000"))</f>
        <v/>
      </c>
      <c r="B70" s="19"/>
      <c r="C70" s="10"/>
      <c r="D70" s="10"/>
      <c r="E70" s="10"/>
      <c r="F70" s="10"/>
      <c r="G70" s="10"/>
      <c r="H70" s="12"/>
      <c r="I70" s="12"/>
      <c r="J70" s="24" t="str">
        <f aca="false">IF(B70="","",N(H70)+N(I70))</f>
        <v/>
      </c>
      <c r="K70" s="10"/>
      <c r="L70" s="19"/>
      <c r="M70" s="12"/>
      <c r="N70" s="10"/>
      <c r="O70" s="25" t="str">
        <f aca="true">IF(OR(B70="",K70="Sold",K70="Donated"),"",TODAY()-B70)</f>
        <v/>
      </c>
      <c r="P70" s="25" t="str">
        <f aca="true">IF(OR(L70="",K70="Sold",K70="Donated"),"",TODAY()-L70)</f>
        <v/>
      </c>
      <c r="Q70" s="26" t="str">
        <f aca="false">IF(AND(K70="Listed",P70&lt;&gt;"",N(P70)&gt;Settings!$B$19),"STALE","")</f>
        <v/>
      </c>
      <c r="R70" s="27" t="str">
        <f aca="false">IF(Q70="STALE",COUNTIF($Q$4:Q70,"STALE"),"")</f>
        <v/>
      </c>
    </row>
    <row r="71" customFormat="false" ht="15" hidden="false" customHeight="false" outlineLevel="0" collapsed="false">
      <c r="A71" s="23" t="str">
        <f aca="false">IF(B71="","","SKU-"&amp;TEXT(ROW()-3,"0000"))</f>
        <v/>
      </c>
      <c r="B71" s="19"/>
      <c r="C71" s="10"/>
      <c r="D71" s="10"/>
      <c r="E71" s="10"/>
      <c r="F71" s="10"/>
      <c r="G71" s="10"/>
      <c r="H71" s="12"/>
      <c r="I71" s="12"/>
      <c r="J71" s="24" t="str">
        <f aca="false">IF(B71="","",N(H71)+N(I71))</f>
        <v/>
      </c>
      <c r="K71" s="10"/>
      <c r="L71" s="19"/>
      <c r="M71" s="12"/>
      <c r="N71" s="10"/>
      <c r="O71" s="25" t="str">
        <f aca="true">IF(OR(B71="",K71="Sold",K71="Donated"),"",TODAY()-B71)</f>
        <v/>
      </c>
      <c r="P71" s="25" t="str">
        <f aca="true">IF(OR(L71="",K71="Sold",K71="Donated"),"",TODAY()-L71)</f>
        <v/>
      </c>
      <c r="Q71" s="26" t="str">
        <f aca="false">IF(AND(K71="Listed",P71&lt;&gt;"",N(P71)&gt;Settings!$B$19),"STALE","")</f>
        <v/>
      </c>
      <c r="R71" s="27" t="str">
        <f aca="false">IF(Q71="STALE",COUNTIF($Q$4:Q71,"STALE"),"")</f>
        <v/>
      </c>
    </row>
    <row r="72" customFormat="false" ht="15" hidden="false" customHeight="false" outlineLevel="0" collapsed="false">
      <c r="A72" s="23" t="str">
        <f aca="false">IF(B72="","","SKU-"&amp;TEXT(ROW()-3,"0000"))</f>
        <v/>
      </c>
      <c r="B72" s="19"/>
      <c r="C72" s="10"/>
      <c r="D72" s="10"/>
      <c r="E72" s="10"/>
      <c r="F72" s="10"/>
      <c r="G72" s="10"/>
      <c r="H72" s="12"/>
      <c r="I72" s="12"/>
      <c r="J72" s="24" t="str">
        <f aca="false">IF(B72="","",N(H72)+N(I72))</f>
        <v/>
      </c>
      <c r="K72" s="10"/>
      <c r="L72" s="19"/>
      <c r="M72" s="12"/>
      <c r="N72" s="10"/>
      <c r="O72" s="25" t="str">
        <f aca="true">IF(OR(B72="",K72="Sold",K72="Donated"),"",TODAY()-B72)</f>
        <v/>
      </c>
      <c r="P72" s="25" t="str">
        <f aca="true">IF(OR(L72="",K72="Sold",K72="Donated"),"",TODAY()-L72)</f>
        <v/>
      </c>
      <c r="Q72" s="26" t="str">
        <f aca="false">IF(AND(K72="Listed",P72&lt;&gt;"",N(P72)&gt;Settings!$B$19),"STALE","")</f>
        <v/>
      </c>
      <c r="R72" s="27" t="str">
        <f aca="false">IF(Q72="STALE",COUNTIF($Q$4:Q72,"STALE"),"")</f>
        <v/>
      </c>
    </row>
    <row r="73" customFormat="false" ht="15" hidden="false" customHeight="false" outlineLevel="0" collapsed="false">
      <c r="A73" s="23" t="str">
        <f aca="false">IF(B73="","","SKU-"&amp;TEXT(ROW()-3,"0000"))</f>
        <v/>
      </c>
      <c r="B73" s="19"/>
      <c r="C73" s="10"/>
      <c r="D73" s="10"/>
      <c r="E73" s="10"/>
      <c r="F73" s="10"/>
      <c r="G73" s="10"/>
      <c r="H73" s="12"/>
      <c r="I73" s="12"/>
      <c r="J73" s="24" t="str">
        <f aca="false">IF(B73="","",N(H73)+N(I73))</f>
        <v/>
      </c>
      <c r="K73" s="10"/>
      <c r="L73" s="19"/>
      <c r="M73" s="12"/>
      <c r="N73" s="10"/>
      <c r="O73" s="25" t="str">
        <f aca="true">IF(OR(B73="",K73="Sold",K73="Donated"),"",TODAY()-B73)</f>
        <v/>
      </c>
      <c r="P73" s="25" t="str">
        <f aca="true">IF(OR(L73="",K73="Sold",K73="Donated"),"",TODAY()-L73)</f>
        <v/>
      </c>
      <c r="Q73" s="26" t="str">
        <f aca="false">IF(AND(K73="Listed",P73&lt;&gt;"",N(P73)&gt;Settings!$B$19),"STALE","")</f>
        <v/>
      </c>
      <c r="R73" s="27" t="str">
        <f aca="false">IF(Q73="STALE",COUNTIF($Q$4:Q73,"STALE"),"")</f>
        <v/>
      </c>
    </row>
    <row r="74" customFormat="false" ht="15" hidden="false" customHeight="false" outlineLevel="0" collapsed="false">
      <c r="A74" s="23" t="str">
        <f aca="false">IF(B74="","","SKU-"&amp;TEXT(ROW()-3,"0000"))</f>
        <v/>
      </c>
      <c r="B74" s="19"/>
      <c r="C74" s="10"/>
      <c r="D74" s="10"/>
      <c r="E74" s="10"/>
      <c r="F74" s="10"/>
      <c r="G74" s="10"/>
      <c r="H74" s="12"/>
      <c r="I74" s="12"/>
      <c r="J74" s="24" t="str">
        <f aca="false">IF(B74="","",N(H74)+N(I74))</f>
        <v/>
      </c>
      <c r="K74" s="10"/>
      <c r="L74" s="19"/>
      <c r="M74" s="12"/>
      <c r="N74" s="10"/>
      <c r="O74" s="25" t="str">
        <f aca="true">IF(OR(B74="",K74="Sold",K74="Donated"),"",TODAY()-B74)</f>
        <v/>
      </c>
      <c r="P74" s="25" t="str">
        <f aca="true">IF(OR(L74="",K74="Sold",K74="Donated"),"",TODAY()-L74)</f>
        <v/>
      </c>
      <c r="Q74" s="26" t="str">
        <f aca="false">IF(AND(K74="Listed",P74&lt;&gt;"",N(P74)&gt;Settings!$B$19),"STALE","")</f>
        <v/>
      </c>
      <c r="R74" s="27" t="str">
        <f aca="false">IF(Q74="STALE",COUNTIF($Q$4:Q74,"STALE"),"")</f>
        <v/>
      </c>
    </row>
    <row r="75" customFormat="false" ht="15" hidden="false" customHeight="false" outlineLevel="0" collapsed="false">
      <c r="A75" s="23" t="str">
        <f aca="false">IF(B75="","","SKU-"&amp;TEXT(ROW()-3,"0000"))</f>
        <v/>
      </c>
      <c r="B75" s="19"/>
      <c r="C75" s="10"/>
      <c r="D75" s="10"/>
      <c r="E75" s="10"/>
      <c r="F75" s="10"/>
      <c r="G75" s="10"/>
      <c r="H75" s="12"/>
      <c r="I75" s="12"/>
      <c r="J75" s="24" t="str">
        <f aca="false">IF(B75="","",N(H75)+N(I75))</f>
        <v/>
      </c>
      <c r="K75" s="10"/>
      <c r="L75" s="19"/>
      <c r="M75" s="12"/>
      <c r="N75" s="10"/>
      <c r="O75" s="25" t="str">
        <f aca="true">IF(OR(B75="",K75="Sold",K75="Donated"),"",TODAY()-B75)</f>
        <v/>
      </c>
      <c r="P75" s="25" t="str">
        <f aca="true">IF(OR(L75="",K75="Sold",K75="Donated"),"",TODAY()-L75)</f>
        <v/>
      </c>
      <c r="Q75" s="26" t="str">
        <f aca="false">IF(AND(K75="Listed",P75&lt;&gt;"",N(P75)&gt;Settings!$B$19),"STALE","")</f>
        <v/>
      </c>
      <c r="R75" s="27" t="str">
        <f aca="false">IF(Q75="STALE",COUNTIF($Q$4:Q75,"STALE"),"")</f>
        <v/>
      </c>
    </row>
    <row r="76" customFormat="false" ht="15" hidden="false" customHeight="false" outlineLevel="0" collapsed="false">
      <c r="A76" s="23" t="str">
        <f aca="false">IF(B76="","","SKU-"&amp;TEXT(ROW()-3,"0000"))</f>
        <v/>
      </c>
      <c r="B76" s="19"/>
      <c r="C76" s="10"/>
      <c r="D76" s="10"/>
      <c r="E76" s="10"/>
      <c r="F76" s="10"/>
      <c r="G76" s="10"/>
      <c r="H76" s="12"/>
      <c r="I76" s="12"/>
      <c r="J76" s="24" t="str">
        <f aca="false">IF(B76="","",N(H76)+N(I76))</f>
        <v/>
      </c>
      <c r="K76" s="10"/>
      <c r="L76" s="19"/>
      <c r="M76" s="12"/>
      <c r="N76" s="10"/>
      <c r="O76" s="25" t="str">
        <f aca="true">IF(OR(B76="",K76="Sold",K76="Donated"),"",TODAY()-B76)</f>
        <v/>
      </c>
      <c r="P76" s="25" t="str">
        <f aca="true">IF(OR(L76="",K76="Sold",K76="Donated"),"",TODAY()-L76)</f>
        <v/>
      </c>
      <c r="Q76" s="26" t="str">
        <f aca="false">IF(AND(K76="Listed",P76&lt;&gt;"",N(P76)&gt;Settings!$B$19),"STALE","")</f>
        <v/>
      </c>
      <c r="R76" s="27" t="str">
        <f aca="false">IF(Q76="STALE",COUNTIF($Q$4:Q76,"STALE"),"")</f>
        <v/>
      </c>
    </row>
    <row r="77" customFormat="false" ht="15" hidden="false" customHeight="false" outlineLevel="0" collapsed="false">
      <c r="A77" s="23" t="str">
        <f aca="false">IF(B77="","","SKU-"&amp;TEXT(ROW()-3,"0000"))</f>
        <v/>
      </c>
      <c r="B77" s="19"/>
      <c r="C77" s="10"/>
      <c r="D77" s="10"/>
      <c r="E77" s="10"/>
      <c r="F77" s="10"/>
      <c r="G77" s="10"/>
      <c r="H77" s="12"/>
      <c r="I77" s="12"/>
      <c r="J77" s="24" t="str">
        <f aca="false">IF(B77="","",N(H77)+N(I77))</f>
        <v/>
      </c>
      <c r="K77" s="10"/>
      <c r="L77" s="19"/>
      <c r="M77" s="12"/>
      <c r="N77" s="10"/>
      <c r="O77" s="25" t="str">
        <f aca="true">IF(OR(B77="",K77="Sold",K77="Donated"),"",TODAY()-B77)</f>
        <v/>
      </c>
      <c r="P77" s="25" t="str">
        <f aca="true">IF(OR(L77="",K77="Sold",K77="Donated"),"",TODAY()-L77)</f>
        <v/>
      </c>
      <c r="Q77" s="26" t="str">
        <f aca="false">IF(AND(K77="Listed",P77&lt;&gt;"",N(P77)&gt;Settings!$B$19),"STALE","")</f>
        <v/>
      </c>
      <c r="R77" s="27" t="str">
        <f aca="false">IF(Q77="STALE",COUNTIF($Q$4:Q77,"STALE"),"")</f>
        <v/>
      </c>
    </row>
    <row r="78" customFormat="false" ht="15" hidden="false" customHeight="false" outlineLevel="0" collapsed="false">
      <c r="A78" s="23" t="str">
        <f aca="false">IF(B78="","","SKU-"&amp;TEXT(ROW()-3,"0000"))</f>
        <v/>
      </c>
      <c r="B78" s="19"/>
      <c r="C78" s="10"/>
      <c r="D78" s="10"/>
      <c r="E78" s="10"/>
      <c r="F78" s="10"/>
      <c r="G78" s="10"/>
      <c r="H78" s="12"/>
      <c r="I78" s="12"/>
      <c r="J78" s="24" t="str">
        <f aca="false">IF(B78="","",N(H78)+N(I78))</f>
        <v/>
      </c>
      <c r="K78" s="10"/>
      <c r="L78" s="19"/>
      <c r="M78" s="12"/>
      <c r="N78" s="10"/>
      <c r="O78" s="25" t="str">
        <f aca="true">IF(OR(B78="",K78="Sold",K78="Donated"),"",TODAY()-B78)</f>
        <v/>
      </c>
      <c r="P78" s="25" t="str">
        <f aca="true">IF(OR(L78="",K78="Sold",K78="Donated"),"",TODAY()-L78)</f>
        <v/>
      </c>
      <c r="Q78" s="26" t="str">
        <f aca="false">IF(AND(K78="Listed",P78&lt;&gt;"",N(P78)&gt;Settings!$B$19),"STALE","")</f>
        <v/>
      </c>
      <c r="R78" s="27" t="str">
        <f aca="false">IF(Q78="STALE",COUNTIF($Q$4:Q78,"STALE"),"")</f>
        <v/>
      </c>
    </row>
    <row r="79" customFormat="false" ht="15" hidden="false" customHeight="false" outlineLevel="0" collapsed="false">
      <c r="A79" s="23" t="str">
        <f aca="false">IF(B79="","","SKU-"&amp;TEXT(ROW()-3,"0000"))</f>
        <v/>
      </c>
      <c r="B79" s="19"/>
      <c r="C79" s="10"/>
      <c r="D79" s="10"/>
      <c r="E79" s="10"/>
      <c r="F79" s="10"/>
      <c r="G79" s="10"/>
      <c r="H79" s="12"/>
      <c r="I79" s="12"/>
      <c r="J79" s="24" t="str">
        <f aca="false">IF(B79="","",N(H79)+N(I79))</f>
        <v/>
      </c>
      <c r="K79" s="10"/>
      <c r="L79" s="19"/>
      <c r="M79" s="12"/>
      <c r="N79" s="10"/>
      <c r="O79" s="25" t="str">
        <f aca="true">IF(OR(B79="",K79="Sold",K79="Donated"),"",TODAY()-B79)</f>
        <v/>
      </c>
      <c r="P79" s="25" t="str">
        <f aca="true">IF(OR(L79="",K79="Sold",K79="Donated"),"",TODAY()-L79)</f>
        <v/>
      </c>
      <c r="Q79" s="26" t="str">
        <f aca="false">IF(AND(K79="Listed",P79&lt;&gt;"",N(P79)&gt;Settings!$B$19),"STALE","")</f>
        <v/>
      </c>
      <c r="R79" s="27" t="str">
        <f aca="false">IF(Q79="STALE",COUNTIF($Q$4:Q79,"STALE"),"")</f>
        <v/>
      </c>
    </row>
    <row r="80" customFormat="false" ht="15" hidden="false" customHeight="false" outlineLevel="0" collapsed="false">
      <c r="A80" s="23" t="str">
        <f aca="false">IF(B80="","","SKU-"&amp;TEXT(ROW()-3,"0000"))</f>
        <v/>
      </c>
      <c r="B80" s="19"/>
      <c r="C80" s="10"/>
      <c r="D80" s="10"/>
      <c r="E80" s="10"/>
      <c r="F80" s="10"/>
      <c r="G80" s="10"/>
      <c r="H80" s="12"/>
      <c r="I80" s="12"/>
      <c r="J80" s="24" t="str">
        <f aca="false">IF(B80="","",N(H80)+N(I80))</f>
        <v/>
      </c>
      <c r="K80" s="10"/>
      <c r="L80" s="19"/>
      <c r="M80" s="12"/>
      <c r="N80" s="10"/>
      <c r="O80" s="25" t="str">
        <f aca="true">IF(OR(B80="",K80="Sold",K80="Donated"),"",TODAY()-B80)</f>
        <v/>
      </c>
      <c r="P80" s="25" t="str">
        <f aca="true">IF(OR(L80="",K80="Sold",K80="Donated"),"",TODAY()-L80)</f>
        <v/>
      </c>
      <c r="Q80" s="26" t="str">
        <f aca="false">IF(AND(K80="Listed",P80&lt;&gt;"",N(P80)&gt;Settings!$B$19),"STALE","")</f>
        <v/>
      </c>
      <c r="R80" s="27" t="str">
        <f aca="false">IF(Q80="STALE",COUNTIF($Q$4:Q80,"STALE"),"")</f>
        <v/>
      </c>
    </row>
    <row r="81" customFormat="false" ht="15" hidden="false" customHeight="false" outlineLevel="0" collapsed="false">
      <c r="A81" s="23" t="str">
        <f aca="false">IF(B81="","","SKU-"&amp;TEXT(ROW()-3,"0000"))</f>
        <v/>
      </c>
      <c r="B81" s="19"/>
      <c r="C81" s="10"/>
      <c r="D81" s="10"/>
      <c r="E81" s="10"/>
      <c r="F81" s="10"/>
      <c r="G81" s="10"/>
      <c r="H81" s="12"/>
      <c r="I81" s="12"/>
      <c r="J81" s="24" t="str">
        <f aca="false">IF(B81="","",N(H81)+N(I81))</f>
        <v/>
      </c>
      <c r="K81" s="10"/>
      <c r="L81" s="19"/>
      <c r="M81" s="12"/>
      <c r="N81" s="10"/>
      <c r="O81" s="25" t="str">
        <f aca="true">IF(OR(B81="",K81="Sold",K81="Donated"),"",TODAY()-B81)</f>
        <v/>
      </c>
      <c r="P81" s="25" t="str">
        <f aca="true">IF(OR(L81="",K81="Sold",K81="Donated"),"",TODAY()-L81)</f>
        <v/>
      </c>
      <c r="Q81" s="26" t="str">
        <f aca="false">IF(AND(K81="Listed",P81&lt;&gt;"",N(P81)&gt;Settings!$B$19),"STALE","")</f>
        <v/>
      </c>
      <c r="R81" s="27" t="str">
        <f aca="false">IF(Q81="STALE",COUNTIF($Q$4:Q81,"STALE"),"")</f>
        <v/>
      </c>
    </row>
    <row r="82" customFormat="false" ht="15" hidden="false" customHeight="false" outlineLevel="0" collapsed="false">
      <c r="A82" s="23" t="str">
        <f aca="false">IF(B82="","","SKU-"&amp;TEXT(ROW()-3,"0000"))</f>
        <v/>
      </c>
      <c r="B82" s="19"/>
      <c r="C82" s="10"/>
      <c r="D82" s="10"/>
      <c r="E82" s="10"/>
      <c r="F82" s="10"/>
      <c r="G82" s="10"/>
      <c r="H82" s="12"/>
      <c r="I82" s="12"/>
      <c r="J82" s="24" t="str">
        <f aca="false">IF(B82="","",N(H82)+N(I82))</f>
        <v/>
      </c>
      <c r="K82" s="10"/>
      <c r="L82" s="19"/>
      <c r="M82" s="12"/>
      <c r="N82" s="10"/>
      <c r="O82" s="25" t="str">
        <f aca="true">IF(OR(B82="",K82="Sold",K82="Donated"),"",TODAY()-B82)</f>
        <v/>
      </c>
      <c r="P82" s="25" t="str">
        <f aca="true">IF(OR(L82="",K82="Sold",K82="Donated"),"",TODAY()-L82)</f>
        <v/>
      </c>
      <c r="Q82" s="26" t="str">
        <f aca="false">IF(AND(K82="Listed",P82&lt;&gt;"",N(P82)&gt;Settings!$B$19),"STALE","")</f>
        <v/>
      </c>
      <c r="R82" s="27" t="str">
        <f aca="false">IF(Q82="STALE",COUNTIF($Q$4:Q82,"STALE"),"")</f>
        <v/>
      </c>
    </row>
    <row r="83" customFormat="false" ht="15" hidden="false" customHeight="false" outlineLevel="0" collapsed="false">
      <c r="A83" s="23" t="str">
        <f aca="false">IF(B83="","","SKU-"&amp;TEXT(ROW()-3,"0000"))</f>
        <v/>
      </c>
      <c r="B83" s="19"/>
      <c r="C83" s="10"/>
      <c r="D83" s="10"/>
      <c r="E83" s="10"/>
      <c r="F83" s="10"/>
      <c r="G83" s="10"/>
      <c r="H83" s="12"/>
      <c r="I83" s="12"/>
      <c r="J83" s="24" t="str">
        <f aca="false">IF(B83="","",N(H83)+N(I83))</f>
        <v/>
      </c>
      <c r="K83" s="10"/>
      <c r="L83" s="19"/>
      <c r="M83" s="12"/>
      <c r="N83" s="10"/>
      <c r="O83" s="25" t="str">
        <f aca="true">IF(OR(B83="",K83="Sold",K83="Donated"),"",TODAY()-B83)</f>
        <v/>
      </c>
      <c r="P83" s="25" t="str">
        <f aca="true">IF(OR(L83="",K83="Sold",K83="Donated"),"",TODAY()-L83)</f>
        <v/>
      </c>
      <c r="Q83" s="26" t="str">
        <f aca="false">IF(AND(K83="Listed",P83&lt;&gt;"",N(P83)&gt;Settings!$B$19),"STALE","")</f>
        <v/>
      </c>
      <c r="R83" s="27" t="str">
        <f aca="false">IF(Q83="STALE",COUNTIF($Q$4:Q83,"STALE"),"")</f>
        <v/>
      </c>
    </row>
    <row r="84" customFormat="false" ht="15" hidden="false" customHeight="false" outlineLevel="0" collapsed="false">
      <c r="A84" s="23" t="str">
        <f aca="false">IF(B84="","","SKU-"&amp;TEXT(ROW()-3,"0000"))</f>
        <v/>
      </c>
      <c r="B84" s="19"/>
      <c r="C84" s="10"/>
      <c r="D84" s="10"/>
      <c r="E84" s="10"/>
      <c r="F84" s="10"/>
      <c r="G84" s="10"/>
      <c r="H84" s="12"/>
      <c r="I84" s="12"/>
      <c r="J84" s="24" t="str">
        <f aca="false">IF(B84="","",N(H84)+N(I84))</f>
        <v/>
      </c>
      <c r="K84" s="10"/>
      <c r="L84" s="19"/>
      <c r="M84" s="12"/>
      <c r="N84" s="10"/>
      <c r="O84" s="25" t="str">
        <f aca="true">IF(OR(B84="",K84="Sold",K84="Donated"),"",TODAY()-B84)</f>
        <v/>
      </c>
      <c r="P84" s="25" t="str">
        <f aca="true">IF(OR(L84="",K84="Sold",K84="Donated"),"",TODAY()-L84)</f>
        <v/>
      </c>
      <c r="Q84" s="26" t="str">
        <f aca="false">IF(AND(K84="Listed",P84&lt;&gt;"",N(P84)&gt;Settings!$B$19),"STALE","")</f>
        <v/>
      </c>
      <c r="R84" s="27" t="str">
        <f aca="false">IF(Q84="STALE",COUNTIF($Q$4:Q84,"STALE"),"")</f>
        <v/>
      </c>
    </row>
    <row r="85" customFormat="false" ht="15" hidden="false" customHeight="false" outlineLevel="0" collapsed="false">
      <c r="A85" s="23" t="str">
        <f aca="false">IF(B85="","","SKU-"&amp;TEXT(ROW()-3,"0000"))</f>
        <v/>
      </c>
      <c r="B85" s="19"/>
      <c r="C85" s="10"/>
      <c r="D85" s="10"/>
      <c r="E85" s="10"/>
      <c r="F85" s="10"/>
      <c r="G85" s="10"/>
      <c r="H85" s="12"/>
      <c r="I85" s="12"/>
      <c r="J85" s="24" t="str">
        <f aca="false">IF(B85="","",N(H85)+N(I85))</f>
        <v/>
      </c>
      <c r="K85" s="10"/>
      <c r="L85" s="19"/>
      <c r="M85" s="12"/>
      <c r="N85" s="10"/>
      <c r="O85" s="25" t="str">
        <f aca="true">IF(OR(B85="",K85="Sold",K85="Donated"),"",TODAY()-B85)</f>
        <v/>
      </c>
      <c r="P85" s="25" t="str">
        <f aca="true">IF(OR(L85="",K85="Sold",K85="Donated"),"",TODAY()-L85)</f>
        <v/>
      </c>
      <c r="Q85" s="26" t="str">
        <f aca="false">IF(AND(K85="Listed",P85&lt;&gt;"",N(P85)&gt;Settings!$B$19),"STALE","")</f>
        <v/>
      </c>
      <c r="R85" s="27" t="str">
        <f aca="false">IF(Q85="STALE",COUNTIF($Q$4:Q85,"STALE"),"")</f>
        <v/>
      </c>
    </row>
    <row r="86" customFormat="false" ht="15" hidden="false" customHeight="false" outlineLevel="0" collapsed="false">
      <c r="A86" s="23" t="str">
        <f aca="false">IF(B86="","","SKU-"&amp;TEXT(ROW()-3,"0000"))</f>
        <v/>
      </c>
      <c r="B86" s="19"/>
      <c r="C86" s="10"/>
      <c r="D86" s="10"/>
      <c r="E86" s="10"/>
      <c r="F86" s="10"/>
      <c r="G86" s="10"/>
      <c r="H86" s="12"/>
      <c r="I86" s="12"/>
      <c r="J86" s="24" t="str">
        <f aca="false">IF(B86="","",N(H86)+N(I86))</f>
        <v/>
      </c>
      <c r="K86" s="10"/>
      <c r="L86" s="19"/>
      <c r="M86" s="12"/>
      <c r="N86" s="10"/>
      <c r="O86" s="25" t="str">
        <f aca="true">IF(OR(B86="",K86="Sold",K86="Donated"),"",TODAY()-B86)</f>
        <v/>
      </c>
      <c r="P86" s="25" t="str">
        <f aca="true">IF(OR(L86="",K86="Sold",K86="Donated"),"",TODAY()-L86)</f>
        <v/>
      </c>
      <c r="Q86" s="26" t="str">
        <f aca="false">IF(AND(K86="Listed",P86&lt;&gt;"",N(P86)&gt;Settings!$B$19),"STALE","")</f>
        <v/>
      </c>
      <c r="R86" s="27" t="str">
        <f aca="false">IF(Q86="STALE",COUNTIF($Q$4:Q86,"STALE"),"")</f>
        <v/>
      </c>
    </row>
    <row r="87" customFormat="false" ht="15" hidden="false" customHeight="false" outlineLevel="0" collapsed="false">
      <c r="A87" s="23" t="str">
        <f aca="false">IF(B87="","","SKU-"&amp;TEXT(ROW()-3,"0000"))</f>
        <v/>
      </c>
      <c r="B87" s="19"/>
      <c r="C87" s="10"/>
      <c r="D87" s="10"/>
      <c r="E87" s="10"/>
      <c r="F87" s="10"/>
      <c r="G87" s="10"/>
      <c r="H87" s="12"/>
      <c r="I87" s="12"/>
      <c r="J87" s="24" t="str">
        <f aca="false">IF(B87="","",N(H87)+N(I87))</f>
        <v/>
      </c>
      <c r="K87" s="10"/>
      <c r="L87" s="19"/>
      <c r="M87" s="12"/>
      <c r="N87" s="10"/>
      <c r="O87" s="25" t="str">
        <f aca="true">IF(OR(B87="",K87="Sold",K87="Donated"),"",TODAY()-B87)</f>
        <v/>
      </c>
      <c r="P87" s="25" t="str">
        <f aca="true">IF(OR(L87="",K87="Sold",K87="Donated"),"",TODAY()-L87)</f>
        <v/>
      </c>
      <c r="Q87" s="26" t="str">
        <f aca="false">IF(AND(K87="Listed",P87&lt;&gt;"",N(P87)&gt;Settings!$B$19),"STALE","")</f>
        <v/>
      </c>
      <c r="R87" s="27" t="str">
        <f aca="false">IF(Q87="STALE",COUNTIF($Q$4:Q87,"STALE"),"")</f>
        <v/>
      </c>
    </row>
    <row r="88" customFormat="false" ht="15" hidden="false" customHeight="false" outlineLevel="0" collapsed="false">
      <c r="A88" s="23" t="str">
        <f aca="false">IF(B88="","","SKU-"&amp;TEXT(ROW()-3,"0000"))</f>
        <v/>
      </c>
      <c r="B88" s="19"/>
      <c r="C88" s="10"/>
      <c r="D88" s="10"/>
      <c r="E88" s="10"/>
      <c r="F88" s="10"/>
      <c r="G88" s="10"/>
      <c r="H88" s="12"/>
      <c r="I88" s="12"/>
      <c r="J88" s="24" t="str">
        <f aca="false">IF(B88="","",N(H88)+N(I88))</f>
        <v/>
      </c>
      <c r="K88" s="10"/>
      <c r="L88" s="19"/>
      <c r="M88" s="12"/>
      <c r="N88" s="10"/>
      <c r="O88" s="25" t="str">
        <f aca="true">IF(OR(B88="",K88="Sold",K88="Donated"),"",TODAY()-B88)</f>
        <v/>
      </c>
      <c r="P88" s="25" t="str">
        <f aca="true">IF(OR(L88="",K88="Sold",K88="Donated"),"",TODAY()-L88)</f>
        <v/>
      </c>
      <c r="Q88" s="26" t="str">
        <f aca="false">IF(AND(K88="Listed",P88&lt;&gt;"",N(P88)&gt;Settings!$B$19),"STALE","")</f>
        <v/>
      </c>
      <c r="R88" s="27" t="str">
        <f aca="false">IF(Q88="STALE",COUNTIF($Q$4:Q88,"STALE"),"")</f>
        <v/>
      </c>
    </row>
    <row r="89" customFormat="false" ht="15" hidden="false" customHeight="false" outlineLevel="0" collapsed="false">
      <c r="A89" s="23" t="str">
        <f aca="false">IF(B89="","","SKU-"&amp;TEXT(ROW()-3,"0000"))</f>
        <v/>
      </c>
      <c r="B89" s="19"/>
      <c r="C89" s="10"/>
      <c r="D89" s="10"/>
      <c r="E89" s="10"/>
      <c r="F89" s="10"/>
      <c r="G89" s="10"/>
      <c r="H89" s="12"/>
      <c r="I89" s="12"/>
      <c r="J89" s="24" t="str">
        <f aca="false">IF(B89="","",N(H89)+N(I89))</f>
        <v/>
      </c>
      <c r="K89" s="10"/>
      <c r="L89" s="19"/>
      <c r="M89" s="12"/>
      <c r="N89" s="10"/>
      <c r="O89" s="25" t="str">
        <f aca="true">IF(OR(B89="",K89="Sold",K89="Donated"),"",TODAY()-B89)</f>
        <v/>
      </c>
      <c r="P89" s="25" t="str">
        <f aca="true">IF(OR(L89="",K89="Sold",K89="Donated"),"",TODAY()-L89)</f>
        <v/>
      </c>
      <c r="Q89" s="26" t="str">
        <f aca="false">IF(AND(K89="Listed",P89&lt;&gt;"",N(P89)&gt;Settings!$B$19),"STALE","")</f>
        <v/>
      </c>
      <c r="R89" s="27" t="str">
        <f aca="false">IF(Q89="STALE",COUNTIF($Q$4:Q89,"STALE"),"")</f>
        <v/>
      </c>
    </row>
    <row r="90" customFormat="false" ht="15" hidden="false" customHeight="false" outlineLevel="0" collapsed="false">
      <c r="A90" s="23" t="str">
        <f aca="false">IF(B90="","","SKU-"&amp;TEXT(ROW()-3,"0000"))</f>
        <v/>
      </c>
      <c r="B90" s="19"/>
      <c r="C90" s="10"/>
      <c r="D90" s="10"/>
      <c r="E90" s="10"/>
      <c r="F90" s="10"/>
      <c r="G90" s="10"/>
      <c r="H90" s="12"/>
      <c r="I90" s="12"/>
      <c r="J90" s="24" t="str">
        <f aca="false">IF(B90="","",N(H90)+N(I90))</f>
        <v/>
      </c>
      <c r="K90" s="10"/>
      <c r="L90" s="19"/>
      <c r="M90" s="12"/>
      <c r="N90" s="10"/>
      <c r="O90" s="25" t="str">
        <f aca="true">IF(OR(B90="",K90="Sold",K90="Donated"),"",TODAY()-B90)</f>
        <v/>
      </c>
      <c r="P90" s="25" t="str">
        <f aca="true">IF(OR(L90="",K90="Sold",K90="Donated"),"",TODAY()-L90)</f>
        <v/>
      </c>
      <c r="Q90" s="26" t="str">
        <f aca="false">IF(AND(K90="Listed",P90&lt;&gt;"",N(P90)&gt;Settings!$B$19),"STALE","")</f>
        <v/>
      </c>
      <c r="R90" s="27" t="str">
        <f aca="false">IF(Q90="STALE",COUNTIF($Q$4:Q90,"STALE"),"")</f>
        <v/>
      </c>
    </row>
    <row r="91" customFormat="false" ht="15" hidden="false" customHeight="false" outlineLevel="0" collapsed="false">
      <c r="A91" s="23" t="str">
        <f aca="false">IF(B91="","","SKU-"&amp;TEXT(ROW()-3,"0000"))</f>
        <v/>
      </c>
      <c r="B91" s="19"/>
      <c r="C91" s="10"/>
      <c r="D91" s="10"/>
      <c r="E91" s="10"/>
      <c r="F91" s="10"/>
      <c r="G91" s="10"/>
      <c r="H91" s="12"/>
      <c r="I91" s="12"/>
      <c r="J91" s="24" t="str">
        <f aca="false">IF(B91="","",N(H91)+N(I91))</f>
        <v/>
      </c>
      <c r="K91" s="10"/>
      <c r="L91" s="19"/>
      <c r="M91" s="12"/>
      <c r="N91" s="10"/>
      <c r="O91" s="25" t="str">
        <f aca="true">IF(OR(B91="",K91="Sold",K91="Donated"),"",TODAY()-B91)</f>
        <v/>
      </c>
      <c r="P91" s="25" t="str">
        <f aca="true">IF(OR(L91="",K91="Sold",K91="Donated"),"",TODAY()-L91)</f>
        <v/>
      </c>
      <c r="Q91" s="26" t="str">
        <f aca="false">IF(AND(K91="Listed",P91&lt;&gt;"",N(P91)&gt;Settings!$B$19),"STALE","")</f>
        <v/>
      </c>
      <c r="R91" s="27" t="str">
        <f aca="false">IF(Q91="STALE",COUNTIF($Q$4:Q91,"STALE"),"")</f>
        <v/>
      </c>
    </row>
    <row r="92" customFormat="false" ht="15" hidden="false" customHeight="false" outlineLevel="0" collapsed="false">
      <c r="A92" s="23" t="str">
        <f aca="false">IF(B92="","","SKU-"&amp;TEXT(ROW()-3,"0000"))</f>
        <v/>
      </c>
      <c r="B92" s="19"/>
      <c r="C92" s="10"/>
      <c r="D92" s="10"/>
      <c r="E92" s="10"/>
      <c r="F92" s="10"/>
      <c r="G92" s="10"/>
      <c r="H92" s="12"/>
      <c r="I92" s="12"/>
      <c r="J92" s="24" t="str">
        <f aca="false">IF(B92="","",N(H92)+N(I92))</f>
        <v/>
      </c>
      <c r="K92" s="10"/>
      <c r="L92" s="19"/>
      <c r="M92" s="12"/>
      <c r="N92" s="10"/>
      <c r="O92" s="25" t="str">
        <f aca="true">IF(OR(B92="",K92="Sold",K92="Donated"),"",TODAY()-B92)</f>
        <v/>
      </c>
      <c r="P92" s="25" t="str">
        <f aca="true">IF(OR(L92="",K92="Sold",K92="Donated"),"",TODAY()-L92)</f>
        <v/>
      </c>
      <c r="Q92" s="26" t="str">
        <f aca="false">IF(AND(K92="Listed",P92&lt;&gt;"",N(P92)&gt;Settings!$B$19),"STALE","")</f>
        <v/>
      </c>
      <c r="R92" s="27" t="str">
        <f aca="false">IF(Q92="STALE",COUNTIF($Q$4:Q92,"STALE"),"")</f>
        <v/>
      </c>
    </row>
    <row r="93" customFormat="false" ht="15" hidden="false" customHeight="false" outlineLevel="0" collapsed="false">
      <c r="A93" s="23" t="str">
        <f aca="false">IF(B93="","","SKU-"&amp;TEXT(ROW()-3,"0000"))</f>
        <v/>
      </c>
      <c r="B93" s="19"/>
      <c r="C93" s="10"/>
      <c r="D93" s="10"/>
      <c r="E93" s="10"/>
      <c r="F93" s="10"/>
      <c r="G93" s="10"/>
      <c r="H93" s="12"/>
      <c r="I93" s="12"/>
      <c r="J93" s="24" t="str">
        <f aca="false">IF(B93="","",N(H93)+N(I93))</f>
        <v/>
      </c>
      <c r="K93" s="10"/>
      <c r="L93" s="19"/>
      <c r="M93" s="12"/>
      <c r="N93" s="10"/>
      <c r="O93" s="25" t="str">
        <f aca="true">IF(OR(B93="",K93="Sold",K93="Donated"),"",TODAY()-B93)</f>
        <v/>
      </c>
      <c r="P93" s="25" t="str">
        <f aca="true">IF(OR(L93="",K93="Sold",K93="Donated"),"",TODAY()-L93)</f>
        <v/>
      </c>
      <c r="Q93" s="26" t="str">
        <f aca="false">IF(AND(K93="Listed",P93&lt;&gt;"",N(P93)&gt;Settings!$B$19),"STALE","")</f>
        <v/>
      </c>
      <c r="R93" s="27" t="str">
        <f aca="false">IF(Q93="STALE",COUNTIF($Q$4:Q93,"STALE"),"")</f>
        <v/>
      </c>
    </row>
    <row r="94" customFormat="false" ht="15" hidden="false" customHeight="false" outlineLevel="0" collapsed="false">
      <c r="A94" s="23" t="str">
        <f aca="false">IF(B94="","","SKU-"&amp;TEXT(ROW()-3,"0000"))</f>
        <v/>
      </c>
      <c r="B94" s="19"/>
      <c r="C94" s="10"/>
      <c r="D94" s="10"/>
      <c r="E94" s="10"/>
      <c r="F94" s="10"/>
      <c r="G94" s="10"/>
      <c r="H94" s="12"/>
      <c r="I94" s="12"/>
      <c r="J94" s="24" t="str">
        <f aca="false">IF(B94="","",N(H94)+N(I94))</f>
        <v/>
      </c>
      <c r="K94" s="10"/>
      <c r="L94" s="19"/>
      <c r="M94" s="12"/>
      <c r="N94" s="10"/>
      <c r="O94" s="25" t="str">
        <f aca="true">IF(OR(B94="",K94="Sold",K94="Donated"),"",TODAY()-B94)</f>
        <v/>
      </c>
      <c r="P94" s="25" t="str">
        <f aca="true">IF(OR(L94="",K94="Sold",K94="Donated"),"",TODAY()-L94)</f>
        <v/>
      </c>
      <c r="Q94" s="26" t="str">
        <f aca="false">IF(AND(K94="Listed",P94&lt;&gt;"",N(P94)&gt;Settings!$B$19),"STALE","")</f>
        <v/>
      </c>
      <c r="R94" s="27" t="str">
        <f aca="false">IF(Q94="STALE",COUNTIF($Q$4:Q94,"STALE"),"")</f>
        <v/>
      </c>
    </row>
    <row r="95" customFormat="false" ht="15" hidden="false" customHeight="false" outlineLevel="0" collapsed="false">
      <c r="A95" s="23" t="str">
        <f aca="false">IF(B95="","","SKU-"&amp;TEXT(ROW()-3,"0000"))</f>
        <v/>
      </c>
      <c r="B95" s="19"/>
      <c r="C95" s="10"/>
      <c r="D95" s="10"/>
      <c r="E95" s="10"/>
      <c r="F95" s="10"/>
      <c r="G95" s="10"/>
      <c r="H95" s="12"/>
      <c r="I95" s="12"/>
      <c r="J95" s="24" t="str">
        <f aca="false">IF(B95="","",N(H95)+N(I95))</f>
        <v/>
      </c>
      <c r="K95" s="10"/>
      <c r="L95" s="19"/>
      <c r="M95" s="12"/>
      <c r="N95" s="10"/>
      <c r="O95" s="25" t="str">
        <f aca="true">IF(OR(B95="",K95="Sold",K95="Donated"),"",TODAY()-B95)</f>
        <v/>
      </c>
      <c r="P95" s="25" t="str">
        <f aca="true">IF(OR(L95="",K95="Sold",K95="Donated"),"",TODAY()-L95)</f>
        <v/>
      </c>
      <c r="Q95" s="26" t="str">
        <f aca="false">IF(AND(K95="Listed",P95&lt;&gt;"",N(P95)&gt;Settings!$B$19),"STALE","")</f>
        <v/>
      </c>
      <c r="R95" s="27" t="str">
        <f aca="false">IF(Q95="STALE",COUNTIF($Q$4:Q95,"STALE"),"")</f>
        <v/>
      </c>
    </row>
    <row r="96" customFormat="false" ht="15" hidden="false" customHeight="false" outlineLevel="0" collapsed="false">
      <c r="A96" s="23" t="str">
        <f aca="false">IF(B96="","","SKU-"&amp;TEXT(ROW()-3,"0000"))</f>
        <v/>
      </c>
      <c r="B96" s="19"/>
      <c r="C96" s="10"/>
      <c r="D96" s="10"/>
      <c r="E96" s="10"/>
      <c r="F96" s="10"/>
      <c r="G96" s="10"/>
      <c r="H96" s="12"/>
      <c r="I96" s="12"/>
      <c r="J96" s="24" t="str">
        <f aca="false">IF(B96="","",N(H96)+N(I96))</f>
        <v/>
      </c>
      <c r="K96" s="10"/>
      <c r="L96" s="19"/>
      <c r="M96" s="12"/>
      <c r="N96" s="10"/>
      <c r="O96" s="25" t="str">
        <f aca="true">IF(OR(B96="",K96="Sold",K96="Donated"),"",TODAY()-B96)</f>
        <v/>
      </c>
      <c r="P96" s="25" t="str">
        <f aca="true">IF(OR(L96="",K96="Sold",K96="Donated"),"",TODAY()-L96)</f>
        <v/>
      </c>
      <c r="Q96" s="26" t="str">
        <f aca="false">IF(AND(K96="Listed",P96&lt;&gt;"",N(P96)&gt;Settings!$B$19),"STALE","")</f>
        <v/>
      </c>
      <c r="R96" s="27" t="str">
        <f aca="false">IF(Q96="STALE",COUNTIF($Q$4:Q96,"STALE"),"")</f>
        <v/>
      </c>
    </row>
    <row r="97" customFormat="false" ht="15" hidden="false" customHeight="false" outlineLevel="0" collapsed="false">
      <c r="A97" s="23" t="str">
        <f aca="false">IF(B97="","","SKU-"&amp;TEXT(ROW()-3,"0000"))</f>
        <v/>
      </c>
      <c r="B97" s="19"/>
      <c r="C97" s="10"/>
      <c r="D97" s="10"/>
      <c r="E97" s="10"/>
      <c r="F97" s="10"/>
      <c r="G97" s="10"/>
      <c r="H97" s="12"/>
      <c r="I97" s="12"/>
      <c r="J97" s="24" t="str">
        <f aca="false">IF(B97="","",N(H97)+N(I97))</f>
        <v/>
      </c>
      <c r="K97" s="10"/>
      <c r="L97" s="19"/>
      <c r="M97" s="12"/>
      <c r="N97" s="10"/>
      <c r="O97" s="25" t="str">
        <f aca="true">IF(OR(B97="",K97="Sold",K97="Donated"),"",TODAY()-B97)</f>
        <v/>
      </c>
      <c r="P97" s="25" t="str">
        <f aca="true">IF(OR(L97="",K97="Sold",K97="Donated"),"",TODAY()-L97)</f>
        <v/>
      </c>
      <c r="Q97" s="26" t="str">
        <f aca="false">IF(AND(K97="Listed",P97&lt;&gt;"",N(P97)&gt;Settings!$B$19),"STALE","")</f>
        <v/>
      </c>
      <c r="R97" s="27" t="str">
        <f aca="false">IF(Q97="STALE",COUNTIF($Q$4:Q97,"STALE"),"")</f>
        <v/>
      </c>
    </row>
    <row r="98" customFormat="false" ht="15" hidden="false" customHeight="false" outlineLevel="0" collapsed="false">
      <c r="A98" s="23" t="str">
        <f aca="false">IF(B98="","","SKU-"&amp;TEXT(ROW()-3,"0000"))</f>
        <v/>
      </c>
      <c r="B98" s="19"/>
      <c r="C98" s="10"/>
      <c r="D98" s="10"/>
      <c r="E98" s="10"/>
      <c r="F98" s="10"/>
      <c r="G98" s="10"/>
      <c r="H98" s="12"/>
      <c r="I98" s="12"/>
      <c r="J98" s="24" t="str">
        <f aca="false">IF(B98="","",N(H98)+N(I98))</f>
        <v/>
      </c>
      <c r="K98" s="10"/>
      <c r="L98" s="19"/>
      <c r="M98" s="12"/>
      <c r="N98" s="10"/>
      <c r="O98" s="25" t="str">
        <f aca="true">IF(OR(B98="",K98="Sold",K98="Donated"),"",TODAY()-B98)</f>
        <v/>
      </c>
      <c r="P98" s="25" t="str">
        <f aca="true">IF(OR(L98="",K98="Sold",K98="Donated"),"",TODAY()-L98)</f>
        <v/>
      </c>
      <c r="Q98" s="26" t="str">
        <f aca="false">IF(AND(K98="Listed",P98&lt;&gt;"",N(P98)&gt;Settings!$B$19),"STALE","")</f>
        <v/>
      </c>
      <c r="R98" s="27" t="str">
        <f aca="false">IF(Q98="STALE",COUNTIF($Q$4:Q98,"STALE"),"")</f>
        <v/>
      </c>
    </row>
    <row r="99" customFormat="false" ht="15" hidden="false" customHeight="false" outlineLevel="0" collapsed="false">
      <c r="A99" s="23" t="str">
        <f aca="false">IF(B99="","","SKU-"&amp;TEXT(ROW()-3,"0000"))</f>
        <v/>
      </c>
      <c r="B99" s="19"/>
      <c r="C99" s="10"/>
      <c r="D99" s="10"/>
      <c r="E99" s="10"/>
      <c r="F99" s="10"/>
      <c r="G99" s="10"/>
      <c r="H99" s="12"/>
      <c r="I99" s="12"/>
      <c r="J99" s="24" t="str">
        <f aca="false">IF(B99="","",N(H99)+N(I99))</f>
        <v/>
      </c>
      <c r="K99" s="10"/>
      <c r="L99" s="19"/>
      <c r="M99" s="12"/>
      <c r="N99" s="10"/>
      <c r="O99" s="25" t="str">
        <f aca="true">IF(OR(B99="",K99="Sold",K99="Donated"),"",TODAY()-B99)</f>
        <v/>
      </c>
      <c r="P99" s="25" t="str">
        <f aca="true">IF(OR(L99="",K99="Sold",K99="Donated"),"",TODAY()-L99)</f>
        <v/>
      </c>
      <c r="Q99" s="26" t="str">
        <f aca="false">IF(AND(K99="Listed",P99&lt;&gt;"",N(P99)&gt;Settings!$B$19),"STALE","")</f>
        <v/>
      </c>
      <c r="R99" s="27" t="str">
        <f aca="false">IF(Q99="STALE",COUNTIF($Q$4:Q99,"STALE"),"")</f>
        <v/>
      </c>
    </row>
    <row r="100" customFormat="false" ht="15" hidden="false" customHeight="false" outlineLevel="0" collapsed="false">
      <c r="A100" s="23" t="str">
        <f aca="false">IF(B100="","","SKU-"&amp;TEXT(ROW()-3,"0000"))</f>
        <v/>
      </c>
      <c r="B100" s="19"/>
      <c r="C100" s="10"/>
      <c r="D100" s="10"/>
      <c r="E100" s="10"/>
      <c r="F100" s="10"/>
      <c r="G100" s="10"/>
      <c r="H100" s="12"/>
      <c r="I100" s="12"/>
      <c r="J100" s="24" t="str">
        <f aca="false">IF(B100="","",N(H100)+N(I100))</f>
        <v/>
      </c>
      <c r="K100" s="10"/>
      <c r="L100" s="19"/>
      <c r="M100" s="12"/>
      <c r="N100" s="10"/>
      <c r="O100" s="25" t="str">
        <f aca="true">IF(OR(B100="",K100="Sold",K100="Donated"),"",TODAY()-B100)</f>
        <v/>
      </c>
      <c r="P100" s="25" t="str">
        <f aca="true">IF(OR(L100="",K100="Sold",K100="Donated"),"",TODAY()-L100)</f>
        <v/>
      </c>
      <c r="Q100" s="26" t="str">
        <f aca="false">IF(AND(K100="Listed",P100&lt;&gt;"",N(P100)&gt;Settings!$B$19),"STALE","")</f>
        <v/>
      </c>
      <c r="R100" s="27" t="str">
        <f aca="false">IF(Q100="STALE",COUNTIF($Q$4:Q100,"STALE"),"")</f>
        <v/>
      </c>
    </row>
    <row r="101" customFormat="false" ht="15" hidden="false" customHeight="false" outlineLevel="0" collapsed="false">
      <c r="A101" s="23" t="str">
        <f aca="false">IF(B101="","","SKU-"&amp;TEXT(ROW()-3,"0000"))</f>
        <v/>
      </c>
      <c r="B101" s="19"/>
      <c r="C101" s="10"/>
      <c r="D101" s="10"/>
      <c r="E101" s="10"/>
      <c r="F101" s="10"/>
      <c r="G101" s="10"/>
      <c r="H101" s="12"/>
      <c r="I101" s="12"/>
      <c r="J101" s="24" t="str">
        <f aca="false">IF(B101="","",N(H101)+N(I101))</f>
        <v/>
      </c>
      <c r="K101" s="10"/>
      <c r="L101" s="19"/>
      <c r="M101" s="12"/>
      <c r="N101" s="10"/>
      <c r="O101" s="25" t="str">
        <f aca="true">IF(OR(B101="",K101="Sold",K101="Donated"),"",TODAY()-B101)</f>
        <v/>
      </c>
      <c r="P101" s="25" t="str">
        <f aca="true">IF(OR(L101="",K101="Sold",K101="Donated"),"",TODAY()-L101)</f>
        <v/>
      </c>
      <c r="Q101" s="26" t="str">
        <f aca="false">IF(AND(K101="Listed",P101&lt;&gt;"",N(P101)&gt;Settings!$B$19),"STALE","")</f>
        <v/>
      </c>
      <c r="R101" s="27" t="str">
        <f aca="false">IF(Q101="STALE",COUNTIF($Q$4:Q101,"STALE"),"")</f>
        <v/>
      </c>
    </row>
    <row r="102" customFormat="false" ht="15" hidden="false" customHeight="false" outlineLevel="0" collapsed="false">
      <c r="A102" s="23" t="str">
        <f aca="false">IF(B102="","","SKU-"&amp;TEXT(ROW()-3,"0000"))</f>
        <v/>
      </c>
      <c r="B102" s="19"/>
      <c r="C102" s="10"/>
      <c r="D102" s="10"/>
      <c r="E102" s="10"/>
      <c r="F102" s="10"/>
      <c r="G102" s="10"/>
      <c r="H102" s="12"/>
      <c r="I102" s="12"/>
      <c r="J102" s="24" t="str">
        <f aca="false">IF(B102="","",N(H102)+N(I102))</f>
        <v/>
      </c>
      <c r="K102" s="10"/>
      <c r="L102" s="19"/>
      <c r="M102" s="12"/>
      <c r="N102" s="10"/>
      <c r="O102" s="25" t="str">
        <f aca="true">IF(OR(B102="",K102="Sold",K102="Donated"),"",TODAY()-B102)</f>
        <v/>
      </c>
      <c r="P102" s="25" t="str">
        <f aca="true">IF(OR(L102="",K102="Sold",K102="Donated"),"",TODAY()-L102)</f>
        <v/>
      </c>
      <c r="Q102" s="26" t="str">
        <f aca="false">IF(AND(K102="Listed",P102&lt;&gt;"",N(P102)&gt;Settings!$B$19),"STALE","")</f>
        <v/>
      </c>
      <c r="R102" s="27" t="str">
        <f aca="false">IF(Q102="STALE",COUNTIF($Q$4:Q102,"STALE"),"")</f>
        <v/>
      </c>
    </row>
    <row r="103" customFormat="false" ht="15" hidden="false" customHeight="false" outlineLevel="0" collapsed="false">
      <c r="A103" s="23" t="str">
        <f aca="false">IF(B103="","","SKU-"&amp;TEXT(ROW()-3,"0000"))</f>
        <v/>
      </c>
      <c r="B103" s="19"/>
      <c r="C103" s="10"/>
      <c r="D103" s="10"/>
      <c r="E103" s="10"/>
      <c r="F103" s="10"/>
      <c r="G103" s="10"/>
      <c r="H103" s="12"/>
      <c r="I103" s="12"/>
      <c r="J103" s="24" t="str">
        <f aca="false">IF(B103="","",N(H103)+N(I103))</f>
        <v/>
      </c>
      <c r="K103" s="10"/>
      <c r="L103" s="19"/>
      <c r="M103" s="12"/>
      <c r="N103" s="10"/>
      <c r="O103" s="25" t="str">
        <f aca="true">IF(OR(B103="",K103="Sold",K103="Donated"),"",TODAY()-B103)</f>
        <v/>
      </c>
      <c r="P103" s="25" t="str">
        <f aca="true">IF(OR(L103="",K103="Sold",K103="Donated"),"",TODAY()-L103)</f>
        <v/>
      </c>
      <c r="Q103" s="26" t="str">
        <f aca="false">IF(AND(K103="Listed",P103&lt;&gt;"",N(P103)&gt;Settings!$B$19),"STALE","")</f>
        <v/>
      </c>
      <c r="R103" s="27" t="str">
        <f aca="false">IF(Q103="STALE",COUNTIF($Q$4:Q103,"STALE"),"")</f>
        <v/>
      </c>
    </row>
    <row r="104" customFormat="false" ht="15" hidden="false" customHeight="false" outlineLevel="0" collapsed="false">
      <c r="A104" s="23" t="str">
        <f aca="false">IF(B104="","","SKU-"&amp;TEXT(ROW()-3,"0000"))</f>
        <v/>
      </c>
      <c r="B104" s="19"/>
      <c r="C104" s="10"/>
      <c r="D104" s="10"/>
      <c r="E104" s="10"/>
      <c r="F104" s="10"/>
      <c r="G104" s="10"/>
      <c r="H104" s="12"/>
      <c r="I104" s="12"/>
      <c r="J104" s="24" t="str">
        <f aca="false">IF(B104="","",N(H104)+N(I104))</f>
        <v/>
      </c>
      <c r="K104" s="10"/>
      <c r="L104" s="19"/>
      <c r="M104" s="12"/>
      <c r="N104" s="10"/>
      <c r="O104" s="25" t="str">
        <f aca="true">IF(OR(B104="",K104="Sold",K104="Donated"),"",TODAY()-B104)</f>
        <v/>
      </c>
      <c r="P104" s="25" t="str">
        <f aca="true">IF(OR(L104="",K104="Sold",K104="Donated"),"",TODAY()-L104)</f>
        <v/>
      </c>
      <c r="Q104" s="26" t="str">
        <f aca="false">IF(AND(K104="Listed",P104&lt;&gt;"",N(P104)&gt;Settings!$B$19),"STALE","")</f>
        <v/>
      </c>
      <c r="R104" s="27" t="str">
        <f aca="false">IF(Q104="STALE",COUNTIF($Q$4:Q104,"STALE"),"")</f>
        <v/>
      </c>
    </row>
    <row r="105" customFormat="false" ht="15" hidden="false" customHeight="false" outlineLevel="0" collapsed="false">
      <c r="A105" s="23" t="str">
        <f aca="false">IF(B105="","","SKU-"&amp;TEXT(ROW()-3,"0000"))</f>
        <v/>
      </c>
      <c r="B105" s="19"/>
      <c r="C105" s="10"/>
      <c r="D105" s="10"/>
      <c r="E105" s="10"/>
      <c r="F105" s="10"/>
      <c r="G105" s="10"/>
      <c r="H105" s="12"/>
      <c r="I105" s="12"/>
      <c r="J105" s="24" t="str">
        <f aca="false">IF(B105="","",N(H105)+N(I105))</f>
        <v/>
      </c>
      <c r="K105" s="10"/>
      <c r="L105" s="19"/>
      <c r="M105" s="12"/>
      <c r="N105" s="10"/>
      <c r="O105" s="25" t="str">
        <f aca="true">IF(OR(B105="",K105="Sold",K105="Donated"),"",TODAY()-B105)</f>
        <v/>
      </c>
      <c r="P105" s="25" t="str">
        <f aca="true">IF(OR(L105="",K105="Sold",K105="Donated"),"",TODAY()-L105)</f>
        <v/>
      </c>
      <c r="Q105" s="26" t="str">
        <f aca="false">IF(AND(K105="Listed",P105&lt;&gt;"",N(P105)&gt;Settings!$B$19),"STALE","")</f>
        <v/>
      </c>
      <c r="R105" s="27" t="str">
        <f aca="false">IF(Q105="STALE",COUNTIF($Q$4:Q105,"STALE"),"")</f>
        <v/>
      </c>
    </row>
    <row r="106" customFormat="false" ht="15" hidden="false" customHeight="false" outlineLevel="0" collapsed="false">
      <c r="A106" s="23" t="str">
        <f aca="false">IF(B106="","","SKU-"&amp;TEXT(ROW()-3,"0000"))</f>
        <v/>
      </c>
      <c r="B106" s="19"/>
      <c r="C106" s="10"/>
      <c r="D106" s="10"/>
      <c r="E106" s="10"/>
      <c r="F106" s="10"/>
      <c r="G106" s="10"/>
      <c r="H106" s="12"/>
      <c r="I106" s="12"/>
      <c r="J106" s="24" t="str">
        <f aca="false">IF(B106="","",N(H106)+N(I106))</f>
        <v/>
      </c>
      <c r="K106" s="10"/>
      <c r="L106" s="19"/>
      <c r="M106" s="12"/>
      <c r="N106" s="10"/>
      <c r="O106" s="25" t="str">
        <f aca="true">IF(OR(B106="",K106="Sold",K106="Donated"),"",TODAY()-B106)</f>
        <v/>
      </c>
      <c r="P106" s="25" t="str">
        <f aca="true">IF(OR(L106="",K106="Sold",K106="Donated"),"",TODAY()-L106)</f>
        <v/>
      </c>
      <c r="Q106" s="26" t="str">
        <f aca="false">IF(AND(K106="Listed",P106&lt;&gt;"",N(P106)&gt;Settings!$B$19),"STALE","")</f>
        <v/>
      </c>
      <c r="R106" s="27" t="str">
        <f aca="false">IF(Q106="STALE",COUNTIF($Q$4:Q106,"STALE"),"")</f>
        <v/>
      </c>
    </row>
    <row r="107" customFormat="false" ht="15" hidden="false" customHeight="false" outlineLevel="0" collapsed="false">
      <c r="A107" s="23" t="str">
        <f aca="false">IF(B107="","","SKU-"&amp;TEXT(ROW()-3,"0000"))</f>
        <v/>
      </c>
      <c r="B107" s="19"/>
      <c r="C107" s="10"/>
      <c r="D107" s="10"/>
      <c r="E107" s="10"/>
      <c r="F107" s="10"/>
      <c r="G107" s="10"/>
      <c r="H107" s="12"/>
      <c r="I107" s="12"/>
      <c r="J107" s="24" t="str">
        <f aca="false">IF(B107="","",N(H107)+N(I107))</f>
        <v/>
      </c>
      <c r="K107" s="10"/>
      <c r="L107" s="19"/>
      <c r="M107" s="12"/>
      <c r="N107" s="10"/>
      <c r="O107" s="25" t="str">
        <f aca="true">IF(OR(B107="",K107="Sold",K107="Donated"),"",TODAY()-B107)</f>
        <v/>
      </c>
      <c r="P107" s="25" t="str">
        <f aca="true">IF(OR(L107="",K107="Sold",K107="Donated"),"",TODAY()-L107)</f>
        <v/>
      </c>
      <c r="Q107" s="26" t="str">
        <f aca="false">IF(AND(K107="Listed",P107&lt;&gt;"",N(P107)&gt;Settings!$B$19),"STALE","")</f>
        <v/>
      </c>
      <c r="R107" s="27" t="str">
        <f aca="false">IF(Q107="STALE",COUNTIF($Q$4:Q107,"STALE"),"")</f>
        <v/>
      </c>
    </row>
    <row r="108" customFormat="false" ht="15" hidden="false" customHeight="false" outlineLevel="0" collapsed="false">
      <c r="A108" s="23" t="str">
        <f aca="false">IF(B108="","","SKU-"&amp;TEXT(ROW()-3,"0000"))</f>
        <v/>
      </c>
      <c r="B108" s="19"/>
      <c r="C108" s="10"/>
      <c r="D108" s="10"/>
      <c r="E108" s="10"/>
      <c r="F108" s="10"/>
      <c r="G108" s="10"/>
      <c r="H108" s="12"/>
      <c r="I108" s="12"/>
      <c r="J108" s="24" t="str">
        <f aca="false">IF(B108="","",N(H108)+N(I108))</f>
        <v/>
      </c>
      <c r="K108" s="10"/>
      <c r="L108" s="19"/>
      <c r="M108" s="12"/>
      <c r="N108" s="10"/>
      <c r="O108" s="25" t="str">
        <f aca="true">IF(OR(B108="",K108="Sold",K108="Donated"),"",TODAY()-B108)</f>
        <v/>
      </c>
      <c r="P108" s="25" t="str">
        <f aca="true">IF(OR(L108="",K108="Sold",K108="Donated"),"",TODAY()-L108)</f>
        <v/>
      </c>
      <c r="Q108" s="26" t="str">
        <f aca="false">IF(AND(K108="Listed",P108&lt;&gt;"",N(P108)&gt;Settings!$B$19),"STALE","")</f>
        <v/>
      </c>
      <c r="R108" s="27" t="str">
        <f aca="false">IF(Q108="STALE",COUNTIF($Q$4:Q108,"STALE"),"")</f>
        <v/>
      </c>
    </row>
    <row r="109" customFormat="false" ht="15" hidden="false" customHeight="false" outlineLevel="0" collapsed="false">
      <c r="A109" s="23" t="str">
        <f aca="false">IF(B109="","","SKU-"&amp;TEXT(ROW()-3,"0000"))</f>
        <v/>
      </c>
      <c r="B109" s="19"/>
      <c r="C109" s="10"/>
      <c r="D109" s="10"/>
      <c r="E109" s="10"/>
      <c r="F109" s="10"/>
      <c r="G109" s="10"/>
      <c r="H109" s="12"/>
      <c r="I109" s="12"/>
      <c r="J109" s="24" t="str">
        <f aca="false">IF(B109="","",N(H109)+N(I109))</f>
        <v/>
      </c>
      <c r="K109" s="10"/>
      <c r="L109" s="19"/>
      <c r="M109" s="12"/>
      <c r="N109" s="10"/>
      <c r="O109" s="25" t="str">
        <f aca="true">IF(OR(B109="",K109="Sold",K109="Donated"),"",TODAY()-B109)</f>
        <v/>
      </c>
      <c r="P109" s="25" t="str">
        <f aca="true">IF(OR(L109="",K109="Sold",K109="Donated"),"",TODAY()-L109)</f>
        <v/>
      </c>
      <c r="Q109" s="26" t="str">
        <f aca="false">IF(AND(K109="Listed",P109&lt;&gt;"",N(P109)&gt;Settings!$B$19),"STALE","")</f>
        <v/>
      </c>
      <c r="R109" s="27" t="str">
        <f aca="false">IF(Q109="STALE",COUNTIF($Q$4:Q109,"STALE"),"")</f>
        <v/>
      </c>
    </row>
    <row r="110" customFormat="false" ht="15" hidden="false" customHeight="false" outlineLevel="0" collapsed="false">
      <c r="A110" s="23" t="str">
        <f aca="false">IF(B110="","","SKU-"&amp;TEXT(ROW()-3,"0000"))</f>
        <v/>
      </c>
      <c r="B110" s="19"/>
      <c r="C110" s="10"/>
      <c r="D110" s="10"/>
      <c r="E110" s="10"/>
      <c r="F110" s="10"/>
      <c r="G110" s="10"/>
      <c r="H110" s="12"/>
      <c r="I110" s="12"/>
      <c r="J110" s="24" t="str">
        <f aca="false">IF(B110="","",N(H110)+N(I110))</f>
        <v/>
      </c>
      <c r="K110" s="10"/>
      <c r="L110" s="19"/>
      <c r="M110" s="12"/>
      <c r="N110" s="10"/>
      <c r="O110" s="25" t="str">
        <f aca="true">IF(OR(B110="",K110="Sold",K110="Donated"),"",TODAY()-B110)</f>
        <v/>
      </c>
      <c r="P110" s="25" t="str">
        <f aca="true">IF(OR(L110="",K110="Sold",K110="Donated"),"",TODAY()-L110)</f>
        <v/>
      </c>
      <c r="Q110" s="26" t="str">
        <f aca="false">IF(AND(K110="Listed",P110&lt;&gt;"",N(P110)&gt;Settings!$B$19),"STALE","")</f>
        <v/>
      </c>
      <c r="R110" s="27" t="str">
        <f aca="false">IF(Q110="STALE",COUNTIF($Q$4:Q110,"STALE"),"")</f>
        <v/>
      </c>
    </row>
    <row r="111" customFormat="false" ht="15" hidden="false" customHeight="false" outlineLevel="0" collapsed="false">
      <c r="A111" s="23" t="str">
        <f aca="false">IF(B111="","","SKU-"&amp;TEXT(ROW()-3,"0000"))</f>
        <v/>
      </c>
      <c r="B111" s="19"/>
      <c r="C111" s="10"/>
      <c r="D111" s="10"/>
      <c r="E111" s="10"/>
      <c r="F111" s="10"/>
      <c r="G111" s="10"/>
      <c r="H111" s="12"/>
      <c r="I111" s="12"/>
      <c r="J111" s="24" t="str">
        <f aca="false">IF(B111="","",N(H111)+N(I111))</f>
        <v/>
      </c>
      <c r="K111" s="10"/>
      <c r="L111" s="19"/>
      <c r="M111" s="12"/>
      <c r="N111" s="10"/>
      <c r="O111" s="25" t="str">
        <f aca="true">IF(OR(B111="",K111="Sold",K111="Donated"),"",TODAY()-B111)</f>
        <v/>
      </c>
      <c r="P111" s="25" t="str">
        <f aca="true">IF(OR(L111="",K111="Sold",K111="Donated"),"",TODAY()-L111)</f>
        <v/>
      </c>
      <c r="Q111" s="26" t="str">
        <f aca="false">IF(AND(K111="Listed",P111&lt;&gt;"",N(P111)&gt;Settings!$B$19),"STALE","")</f>
        <v/>
      </c>
      <c r="R111" s="27" t="str">
        <f aca="false">IF(Q111="STALE",COUNTIF($Q$4:Q111,"STALE"),"")</f>
        <v/>
      </c>
    </row>
    <row r="112" customFormat="false" ht="15" hidden="false" customHeight="false" outlineLevel="0" collapsed="false">
      <c r="A112" s="23" t="str">
        <f aca="false">IF(B112="","","SKU-"&amp;TEXT(ROW()-3,"0000"))</f>
        <v/>
      </c>
      <c r="B112" s="19"/>
      <c r="C112" s="10"/>
      <c r="D112" s="10"/>
      <c r="E112" s="10"/>
      <c r="F112" s="10"/>
      <c r="G112" s="10"/>
      <c r="H112" s="12"/>
      <c r="I112" s="12"/>
      <c r="J112" s="24" t="str">
        <f aca="false">IF(B112="","",N(H112)+N(I112))</f>
        <v/>
      </c>
      <c r="K112" s="10"/>
      <c r="L112" s="19"/>
      <c r="M112" s="12"/>
      <c r="N112" s="10"/>
      <c r="O112" s="25" t="str">
        <f aca="true">IF(OR(B112="",K112="Sold",K112="Donated"),"",TODAY()-B112)</f>
        <v/>
      </c>
      <c r="P112" s="25" t="str">
        <f aca="true">IF(OR(L112="",K112="Sold",K112="Donated"),"",TODAY()-L112)</f>
        <v/>
      </c>
      <c r="Q112" s="26" t="str">
        <f aca="false">IF(AND(K112="Listed",P112&lt;&gt;"",N(P112)&gt;Settings!$B$19),"STALE","")</f>
        <v/>
      </c>
      <c r="R112" s="27" t="str">
        <f aca="false">IF(Q112="STALE",COUNTIF($Q$4:Q112,"STALE"),"")</f>
        <v/>
      </c>
    </row>
    <row r="113" customFormat="false" ht="15" hidden="false" customHeight="false" outlineLevel="0" collapsed="false">
      <c r="A113" s="23" t="str">
        <f aca="false">IF(B113="","","SKU-"&amp;TEXT(ROW()-3,"0000"))</f>
        <v/>
      </c>
      <c r="B113" s="19"/>
      <c r="C113" s="10"/>
      <c r="D113" s="10"/>
      <c r="E113" s="10"/>
      <c r="F113" s="10"/>
      <c r="G113" s="10"/>
      <c r="H113" s="12"/>
      <c r="I113" s="12"/>
      <c r="J113" s="24" t="str">
        <f aca="false">IF(B113="","",N(H113)+N(I113))</f>
        <v/>
      </c>
      <c r="K113" s="10"/>
      <c r="L113" s="19"/>
      <c r="M113" s="12"/>
      <c r="N113" s="10"/>
      <c r="O113" s="25" t="str">
        <f aca="true">IF(OR(B113="",K113="Sold",K113="Donated"),"",TODAY()-B113)</f>
        <v/>
      </c>
      <c r="P113" s="25" t="str">
        <f aca="true">IF(OR(L113="",K113="Sold",K113="Donated"),"",TODAY()-L113)</f>
        <v/>
      </c>
      <c r="Q113" s="26" t="str">
        <f aca="false">IF(AND(K113="Listed",P113&lt;&gt;"",N(P113)&gt;Settings!$B$19),"STALE","")</f>
        <v/>
      </c>
      <c r="R113" s="27" t="str">
        <f aca="false">IF(Q113="STALE",COUNTIF($Q$4:Q113,"STALE"),"")</f>
        <v/>
      </c>
    </row>
    <row r="114" customFormat="false" ht="15" hidden="false" customHeight="false" outlineLevel="0" collapsed="false">
      <c r="A114" s="23" t="str">
        <f aca="false">IF(B114="","","SKU-"&amp;TEXT(ROW()-3,"0000"))</f>
        <v/>
      </c>
      <c r="B114" s="19"/>
      <c r="C114" s="10"/>
      <c r="D114" s="10"/>
      <c r="E114" s="10"/>
      <c r="F114" s="10"/>
      <c r="G114" s="10"/>
      <c r="H114" s="12"/>
      <c r="I114" s="12"/>
      <c r="J114" s="24" t="str">
        <f aca="false">IF(B114="","",N(H114)+N(I114))</f>
        <v/>
      </c>
      <c r="K114" s="10"/>
      <c r="L114" s="19"/>
      <c r="M114" s="12"/>
      <c r="N114" s="10"/>
      <c r="O114" s="25" t="str">
        <f aca="true">IF(OR(B114="",K114="Sold",K114="Donated"),"",TODAY()-B114)</f>
        <v/>
      </c>
      <c r="P114" s="25" t="str">
        <f aca="true">IF(OR(L114="",K114="Sold",K114="Donated"),"",TODAY()-L114)</f>
        <v/>
      </c>
      <c r="Q114" s="26" t="str">
        <f aca="false">IF(AND(K114="Listed",P114&lt;&gt;"",N(P114)&gt;Settings!$B$19),"STALE","")</f>
        <v/>
      </c>
      <c r="R114" s="27" t="str">
        <f aca="false">IF(Q114="STALE",COUNTIF($Q$4:Q114,"STALE"),"")</f>
        <v/>
      </c>
    </row>
    <row r="115" customFormat="false" ht="15" hidden="false" customHeight="false" outlineLevel="0" collapsed="false">
      <c r="A115" s="23" t="str">
        <f aca="false">IF(B115="","","SKU-"&amp;TEXT(ROW()-3,"0000"))</f>
        <v/>
      </c>
      <c r="B115" s="19"/>
      <c r="C115" s="10"/>
      <c r="D115" s="10"/>
      <c r="E115" s="10"/>
      <c r="F115" s="10"/>
      <c r="G115" s="10"/>
      <c r="H115" s="12"/>
      <c r="I115" s="12"/>
      <c r="J115" s="24" t="str">
        <f aca="false">IF(B115="","",N(H115)+N(I115))</f>
        <v/>
      </c>
      <c r="K115" s="10"/>
      <c r="L115" s="19"/>
      <c r="M115" s="12"/>
      <c r="N115" s="10"/>
      <c r="O115" s="25" t="str">
        <f aca="true">IF(OR(B115="",K115="Sold",K115="Donated"),"",TODAY()-B115)</f>
        <v/>
      </c>
      <c r="P115" s="25" t="str">
        <f aca="true">IF(OR(L115="",K115="Sold",K115="Donated"),"",TODAY()-L115)</f>
        <v/>
      </c>
      <c r="Q115" s="26" t="str">
        <f aca="false">IF(AND(K115="Listed",P115&lt;&gt;"",N(P115)&gt;Settings!$B$19),"STALE","")</f>
        <v/>
      </c>
      <c r="R115" s="27" t="str">
        <f aca="false">IF(Q115="STALE",COUNTIF($Q$4:Q115,"STALE"),"")</f>
        <v/>
      </c>
    </row>
    <row r="116" customFormat="false" ht="15" hidden="false" customHeight="false" outlineLevel="0" collapsed="false">
      <c r="A116" s="23" t="str">
        <f aca="false">IF(B116="","","SKU-"&amp;TEXT(ROW()-3,"0000"))</f>
        <v/>
      </c>
      <c r="B116" s="19"/>
      <c r="C116" s="10"/>
      <c r="D116" s="10"/>
      <c r="E116" s="10"/>
      <c r="F116" s="10"/>
      <c r="G116" s="10"/>
      <c r="H116" s="12"/>
      <c r="I116" s="12"/>
      <c r="J116" s="24" t="str">
        <f aca="false">IF(B116="","",N(H116)+N(I116))</f>
        <v/>
      </c>
      <c r="K116" s="10"/>
      <c r="L116" s="19"/>
      <c r="M116" s="12"/>
      <c r="N116" s="10"/>
      <c r="O116" s="25" t="str">
        <f aca="true">IF(OR(B116="",K116="Sold",K116="Donated"),"",TODAY()-B116)</f>
        <v/>
      </c>
      <c r="P116" s="25" t="str">
        <f aca="true">IF(OR(L116="",K116="Sold",K116="Donated"),"",TODAY()-L116)</f>
        <v/>
      </c>
      <c r="Q116" s="26" t="str">
        <f aca="false">IF(AND(K116="Listed",P116&lt;&gt;"",N(P116)&gt;Settings!$B$19),"STALE","")</f>
        <v/>
      </c>
      <c r="R116" s="27" t="str">
        <f aca="false">IF(Q116="STALE",COUNTIF($Q$4:Q116,"STALE"),"")</f>
        <v/>
      </c>
    </row>
    <row r="117" customFormat="false" ht="15" hidden="false" customHeight="false" outlineLevel="0" collapsed="false">
      <c r="A117" s="23" t="str">
        <f aca="false">IF(B117="","","SKU-"&amp;TEXT(ROW()-3,"0000"))</f>
        <v/>
      </c>
      <c r="B117" s="19"/>
      <c r="C117" s="10"/>
      <c r="D117" s="10"/>
      <c r="E117" s="10"/>
      <c r="F117" s="10"/>
      <c r="G117" s="10"/>
      <c r="H117" s="12"/>
      <c r="I117" s="12"/>
      <c r="J117" s="24" t="str">
        <f aca="false">IF(B117="","",N(H117)+N(I117))</f>
        <v/>
      </c>
      <c r="K117" s="10"/>
      <c r="L117" s="19"/>
      <c r="M117" s="12"/>
      <c r="N117" s="10"/>
      <c r="O117" s="25" t="str">
        <f aca="true">IF(OR(B117="",K117="Sold",K117="Donated"),"",TODAY()-B117)</f>
        <v/>
      </c>
      <c r="P117" s="25" t="str">
        <f aca="true">IF(OR(L117="",K117="Sold",K117="Donated"),"",TODAY()-L117)</f>
        <v/>
      </c>
      <c r="Q117" s="26" t="str">
        <f aca="false">IF(AND(K117="Listed",P117&lt;&gt;"",N(P117)&gt;Settings!$B$19),"STALE","")</f>
        <v/>
      </c>
      <c r="R117" s="27" t="str">
        <f aca="false">IF(Q117="STALE",COUNTIF($Q$4:Q117,"STALE"),"")</f>
        <v/>
      </c>
    </row>
    <row r="118" customFormat="false" ht="15" hidden="false" customHeight="false" outlineLevel="0" collapsed="false">
      <c r="A118" s="23" t="str">
        <f aca="false">IF(B118="","","SKU-"&amp;TEXT(ROW()-3,"0000"))</f>
        <v/>
      </c>
      <c r="B118" s="19"/>
      <c r="C118" s="10"/>
      <c r="D118" s="10"/>
      <c r="E118" s="10"/>
      <c r="F118" s="10"/>
      <c r="G118" s="10"/>
      <c r="H118" s="12"/>
      <c r="I118" s="12"/>
      <c r="J118" s="24" t="str">
        <f aca="false">IF(B118="","",N(H118)+N(I118))</f>
        <v/>
      </c>
      <c r="K118" s="10"/>
      <c r="L118" s="19"/>
      <c r="M118" s="12"/>
      <c r="N118" s="10"/>
      <c r="O118" s="25" t="str">
        <f aca="true">IF(OR(B118="",K118="Sold",K118="Donated"),"",TODAY()-B118)</f>
        <v/>
      </c>
      <c r="P118" s="25" t="str">
        <f aca="true">IF(OR(L118="",K118="Sold",K118="Donated"),"",TODAY()-L118)</f>
        <v/>
      </c>
      <c r="Q118" s="26" t="str">
        <f aca="false">IF(AND(K118="Listed",P118&lt;&gt;"",N(P118)&gt;Settings!$B$19),"STALE","")</f>
        <v/>
      </c>
      <c r="R118" s="27" t="str">
        <f aca="false">IF(Q118="STALE",COUNTIF($Q$4:Q118,"STALE"),"")</f>
        <v/>
      </c>
    </row>
    <row r="119" customFormat="false" ht="15" hidden="false" customHeight="false" outlineLevel="0" collapsed="false">
      <c r="A119" s="23" t="str">
        <f aca="false">IF(B119="","","SKU-"&amp;TEXT(ROW()-3,"0000"))</f>
        <v/>
      </c>
      <c r="B119" s="19"/>
      <c r="C119" s="10"/>
      <c r="D119" s="10"/>
      <c r="E119" s="10"/>
      <c r="F119" s="10"/>
      <c r="G119" s="10"/>
      <c r="H119" s="12"/>
      <c r="I119" s="12"/>
      <c r="J119" s="24" t="str">
        <f aca="false">IF(B119="","",N(H119)+N(I119))</f>
        <v/>
      </c>
      <c r="K119" s="10"/>
      <c r="L119" s="19"/>
      <c r="M119" s="12"/>
      <c r="N119" s="10"/>
      <c r="O119" s="25" t="str">
        <f aca="true">IF(OR(B119="",K119="Sold",K119="Donated"),"",TODAY()-B119)</f>
        <v/>
      </c>
      <c r="P119" s="25" t="str">
        <f aca="true">IF(OR(L119="",K119="Sold",K119="Donated"),"",TODAY()-L119)</f>
        <v/>
      </c>
      <c r="Q119" s="26" t="str">
        <f aca="false">IF(AND(K119="Listed",P119&lt;&gt;"",N(P119)&gt;Settings!$B$19),"STALE","")</f>
        <v/>
      </c>
      <c r="R119" s="27" t="str">
        <f aca="false">IF(Q119="STALE",COUNTIF($Q$4:Q119,"STALE"),"")</f>
        <v/>
      </c>
    </row>
    <row r="120" customFormat="false" ht="15" hidden="false" customHeight="false" outlineLevel="0" collapsed="false">
      <c r="A120" s="23" t="str">
        <f aca="false">IF(B120="","","SKU-"&amp;TEXT(ROW()-3,"0000"))</f>
        <v/>
      </c>
      <c r="B120" s="19"/>
      <c r="C120" s="10"/>
      <c r="D120" s="10"/>
      <c r="E120" s="10"/>
      <c r="F120" s="10"/>
      <c r="G120" s="10"/>
      <c r="H120" s="12"/>
      <c r="I120" s="12"/>
      <c r="J120" s="24" t="str">
        <f aca="false">IF(B120="","",N(H120)+N(I120))</f>
        <v/>
      </c>
      <c r="K120" s="10"/>
      <c r="L120" s="19"/>
      <c r="M120" s="12"/>
      <c r="N120" s="10"/>
      <c r="O120" s="25" t="str">
        <f aca="true">IF(OR(B120="",K120="Sold",K120="Donated"),"",TODAY()-B120)</f>
        <v/>
      </c>
      <c r="P120" s="25" t="str">
        <f aca="true">IF(OR(L120="",K120="Sold",K120="Donated"),"",TODAY()-L120)</f>
        <v/>
      </c>
      <c r="Q120" s="26" t="str">
        <f aca="false">IF(AND(K120="Listed",P120&lt;&gt;"",N(P120)&gt;Settings!$B$19),"STALE","")</f>
        <v/>
      </c>
      <c r="R120" s="27" t="str">
        <f aca="false">IF(Q120="STALE",COUNTIF($Q$4:Q120,"STALE"),"")</f>
        <v/>
      </c>
    </row>
    <row r="121" customFormat="false" ht="15" hidden="false" customHeight="false" outlineLevel="0" collapsed="false">
      <c r="A121" s="23" t="str">
        <f aca="false">IF(B121="","","SKU-"&amp;TEXT(ROW()-3,"0000"))</f>
        <v/>
      </c>
      <c r="B121" s="19"/>
      <c r="C121" s="10"/>
      <c r="D121" s="10"/>
      <c r="E121" s="10"/>
      <c r="F121" s="10"/>
      <c r="G121" s="10"/>
      <c r="H121" s="12"/>
      <c r="I121" s="12"/>
      <c r="J121" s="24" t="str">
        <f aca="false">IF(B121="","",N(H121)+N(I121))</f>
        <v/>
      </c>
      <c r="K121" s="10"/>
      <c r="L121" s="19"/>
      <c r="M121" s="12"/>
      <c r="N121" s="10"/>
      <c r="O121" s="25" t="str">
        <f aca="true">IF(OR(B121="",K121="Sold",K121="Donated"),"",TODAY()-B121)</f>
        <v/>
      </c>
      <c r="P121" s="25" t="str">
        <f aca="true">IF(OR(L121="",K121="Sold",K121="Donated"),"",TODAY()-L121)</f>
        <v/>
      </c>
      <c r="Q121" s="26" t="str">
        <f aca="false">IF(AND(K121="Listed",P121&lt;&gt;"",N(P121)&gt;Settings!$B$19),"STALE","")</f>
        <v/>
      </c>
      <c r="R121" s="27" t="str">
        <f aca="false">IF(Q121="STALE",COUNTIF($Q$4:Q121,"STALE"),"")</f>
        <v/>
      </c>
    </row>
    <row r="122" customFormat="false" ht="15" hidden="false" customHeight="false" outlineLevel="0" collapsed="false">
      <c r="A122" s="23" t="str">
        <f aca="false">IF(B122="","","SKU-"&amp;TEXT(ROW()-3,"0000"))</f>
        <v/>
      </c>
      <c r="B122" s="19"/>
      <c r="C122" s="10"/>
      <c r="D122" s="10"/>
      <c r="E122" s="10"/>
      <c r="F122" s="10"/>
      <c r="G122" s="10"/>
      <c r="H122" s="12"/>
      <c r="I122" s="12"/>
      <c r="J122" s="24" t="str">
        <f aca="false">IF(B122="","",N(H122)+N(I122))</f>
        <v/>
      </c>
      <c r="K122" s="10"/>
      <c r="L122" s="19"/>
      <c r="M122" s="12"/>
      <c r="N122" s="10"/>
      <c r="O122" s="25" t="str">
        <f aca="true">IF(OR(B122="",K122="Sold",K122="Donated"),"",TODAY()-B122)</f>
        <v/>
      </c>
      <c r="P122" s="25" t="str">
        <f aca="true">IF(OR(L122="",K122="Sold",K122="Donated"),"",TODAY()-L122)</f>
        <v/>
      </c>
      <c r="Q122" s="26" t="str">
        <f aca="false">IF(AND(K122="Listed",P122&lt;&gt;"",N(P122)&gt;Settings!$B$19),"STALE","")</f>
        <v/>
      </c>
      <c r="R122" s="27" t="str">
        <f aca="false">IF(Q122="STALE",COUNTIF($Q$4:Q122,"STALE"),"")</f>
        <v/>
      </c>
    </row>
    <row r="123" customFormat="false" ht="15" hidden="false" customHeight="false" outlineLevel="0" collapsed="false">
      <c r="A123" s="23" t="str">
        <f aca="false">IF(B123="","","SKU-"&amp;TEXT(ROW()-3,"0000"))</f>
        <v/>
      </c>
      <c r="B123" s="19"/>
      <c r="C123" s="10"/>
      <c r="D123" s="10"/>
      <c r="E123" s="10"/>
      <c r="F123" s="10"/>
      <c r="G123" s="10"/>
      <c r="H123" s="12"/>
      <c r="I123" s="12"/>
      <c r="J123" s="24" t="str">
        <f aca="false">IF(B123="","",N(H123)+N(I123))</f>
        <v/>
      </c>
      <c r="K123" s="10"/>
      <c r="L123" s="19"/>
      <c r="M123" s="12"/>
      <c r="N123" s="10"/>
      <c r="O123" s="25" t="str">
        <f aca="true">IF(OR(B123="",K123="Sold",K123="Donated"),"",TODAY()-B123)</f>
        <v/>
      </c>
      <c r="P123" s="25" t="str">
        <f aca="true">IF(OR(L123="",K123="Sold",K123="Donated"),"",TODAY()-L123)</f>
        <v/>
      </c>
      <c r="Q123" s="26" t="str">
        <f aca="false">IF(AND(K123="Listed",P123&lt;&gt;"",N(P123)&gt;Settings!$B$19),"STALE","")</f>
        <v/>
      </c>
      <c r="R123" s="27" t="str">
        <f aca="false">IF(Q123="STALE",COUNTIF($Q$4:Q123,"STALE"),"")</f>
        <v/>
      </c>
    </row>
    <row r="124" customFormat="false" ht="15" hidden="false" customHeight="false" outlineLevel="0" collapsed="false">
      <c r="A124" s="23" t="str">
        <f aca="false">IF(B124="","","SKU-"&amp;TEXT(ROW()-3,"0000"))</f>
        <v/>
      </c>
      <c r="B124" s="19"/>
      <c r="C124" s="10"/>
      <c r="D124" s="10"/>
      <c r="E124" s="10"/>
      <c r="F124" s="10"/>
      <c r="G124" s="10"/>
      <c r="H124" s="12"/>
      <c r="I124" s="12"/>
      <c r="J124" s="24" t="str">
        <f aca="false">IF(B124="","",N(H124)+N(I124))</f>
        <v/>
      </c>
      <c r="K124" s="10"/>
      <c r="L124" s="19"/>
      <c r="M124" s="12"/>
      <c r="N124" s="10"/>
      <c r="O124" s="25" t="str">
        <f aca="true">IF(OR(B124="",K124="Sold",K124="Donated"),"",TODAY()-B124)</f>
        <v/>
      </c>
      <c r="P124" s="25" t="str">
        <f aca="true">IF(OR(L124="",K124="Sold",K124="Donated"),"",TODAY()-L124)</f>
        <v/>
      </c>
      <c r="Q124" s="26" t="str">
        <f aca="false">IF(AND(K124="Listed",P124&lt;&gt;"",N(P124)&gt;Settings!$B$19),"STALE","")</f>
        <v/>
      </c>
      <c r="R124" s="27" t="str">
        <f aca="false">IF(Q124="STALE",COUNTIF($Q$4:Q124,"STALE"),"")</f>
        <v/>
      </c>
    </row>
    <row r="125" customFormat="false" ht="15" hidden="false" customHeight="false" outlineLevel="0" collapsed="false">
      <c r="A125" s="23" t="str">
        <f aca="false">IF(B125="","","SKU-"&amp;TEXT(ROW()-3,"0000"))</f>
        <v/>
      </c>
      <c r="B125" s="19"/>
      <c r="C125" s="10"/>
      <c r="D125" s="10"/>
      <c r="E125" s="10"/>
      <c r="F125" s="10"/>
      <c r="G125" s="10"/>
      <c r="H125" s="12"/>
      <c r="I125" s="12"/>
      <c r="J125" s="24" t="str">
        <f aca="false">IF(B125="","",N(H125)+N(I125))</f>
        <v/>
      </c>
      <c r="K125" s="10"/>
      <c r="L125" s="19"/>
      <c r="M125" s="12"/>
      <c r="N125" s="10"/>
      <c r="O125" s="25" t="str">
        <f aca="true">IF(OR(B125="",K125="Sold",K125="Donated"),"",TODAY()-B125)</f>
        <v/>
      </c>
      <c r="P125" s="25" t="str">
        <f aca="true">IF(OR(L125="",K125="Sold",K125="Donated"),"",TODAY()-L125)</f>
        <v/>
      </c>
      <c r="Q125" s="26" t="str">
        <f aca="false">IF(AND(K125="Listed",P125&lt;&gt;"",N(P125)&gt;Settings!$B$19),"STALE","")</f>
        <v/>
      </c>
      <c r="R125" s="27" t="str">
        <f aca="false">IF(Q125="STALE",COUNTIF($Q$4:Q125,"STALE"),"")</f>
        <v/>
      </c>
    </row>
    <row r="126" customFormat="false" ht="15" hidden="false" customHeight="false" outlineLevel="0" collapsed="false">
      <c r="A126" s="23" t="str">
        <f aca="false">IF(B126="","","SKU-"&amp;TEXT(ROW()-3,"0000"))</f>
        <v/>
      </c>
      <c r="B126" s="19"/>
      <c r="C126" s="10"/>
      <c r="D126" s="10"/>
      <c r="E126" s="10"/>
      <c r="F126" s="10"/>
      <c r="G126" s="10"/>
      <c r="H126" s="12"/>
      <c r="I126" s="12"/>
      <c r="J126" s="24" t="str">
        <f aca="false">IF(B126="","",N(H126)+N(I126))</f>
        <v/>
      </c>
      <c r="K126" s="10"/>
      <c r="L126" s="19"/>
      <c r="M126" s="12"/>
      <c r="N126" s="10"/>
      <c r="O126" s="25" t="str">
        <f aca="true">IF(OR(B126="",K126="Sold",K126="Donated"),"",TODAY()-B126)</f>
        <v/>
      </c>
      <c r="P126" s="25" t="str">
        <f aca="true">IF(OR(L126="",K126="Sold",K126="Donated"),"",TODAY()-L126)</f>
        <v/>
      </c>
      <c r="Q126" s="26" t="str">
        <f aca="false">IF(AND(K126="Listed",P126&lt;&gt;"",N(P126)&gt;Settings!$B$19),"STALE","")</f>
        <v/>
      </c>
      <c r="R126" s="27" t="str">
        <f aca="false">IF(Q126="STALE",COUNTIF($Q$4:Q126,"STALE"),"")</f>
        <v/>
      </c>
    </row>
    <row r="127" customFormat="false" ht="15" hidden="false" customHeight="false" outlineLevel="0" collapsed="false">
      <c r="A127" s="23" t="str">
        <f aca="false">IF(B127="","","SKU-"&amp;TEXT(ROW()-3,"0000"))</f>
        <v/>
      </c>
      <c r="B127" s="19"/>
      <c r="C127" s="10"/>
      <c r="D127" s="10"/>
      <c r="E127" s="10"/>
      <c r="F127" s="10"/>
      <c r="G127" s="10"/>
      <c r="H127" s="12"/>
      <c r="I127" s="12"/>
      <c r="J127" s="24" t="str">
        <f aca="false">IF(B127="","",N(H127)+N(I127))</f>
        <v/>
      </c>
      <c r="K127" s="10"/>
      <c r="L127" s="19"/>
      <c r="M127" s="12"/>
      <c r="N127" s="10"/>
      <c r="O127" s="25" t="str">
        <f aca="true">IF(OR(B127="",K127="Sold",K127="Donated"),"",TODAY()-B127)</f>
        <v/>
      </c>
      <c r="P127" s="25" t="str">
        <f aca="true">IF(OR(L127="",K127="Sold",K127="Donated"),"",TODAY()-L127)</f>
        <v/>
      </c>
      <c r="Q127" s="26" t="str">
        <f aca="false">IF(AND(K127="Listed",P127&lt;&gt;"",N(P127)&gt;Settings!$B$19),"STALE","")</f>
        <v/>
      </c>
      <c r="R127" s="27" t="str">
        <f aca="false">IF(Q127="STALE",COUNTIF($Q$4:Q127,"STALE"),"")</f>
        <v/>
      </c>
    </row>
    <row r="128" customFormat="false" ht="15" hidden="false" customHeight="false" outlineLevel="0" collapsed="false">
      <c r="A128" s="23" t="str">
        <f aca="false">IF(B128="","","SKU-"&amp;TEXT(ROW()-3,"0000"))</f>
        <v/>
      </c>
      <c r="B128" s="19"/>
      <c r="C128" s="10"/>
      <c r="D128" s="10"/>
      <c r="E128" s="10"/>
      <c r="F128" s="10"/>
      <c r="G128" s="10"/>
      <c r="H128" s="12"/>
      <c r="I128" s="12"/>
      <c r="J128" s="24" t="str">
        <f aca="false">IF(B128="","",N(H128)+N(I128))</f>
        <v/>
      </c>
      <c r="K128" s="10"/>
      <c r="L128" s="19"/>
      <c r="M128" s="12"/>
      <c r="N128" s="10"/>
      <c r="O128" s="25" t="str">
        <f aca="true">IF(OR(B128="",K128="Sold",K128="Donated"),"",TODAY()-B128)</f>
        <v/>
      </c>
      <c r="P128" s="25" t="str">
        <f aca="true">IF(OR(L128="",K128="Sold",K128="Donated"),"",TODAY()-L128)</f>
        <v/>
      </c>
      <c r="Q128" s="26" t="str">
        <f aca="false">IF(AND(K128="Listed",P128&lt;&gt;"",N(P128)&gt;Settings!$B$19),"STALE","")</f>
        <v/>
      </c>
      <c r="R128" s="27" t="str">
        <f aca="false">IF(Q128="STALE",COUNTIF($Q$4:Q128,"STALE"),"")</f>
        <v/>
      </c>
    </row>
    <row r="129" customFormat="false" ht="15" hidden="false" customHeight="false" outlineLevel="0" collapsed="false">
      <c r="A129" s="23" t="str">
        <f aca="false">IF(B129="","","SKU-"&amp;TEXT(ROW()-3,"0000"))</f>
        <v/>
      </c>
      <c r="B129" s="19"/>
      <c r="C129" s="10"/>
      <c r="D129" s="10"/>
      <c r="E129" s="10"/>
      <c r="F129" s="10"/>
      <c r="G129" s="10"/>
      <c r="H129" s="12"/>
      <c r="I129" s="12"/>
      <c r="J129" s="24" t="str">
        <f aca="false">IF(B129="","",N(H129)+N(I129))</f>
        <v/>
      </c>
      <c r="K129" s="10"/>
      <c r="L129" s="19"/>
      <c r="M129" s="12"/>
      <c r="N129" s="10"/>
      <c r="O129" s="25" t="str">
        <f aca="true">IF(OR(B129="",K129="Sold",K129="Donated"),"",TODAY()-B129)</f>
        <v/>
      </c>
      <c r="P129" s="25" t="str">
        <f aca="true">IF(OR(L129="",K129="Sold",K129="Donated"),"",TODAY()-L129)</f>
        <v/>
      </c>
      <c r="Q129" s="26" t="str">
        <f aca="false">IF(AND(K129="Listed",P129&lt;&gt;"",N(P129)&gt;Settings!$B$19),"STALE","")</f>
        <v/>
      </c>
      <c r="R129" s="27" t="str">
        <f aca="false">IF(Q129="STALE",COUNTIF($Q$4:Q129,"STALE"),"")</f>
        <v/>
      </c>
    </row>
    <row r="130" customFormat="false" ht="15" hidden="false" customHeight="false" outlineLevel="0" collapsed="false">
      <c r="A130" s="23" t="str">
        <f aca="false">IF(B130="","","SKU-"&amp;TEXT(ROW()-3,"0000"))</f>
        <v/>
      </c>
      <c r="B130" s="19"/>
      <c r="C130" s="10"/>
      <c r="D130" s="10"/>
      <c r="E130" s="10"/>
      <c r="F130" s="10"/>
      <c r="G130" s="10"/>
      <c r="H130" s="12"/>
      <c r="I130" s="12"/>
      <c r="J130" s="24" t="str">
        <f aca="false">IF(B130="","",N(H130)+N(I130))</f>
        <v/>
      </c>
      <c r="K130" s="10"/>
      <c r="L130" s="19"/>
      <c r="M130" s="12"/>
      <c r="N130" s="10"/>
      <c r="O130" s="25" t="str">
        <f aca="true">IF(OR(B130="",K130="Sold",K130="Donated"),"",TODAY()-B130)</f>
        <v/>
      </c>
      <c r="P130" s="25" t="str">
        <f aca="true">IF(OR(L130="",K130="Sold",K130="Donated"),"",TODAY()-L130)</f>
        <v/>
      </c>
      <c r="Q130" s="26" t="str">
        <f aca="false">IF(AND(K130="Listed",P130&lt;&gt;"",N(P130)&gt;Settings!$B$19),"STALE","")</f>
        <v/>
      </c>
      <c r="R130" s="27" t="str">
        <f aca="false">IF(Q130="STALE",COUNTIF($Q$4:Q130,"STALE"),"")</f>
        <v/>
      </c>
    </row>
    <row r="131" customFormat="false" ht="15" hidden="false" customHeight="false" outlineLevel="0" collapsed="false">
      <c r="A131" s="23" t="str">
        <f aca="false">IF(B131="","","SKU-"&amp;TEXT(ROW()-3,"0000"))</f>
        <v/>
      </c>
      <c r="B131" s="19"/>
      <c r="C131" s="10"/>
      <c r="D131" s="10"/>
      <c r="E131" s="10"/>
      <c r="F131" s="10"/>
      <c r="G131" s="10"/>
      <c r="H131" s="12"/>
      <c r="I131" s="12"/>
      <c r="J131" s="24" t="str">
        <f aca="false">IF(B131="","",N(H131)+N(I131))</f>
        <v/>
      </c>
      <c r="K131" s="10"/>
      <c r="L131" s="19"/>
      <c r="M131" s="12"/>
      <c r="N131" s="10"/>
      <c r="O131" s="25" t="str">
        <f aca="true">IF(OR(B131="",K131="Sold",K131="Donated"),"",TODAY()-B131)</f>
        <v/>
      </c>
      <c r="P131" s="25" t="str">
        <f aca="true">IF(OR(L131="",K131="Sold",K131="Donated"),"",TODAY()-L131)</f>
        <v/>
      </c>
      <c r="Q131" s="26" t="str">
        <f aca="false">IF(AND(K131="Listed",P131&lt;&gt;"",N(P131)&gt;Settings!$B$19),"STALE","")</f>
        <v/>
      </c>
      <c r="R131" s="27" t="str">
        <f aca="false">IF(Q131="STALE",COUNTIF($Q$4:Q131,"STALE"),"")</f>
        <v/>
      </c>
    </row>
    <row r="132" customFormat="false" ht="15" hidden="false" customHeight="false" outlineLevel="0" collapsed="false">
      <c r="A132" s="23" t="str">
        <f aca="false">IF(B132="","","SKU-"&amp;TEXT(ROW()-3,"0000"))</f>
        <v/>
      </c>
      <c r="B132" s="19"/>
      <c r="C132" s="10"/>
      <c r="D132" s="10"/>
      <c r="E132" s="10"/>
      <c r="F132" s="10"/>
      <c r="G132" s="10"/>
      <c r="H132" s="12"/>
      <c r="I132" s="12"/>
      <c r="J132" s="24" t="str">
        <f aca="false">IF(B132="","",N(H132)+N(I132))</f>
        <v/>
      </c>
      <c r="K132" s="10"/>
      <c r="L132" s="19"/>
      <c r="M132" s="12"/>
      <c r="N132" s="10"/>
      <c r="O132" s="25" t="str">
        <f aca="true">IF(OR(B132="",K132="Sold",K132="Donated"),"",TODAY()-B132)</f>
        <v/>
      </c>
      <c r="P132" s="25" t="str">
        <f aca="true">IF(OR(L132="",K132="Sold",K132="Donated"),"",TODAY()-L132)</f>
        <v/>
      </c>
      <c r="Q132" s="26" t="str">
        <f aca="false">IF(AND(K132="Listed",P132&lt;&gt;"",N(P132)&gt;Settings!$B$19),"STALE","")</f>
        <v/>
      </c>
      <c r="R132" s="27" t="str">
        <f aca="false">IF(Q132="STALE",COUNTIF($Q$4:Q132,"STALE"),"")</f>
        <v/>
      </c>
    </row>
    <row r="133" customFormat="false" ht="15" hidden="false" customHeight="false" outlineLevel="0" collapsed="false">
      <c r="A133" s="23" t="str">
        <f aca="false">IF(B133="","","SKU-"&amp;TEXT(ROW()-3,"0000"))</f>
        <v/>
      </c>
      <c r="B133" s="19"/>
      <c r="C133" s="10"/>
      <c r="D133" s="10"/>
      <c r="E133" s="10"/>
      <c r="F133" s="10"/>
      <c r="G133" s="10"/>
      <c r="H133" s="12"/>
      <c r="I133" s="12"/>
      <c r="J133" s="24" t="str">
        <f aca="false">IF(B133="","",N(H133)+N(I133))</f>
        <v/>
      </c>
      <c r="K133" s="10"/>
      <c r="L133" s="19"/>
      <c r="M133" s="12"/>
      <c r="N133" s="10"/>
      <c r="O133" s="25" t="str">
        <f aca="true">IF(OR(B133="",K133="Sold",K133="Donated"),"",TODAY()-B133)</f>
        <v/>
      </c>
      <c r="P133" s="25" t="str">
        <f aca="true">IF(OR(L133="",K133="Sold",K133="Donated"),"",TODAY()-L133)</f>
        <v/>
      </c>
      <c r="Q133" s="26" t="str">
        <f aca="false">IF(AND(K133="Listed",P133&lt;&gt;"",N(P133)&gt;Settings!$B$19),"STALE","")</f>
        <v/>
      </c>
      <c r="R133" s="27" t="str">
        <f aca="false">IF(Q133="STALE",COUNTIF($Q$4:Q133,"STALE"),"")</f>
        <v/>
      </c>
    </row>
    <row r="134" customFormat="false" ht="15" hidden="false" customHeight="false" outlineLevel="0" collapsed="false">
      <c r="A134" s="23" t="str">
        <f aca="false">IF(B134="","","SKU-"&amp;TEXT(ROW()-3,"0000"))</f>
        <v/>
      </c>
      <c r="B134" s="19"/>
      <c r="C134" s="10"/>
      <c r="D134" s="10"/>
      <c r="E134" s="10"/>
      <c r="F134" s="10"/>
      <c r="G134" s="10"/>
      <c r="H134" s="12"/>
      <c r="I134" s="12"/>
      <c r="J134" s="24" t="str">
        <f aca="false">IF(B134="","",N(H134)+N(I134))</f>
        <v/>
      </c>
      <c r="K134" s="10"/>
      <c r="L134" s="19"/>
      <c r="M134" s="12"/>
      <c r="N134" s="10"/>
      <c r="O134" s="25" t="str">
        <f aca="true">IF(OR(B134="",K134="Sold",K134="Donated"),"",TODAY()-B134)</f>
        <v/>
      </c>
      <c r="P134" s="25" t="str">
        <f aca="true">IF(OR(L134="",K134="Sold",K134="Donated"),"",TODAY()-L134)</f>
        <v/>
      </c>
      <c r="Q134" s="26" t="str">
        <f aca="false">IF(AND(K134="Listed",P134&lt;&gt;"",N(P134)&gt;Settings!$B$19),"STALE","")</f>
        <v/>
      </c>
      <c r="R134" s="27" t="str">
        <f aca="false">IF(Q134="STALE",COUNTIF($Q$4:Q134,"STALE"),"")</f>
        <v/>
      </c>
    </row>
    <row r="135" customFormat="false" ht="15" hidden="false" customHeight="false" outlineLevel="0" collapsed="false">
      <c r="A135" s="23" t="str">
        <f aca="false">IF(B135="","","SKU-"&amp;TEXT(ROW()-3,"0000"))</f>
        <v/>
      </c>
      <c r="B135" s="19"/>
      <c r="C135" s="10"/>
      <c r="D135" s="10"/>
      <c r="E135" s="10"/>
      <c r="F135" s="10"/>
      <c r="G135" s="10"/>
      <c r="H135" s="12"/>
      <c r="I135" s="12"/>
      <c r="J135" s="24" t="str">
        <f aca="false">IF(B135="","",N(H135)+N(I135))</f>
        <v/>
      </c>
      <c r="K135" s="10"/>
      <c r="L135" s="19"/>
      <c r="M135" s="12"/>
      <c r="N135" s="10"/>
      <c r="O135" s="25" t="str">
        <f aca="true">IF(OR(B135="",K135="Sold",K135="Donated"),"",TODAY()-B135)</f>
        <v/>
      </c>
      <c r="P135" s="25" t="str">
        <f aca="true">IF(OR(L135="",K135="Sold",K135="Donated"),"",TODAY()-L135)</f>
        <v/>
      </c>
      <c r="Q135" s="26" t="str">
        <f aca="false">IF(AND(K135="Listed",P135&lt;&gt;"",N(P135)&gt;Settings!$B$19),"STALE","")</f>
        <v/>
      </c>
      <c r="R135" s="27" t="str">
        <f aca="false">IF(Q135="STALE",COUNTIF($Q$4:Q135,"STALE"),"")</f>
        <v/>
      </c>
    </row>
    <row r="136" customFormat="false" ht="15" hidden="false" customHeight="false" outlineLevel="0" collapsed="false">
      <c r="A136" s="23" t="str">
        <f aca="false">IF(B136="","","SKU-"&amp;TEXT(ROW()-3,"0000"))</f>
        <v/>
      </c>
      <c r="B136" s="19"/>
      <c r="C136" s="10"/>
      <c r="D136" s="10"/>
      <c r="E136" s="10"/>
      <c r="F136" s="10"/>
      <c r="G136" s="10"/>
      <c r="H136" s="12"/>
      <c r="I136" s="12"/>
      <c r="J136" s="24" t="str">
        <f aca="false">IF(B136="","",N(H136)+N(I136))</f>
        <v/>
      </c>
      <c r="K136" s="10"/>
      <c r="L136" s="19"/>
      <c r="M136" s="12"/>
      <c r="N136" s="10"/>
      <c r="O136" s="25" t="str">
        <f aca="true">IF(OR(B136="",K136="Sold",K136="Donated"),"",TODAY()-B136)</f>
        <v/>
      </c>
      <c r="P136" s="25" t="str">
        <f aca="true">IF(OR(L136="",K136="Sold",K136="Donated"),"",TODAY()-L136)</f>
        <v/>
      </c>
      <c r="Q136" s="26" t="str">
        <f aca="false">IF(AND(K136="Listed",P136&lt;&gt;"",N(P136)&gt;Settings!$B$19),"STALE","")</f>
        <v/>
      </c>
      <c r="R136" s="27" t="str">
        <f aca="false">IF(Q136="STALE",COUNTIF($Q$4:Q136,"STALE"),"")</f>
        <v/>
      </c>
    </row>
    <row r="137" customFormat="false" ht="15" hidden="false" customHeight="false" outlineLevel="0" collapsed="false">
      <c r="A137" s="23" t="str">
        <f aca="false">IF(B137="","","SKU-"&amp;TEXT(ROW()-3,"0000"))</f>
        <v/>
      </c>
      <c r="B137" s="19"/>
      <c r="C137" s="10"/>
      <c r="D137" s="10"/>
      <c r="E137" s="10"/>
      <c r="F137" s="10"/>
      <c r="G137" s="10"/>
      <c r="H137" s="12"/>
      <c r="I137" s="12"/>
      <c r="J137" s="24" t="str">
        <f aca="false">IF(B137="","",N(H137)+N(I137))</f>
        <v/>
      </c>
      <c r="K137" s="10"/>
      <c r="L137" s="19"/>
      <c r="M137" s="12"/>
      <c r="N137" s="10"/>
      <c r="O137" s="25" t="str">
        <f aca="true">IF(OR(B137="",K137="Sold",K137="Donated"),"",TODAY()-B137)</f>
        <v/>
      </c>
      <c r="P137" s="25" t="str">
        <f aca="true">IF(OR(L137="",K137="Sold",K137="Donated"),"",TODAY()-L137)</f>
        <v/>
      </c>
      <c r="Q137" s="26" t="str">
        <f aca="false">IF(AND(K137="Listed",P137&lt;&gt;"",N(P137)&gt;Settings!$B$19),"STALE","")</f>
        <v/>
      </c>
      <c r="R137" s="27" t="str">
        <f aca="false">IF(Q137="STALE",COUNTIF($Q$4:Q137,"STALE"),"")</f>
        <v/>
      </c>
    </row>
    <row r="138" customFormat="false" ht="15" hidden="false" customHeight="false" outlineLevel="0" collapsed="false">
      <c r="A138" s="23" t="str">
        <f aca="false">IF(B138="","","SKU-"&amp;TEXT(ROW()-3,"0000"))</f>
        <v/>
      </c>
      <c r="B138" s="19"/>
      <c r="C138" s="10"/>
      <c r="D138" s="10"/>
      <c r="E138" s="10"/>
      <c r="F138" s="10"/>
      <c r="G138" s="10"/>
      <c r="H138" s="12"/>
      <c r="I138" s="12"/>
      <c r="J138" s="24" t="str">
        <f aca="false">IF(B138="","",N(H138)+N(I138))</f>
        <v/>
      </c>
      <c r="K138" s="10"/>
      <c r="L138" s="19"/>
      <c r="M138" s="12"/>
      <c r="N138" s="10"/>
      <c r="O138" s="25" t="str">
        <f aca="true">IF(OR(B138="",K138="Sold",K138="Donated"),"",TODAY()-B138)</f>
        <v/>
      </c>
      <c r="P138" s="25" t="str">
        <f aca="true">IF(OR(L138="",K138="Sold",K138="Donated"),"",TODAY()-L138)</f>
        <v/>
      </c>
      <c r="Q138" s="26" t="str">
        <f aca="false">IF(AND(K138="Listed",P138&lt;&gt;"",N(P138)&gt;Settings!$B$19),"STALE","")</f>
        <v/>
      </c>
      <c r="R138" s="27" t="str">
        <f aca="false">IF(Q138="STALE",COUNTIF($Q$4:Q138,"STALE"),"")</f>
        <v/>
      </c>
    </row>
    <row r="139" customFormat="false" ht="15" hidden="false" customHeight="false" outlineLevel="0" collapsed="false">
      <c r="A139" s="23" t="str">
        <f aca="false">IF(B139="","","SKU-"&amp;TEXT(ROW()-3,"0000"))</f>
        <v/>
      </c>
      <c r="B139" s="19"/>
      <c r="C139" s="10"/>
      <c r="D139" s="10"/>
      <c r="E139" s="10"/>
      <c r="F139" s="10"/>
      <c r="G139" s="10"/>
      <c r="H139" s="12"/>
      <c r="I139" s="12"/>
      <c r="J139" s="24" t="str">
        <f aca="false">IF(B139="","",N(H139)+N(I139))</f>
        <v/>
      </c>
      <c r="K139" s="10"/>
      <c r="L139" s="19"/>
      <c r="M139" s="12"/>
      <c r="N139" s="10"/>
      <c r="O139" s="25" t="str">
        <f aca="true">IF(OR(B139="",K139="Sold",K139="Donated"),"",TODAY()-B139)</f>
        <v/>
      </c>
      <c r="P139" s="25" t="str">
        <f aca="true">IF(OR(L139="",K139="Sold",K139="Donated"),"",TODAY()-L139)</f>
        <v/>
      </c>
      <c r="Q139" s="26" t="str">
        <f aca="false">IF(AND(K139="Listed",P139&lt;&gt;"",N(P139)&gt;Settings!$B$19),"STALE","")</f>
        <v/>
      </c>
      <c r="R139" s="27" t="str">
        <f aca="false">IF(Q139="STALE",COUNTIF($Q$4:Q139,"STALE"),"")</f>
        <v/>
      </c>
    </row>
    <row r="140" customFormat="false" ht="15" hidden="false" customHeight="false" outlineLevel="0" collapsed="false">
      <c r="A140" s="23" t="str">
        <f aca="false">IF(B140="","","SKU-"&amp;TEXT(ROW()-3,"0000"))</f>
        <v/>
      </c>
      <c r="B140" s="19"/>
      <c r="C140" s="10"/>
      <c r="D140" s="10"/>
      <c r="E140" s="10"/>
      <c r="F140" s="10"/>
      <c r="G140" s="10"/>
      <c r="H140" s="12"/>
      <c r="I140" s="12"/>
      <c r="J140" s="24" t="str">
        <f aca="false">IF(B140="","",N(H140)+N(I140))</f>
        <v/>
      </c>
      <c r="K140" s="10"/>
      <c r="L140" s="19"/>
      <c r="M140" s="12"/>
      <c r="N140" s="10"/>
      <c r="O140" s="25" t="str">
        <f aca="true">IF(OR(B140="",K140="Sold",K140="Donated"),"",TODAY()-B140)</f>
        <v/>
      </c>
      <c r="P140" s="25" t="str">
        <f aca="true">IF(OR(L140="",K140="Sold",K140="Donated"),"",TODAY()-L140)</f>
        <v/>
      </c>
      <c r="Q140" s="26" t="str">
        <f aca="false">IF(AND(K140="Listed",P140&lt;&gt;"",N(P140)&gt;Settings!$B$19),"STALE","")</f>
        <v/>
      </c>
      <c r="R140" s="27" t="str">
        <f aca="false">IF(Q140="STALE",COUNTIF($Q$4:Q140,"STALE"),"")</f>
        <v/>
      </c>
    </row>
    <row r="141" customFormat="false" ht="15" hidden="false" customHeight="false" outlineLevel="0" collapsed="false">
      <c r="A141" s="23" t="str">
        <f aca="false">IF(B141="","","SKU-"&amp;TEXT(ROW()-3,"0000"))</f>
        <v/>
      </c>
      <c r="B141" s="19"/>
      <c r="C141" s="10"/>
      <c r="D141" s="10"/>
      <c r="E141" s="10"/>
      <c r="F141" s="10"/>
      <c r="G141" s="10"/>
      <c r="H141" s="12"/>
      <c r="I141" s="12"/>
      <c r="J141" s="24" t="str">
        <f aca="false">IF(B141="","",N(H141)+N(I141))</f>
        <v/>
      </c>
      <c r="K141" s="10"/>
      <c r="L141" s="19"/>
      <c r="M141" s="12"/>
      <c r="N141" s="10"/>
      <c r="O141" s="25" t="str">
        <f aca="true">IF(OR(B141="",K141="Sold",K141="Donated"),"",TODAY()-B141)</f>
        <v/>
      </c>
      <c r="P141" s="25" t="str">
        <f aca="true">IF(OR(L141="",K141="Sold",K141="Donated"),"",TODAY()-L141)</f>
        <v/>
      </c>
      <c r="Q141" s="26" t="str">
        <f aca="false">IF(AND(K141="Listed",P141&lt;&gt;"",N(P141)&gt;Settings!$B$19),"STALE","")</f>
        <v/>
      </c>
      <c r="R141" s="27" t="str">
        <f aca="false">IF(Q141="STALE",COUNTIF($Q$4:Q141,"STALE"),"")</f>
        <v/>
      </c>
    </row>
    <row r="142" customFormat="false" ht="15" hidden="false" customHeight="false" outlineLevel="0" collapsed="false">
      <c r="A142" s="23" t="str">
        <f aca="false">IF(B142="","","SKU-"&amp;TEXT(ROW()-3,"0000"))</f>
        <v/>
      </c>
      <c r="B142" s="19"/>
      <c r="C142" s="10"/>
      <c r="D142" s="10"/>
      <c r="E142" s="10"/>
      <c r="F142" s="10"/>
      <c r="G142" s="10"/>
      <c r="H142" s="12"/>
      <c r="I142" s="12"/>
      <c r="J142" s="24" t="str">
        <f aca="false">IF(B142="","",N(H142)+N(I142))</f>
        <v/>
      </c>
      <c r="K142" s="10"/>
      <c r="L142" s="19"/>
      <c r="M142" s="12"/>
      <c r="N142" s="10"/>
      <c r="O142" s="25" t="str">
        <f aca="true">IF(OR(B142="",K142="Sold",K142="Donated"),"",TODAY()-B142)</f>
        <v/>
      </c>
      <c r="P142" s="25" t="str">
        <f aca="true">IF(OR(L142="",K142="Sold",K142="Donated"),"",TODAY()-L142)</f>
        <v/>
      </c>
      <c r="Q142" s="26" t="str">
        <f aca="false">IF(AND(K142="Listed",P142&lt;&gt;"",N(P142)&gt;Settings!$B$19),"STALE","")</f>
        <v/>
      </c>
      <c r="R142" s="27" t="str">
        <f aca="false">IF(Q142="STALE",COUNTIF($Q$4:Q142,"STALE"),"")</f>
        <v/>
      </c>
    </row>
    <row r="143" customFormat="false" ht="15" hidden="false" customHeight="false" outlineLevel="0" collapsed="false">
      <c r="A143" s="23" t="str">
        <f aca="false">IF(B143="","","SKU-"&amp;TEXT(ROW()-3,"0000"))</f>
        <v/>
      </c>
      <c r="B143" s="19"/>
      <c r="C143" s="10"/>
      <c r="D143" s="10"/>
      <c r="E143" s="10"/>
      <c r="F143" s="10"/>
      <c r="G143" s="10"/>
      <c r="H143" s="12"/>
      <c r="I143" s="12"/>
      <c r="J143" s="24" t="str">
        <f aca="false">IF(B143="","",N(H143)+N(I143))</f>
        <v/>
      </c>
      <c r="K143" s="10"/>
      <c r="L143" s="19"/>
      <c r="M143" s="12"/>
      <c r="N143" s="10"/>
      <c r="O143" s="25" t="str">
        <f aca="true">IF(OR(B143="",K143="Sold",K143="Donated"),"",TODAY()-B143)</f>
        <v/>
      </c>
      <c r="P143" s="25" t="str">
        <f aca="true">IF(OR(L143="",K143="Sold",K143="Donated"),"",TODAY()-L143)</f>
        <v/>
      </c>
      <c r="Q143" s="26" t="str">
        <f aca="false">IF(AND(K143="Listed",P143&lt;&gt;"",N(P143)&gt;Settings!$B$19),"STALE","")</f>
        <v/>
      </c>
      <c r="R143" s="27" t="str">
        <f aca="false">IF(Q143="STALE",COUNTIF($Q$4:Q143,"STALE"),"")</f>
        <v/>
      </c>
    </row>
    <row r="144" customFormat="false" ht="15" hidden="false" customHeight="false" outlineLevel="0" collapsed="false">
      <c r="A144" s="23" t="str">
        <f aca="false">IF(B144="","","SKU-"&amp;TEXT(ROW()-3,"0000"))</f>
        <v/>
      </c>
      <c r="B144" s="19"/>
      <c r="C144" s="10"/>
      <c r="D144" s="10"/>
      <c r="E144" s="10"/>
      <c r="F144" s="10"/>
      <c r="G144" s="10"/>
      <c r="H144" s="12"/>
      <c r="I144" s="12"/>
      <c r="J144" s="24" t="str">
        <f aca="false">IF(B144="","",N(H144)+N(I144))</f>
        <v/>
      </c>
      <c r="K144" s="10"/>
      <c r="L144" s="19"/>
      <c r="M144" s="12"/>
      <c r="N144" s="10"/>
      <c r="O144" s="25" t="str">
        <f aca="true">IF(OR(B144="",K144="Sold",K144="Donated"),"",TODAY()-B144)</f>
        <v/>
      </c>
      <c r="P144" s="25" t="str">
        <f aca="true">IF(OR(L144="",K144="Sold",K144="Donated"),"",TODAY()-L144)</f>
        <v/>
      </c>
      <c r="Q144" s="26" t="str">
        <f aca="false">IF(AND(K144="Listed",P144&lt;&gt;"",N(P144)&gt;Settings!$B$19),"STALE","")</f>
        <v/>
      </c>
      <c r="R144" s="27" t="str">
        <f aca="false">IF(Q144="STALE",COUNTIF($Q$4:Q144,"STALE"),"")</f>
        <v/>
      </c>
    </row>
    <row r="145" customFormat="false" ht="15" hidden="false" customHeight="false" outlineLevel="0" collapsed="false">
      <c r="A145" s="23" t="str">
        <f aca="false">IF(B145="","","SKU-"&amp;TEXT(ROW()-3,"0000"))</f>
        <v/>
      </c>
      <c r="B145" s="19"/>
      <c r="C145" s="10"/>
      <c r="D145" s="10"/>
      <c r="E145" s="10"/>
      <c r="F145" s="10"/>
      <c r="G145" s="10"/>
      <c r="H145" s="12"/>
      <c r="I145" s="12"/>
      <c r="J145" s="24" t="str">
        <f aca="false">IF(B145="","",N(H145)+N(I145))</f>
        <v/>
      </c>
      <c r="K145" s="10"/>
      <c r="L145" s="19"/>
      <c r="M145" s="12"/>
      <c r="N145" s="10"/>
      <c r="O145" s="25" t="str">
        <f aca="true">IF(OR(B145="",K145="Sold",K145="Donated"),"",TODAY()-B145)</f>
        <v/>
      </c>
      <c r="P145" s="25" t="str">
        <f aca="true">IF(OR(L145="",K145="Sold",K145="Donated"),"",TODAY()-L145)</f>
        <v/>
      </c>
      <c r="Q145" s="26" t="str">
        <f aca="false">IF(AND(K145="Listed",P145&lt;&gt;"",N(P145)&gt;Settings!$B$19),"STALE","")</f>
        <v/>
      </c>
      <c r="R145" s="27" t="str">
        <f aca="false">IF(Q145="STALE",COUNTIF($Q$4:Q145,"STALE"),"")</f>
        <v/>
      </c>
    </row>
    <row r="146" customFormat="false" ht="15" hidden="false" customHeight="false" outlineLevel="0" collapsed="false">
      <c r="A146" s="23" t="str">
        <f aca="false">IF(B146="","","SKU-"&amp;TEXT(ROW()-3,"0000"))</f>
        <v/>
      </c>
      <c r="B146" s="19"/>
      <c r="C146" s="10"/>
      <c r="D146" s="10"/>
      <c r="E146" s="10"/>
      <c r="F146" s="10"/>
      <c r="G146" s="10"/>
      <c r="H146" s="12"/>
      <c r="I146" s="12"/>
      <c r="J146" s="24" t="str">
        <f aca="false">IF(B146="","",N(H146)+N(I146))</f>
        <v/>
      </c>
      <c r="K146" s="10"/>
      <c r="L146" s="19"/>
      <c r="M146" s="12"/>
      <c r="N146" s="10"/>
      <c r="O146" s="25" t="str">
        <f aca="true">IF(OR(B146="",K146="Sold",K146="Donated"),"",TODAY()-B146)</f>
        <v/>
      </c>
      <c r="P146" s="25" t="str">
        <f aca="true">IF(OR(L146="",K146="Sold",K146="Donated"),"",TODAY()-L146)</f>
        <v/>
      </c>
      <c r="Q146" s="26" t="str">
        <f aca="false">IF(AND(K146="Listed",P146&lt;&gt;"",N(P146)&gt;Settings!$B$19),"STALE","")</f>
        <v/>
      </c>
      <c r="R146" s="27" t="str">
        <f aca="false">IF(Q146="STALE",COUNTIF($Q$4:Q146,"STALE"),"")</f>
        <v/>
      </c>
    </row>
    <row r="147" customFormat="false" ht="15" hidden="false" customHeight="false" outlineLevel="0" collapsed="false">
      <c r="A147" s="23" t="str">
        <f aca="false">IF(B147="","","SKU-"&amp;TEXT(ROW()-3,"0000"))</f>
        <v/>
      </c>
      <c r="B147" s="19"/>
      <c r="C147" s="10"/>
      <c r="D147" s="10"/>
      <c r="E147" s="10"/>
      <c r="F147" s="10"/>
      <c r="G147" s="10"/>
      <c r="H147" s="12"/>
      <c r="I147" s="12"/>
      <c r="J147" s="24" t="str">
        <f aca="false">IF(B147="","",N(H147)+N(I147))</f>
        <v/>
      </c>
      <c r="K147" s="10"/>
      <c r="L147" s="19"/>
      <c r="M147" s="12"/>
      <c r="N147" s="10"/>
      <c r="O147" s="25" t="str">
        <f aca="true">IF(OR(B147="",K147="Sold",K147="Donated"),"",TODAY()-B147)</f>
        <v/>
      </c>
      <c r="P147" s="25" t="str">
        <f aca="true">IF(OR(L147="",K147="Sold",K147="Donated"),"",TODAY()-L147)</f>
        <v/>
      </c>
      <c r="Q147" s="26" t="str">
        <f aca="false">IF(AND(K147="Listed",P147&lt;&gt;"",N(P147)&gt;Settings!$B$19),"STALE","")</f>
        <v/>
      </c>
      <c r="R147" s="27" t="str">
        <f aca="false">IF(Q147="STALE",COUNTIF($Q$4:Q147,"STALE"),"")</f>
        <v/>
      </c>
    </row>
    <row r="148" customFormat="false" ht="15" hidden="false" customHeight="false" outlineLevel="0" collapsed="false">
      <c r="A148" s="23" t="str">
        <f aca="false">IF(B148="","","SKU-"&amp;TEXT(ROW()-3,"0000"))</f>
        <v/>
      </c>
      <c r="B148" s="19"/>
      <c r="C148" s="10"/>
      <c r="D148" s="10"/>
      <c r="E148" s="10"/>
      <c r="F148" s="10"/>
      <c r="G148" s="10"/>
      <c r="H148" s="12"/>
      <c r="I148" s="12"/>
      <c r="J148" s="24" t="str">
        <f aca="false">IF(B148="","",N(H148)+N(I148))</f>
        <v/>
      </c>
      <c r="K148" s="10"/>
      <c r="L148" s="19"/>
      <c r="M148" s="12"/>
      <c r="N148" s="10"/>
      <c r="O148" s="25" t="str">
        <f aca="true">IF(OR(B148="",K148="Sold",K148="Donated"),"",TODAY()-B148)</f>
        <v/>
      </c>
      <c r="P148" s="25" t="str">
        <f aca="true">IF(OR(L148="",K148="Sold",K148="Donated"),"",TODAY()-L148)</f>
        <v/>
      </c>
      <c r="Q148" s="26" t="str">
        <f aca="false">IF(AND(K148="Listed",P148&lt;&gt;"",N(P148)&gt;Settings!$B$19),"STALE","")</f>
        <v/>
      </c>
      <c r="R148" s="27" t="str">
        <f aca="false">IF(Q148="STALE",COUNTIF($Q$4:Q148,"STALE"),"")</f>
        <v/>
      </c>
    </row>
    <row r="149" customFormat="false" ht="15" hidden="false" customHeight="false" outlineLevel="0" collapsed="false">
      <c r="A149" s="23" t="str">
        <f aca="false">IF(B149="","","SKU-"&amp;TEXT(ROW()-3,"0000"))</f>
        <v/>
      </c>
      <c r="B149" s="19"/>
      <c r="C149" s="10"/>
      <c r="D149" s="10"/>
      <c r="E149" s="10"/>
      <c r="F149" s="10"/>
      <c r="G149" s="10"/>
      <c r="H149" s="12"/>
      <c r="I149" s="12"/>
      <c r="J149" s="24" t="str">
        <f aca="false">IF(B149="","",N(H149)+N(I149))</f>
        <v/>
      </c>
      <c r="K149" s="10"/>
      <c r="L149" s="19"/>
      <c r="M149" s="12"/>
      <c r="N149" s="10"/>
      <c r="O149" s="25" t="str">
        <f aca="true">IF(OR(B149="",K149="Sold",K149="Donated"),"",TODAY()-B149)</f>
        <v/>
      </c>
      <c r="P149" s="25" t="str">
        <f aca="true">IF(OR(L149="",K149="Sold",K149="Donated"),"",TODAY()-L149)</f>
        <v/>
      </c>
      <c r="Q149" s="26" t="str">
        <f aca="false">IF(AND(K149="Listed",P149&lt;&gt;"",N(P149)&gt;Settings!$B$19),"STALE","")</f>
        <v/>
      </c>
      <c r="R149" s="27" t="str">
        <f aca="false">IF(Q149="STALE",COUNTIF($Q$4:Q149,"STALE"),"")</f>
        <v/>
      </c>
    </row>
    <row r="150" customFormat="false" ht="15" hidden="false" customHeight="false" outlineLevel="0" collapsed="false">
      <c r="A150" s="23" t="str">
        <f aca="false">IF(B150="","","SKU-"&amp;TEXT(ROW()-3,"0000"))</f>
        <v/>
      </c>
      <c r="B150" s="19"/>
      <c r="C150" s="10"/>
      <c r="D150" s="10"/>
      <c r="E150" s="10"/>
      <c r="F150" s="10"/>
      <c r="G150" s="10"/>
      <c r="H150" s="12"/>
      <c r="I150" s="12"/>
      <c r="J150" s="24" t="str">
        <f aca="false">IF(B150="","",N(H150)+N(I150))</f>
        <v/>
      </c>
      <c r="K150" s="10"/>
      <c r="L150" s="19"/>
      <c r="M150" s="12"/>
      <c r="N150" s="10"/>
      <c r="O150" s="25" t="str">
        <f aca="true">IF(OR(B150="",K150="Sold",K150="Donated"),"",TODAY()-B150)</f>
        <v/>
      </c>
      <c r="P150" s="25" t="str">
        <f aca="true">IF(OR(L150="",K150="Sold",K150="Donated"),"",TODAY()-L150)</f>
        <v/>
      </c>
      <c r="Q150" s="26" t="str">
        <f aca="false">IF(AND(K150="Listed",P150&lt;&gt;"",N(P150)&gt;Settings!$B$19),"STALE","")</f>
        <v/>
      </c>
      <c r="R150" s="27" t="str">
        <f aca="false">IF(Q150="STALE",COUNTIF($Q$4:Q150,"STALE"),"")</f>
        <v/>
      </c>
    </row>
    <row r="151" customFormat="false" ht="15" hidden="false" customHeight="false" outlineLevel="0" collapsed="false">
      <c r="A151" s="23" t="str">
        <f aca="false">IF(B151="","","SKU-"&amp;TEXT(ROW()-3,"0000"))</f>
        <v/>
      </c>
      <c r="B151" s="19"/>
      <c r="C151" s="10"/>
      <c r="D151" s="10"/>
      <c r="E151" s="10"/>
      <c r="F151" s="10"/>
      <c r="G151" s="10"/>
      <c r="H151" s="12"/>
      <c r="I151" s="12"/>
      <c r="J151" s="24" t="str">
        <f aca="false">IF(B151="","",N(H151)+N(I151))</f>
        <v/>
      </c>
      <c r="K151" s="10"/>
      <c r="L151" s="19"/>
      <c r="M151" s="12"/>
      <c r="N151" s="10"/>
      <c r="O151" s="25" t="str">
        <f aca="true">IF(OR(B151="",K151="Sold",K151="Donated"),"",TODAY()-B151)</f>
        <v/>
      </c>
      <c r="P151" s="25" t="str">
        <f aca="true">IF(OR(L151="",K151="Sold",K151="Donated"),"",TODAY()-L151)</f>
        <v/>
      </c>
      <c r="Q151" s="26" t="str">
        <f aca="false">IF(AND(K151="Listed",P151&lt;&gt;"",N(P151)&gt;Settings!$B$19),"STALE","")</f>
        <v/>
      </c>
      <c r="R151" s="27" t="str">
        <f aca="false">IF(Q151="STALE",COUNTIF($Q$4:Q151,"STALE"),"")</f>
        <v/>
      </c>
    </row>
    <row r="152" customFormat="false" ht="15" hidden="false" customHeight="false" outlineLevel="0" collapsed="false">
      <c r="A152" s="23" t="str">
        <f aca="false">IF(B152="","","SKU-"&amp;TEXT(ROW()-3,"0000"))</f>
        <v/>
      </c>
      <c r="B152" s="19"/>
      <c r="C152" s="10"/>
      <c r="D152" s="10"/>
      <c r="E152" s="10"/>
      <c r="F152" s="10"/>
      <c r="G152" s="10"/>
      <c r="H152" s="12"/>
      <c r="I152" s="12"/>
      <c r="J152" s="24" t="str">
        <f aca="false">IF(B152="","",N(H152)+N(I152))</f>
        <v/>
      </c>
      <c r="K152" s="10"/>
      <c r="L152" s="19"/>
      <c r="M152" s="12"/>
      <c r="N152" s="10"/>
      <c r="O152" s="25" t="str">
        <f aca="true">IF(OR(B152="",K152="Sold",K152="Donated"),"",TODAY()-B152)</f>
        <v/>
      </c>
      <c r="P152" s="25" t="str">
        <f aca="true">IF(OR(L152="",K152="Sold",K152="Donated"),"",TODAY()-L152)</f>
        <v/>
      </c>
      <c r="Q152" s="26" t="str">
        <f aca="false">IF(AND(K152="Listed",P152&lt;&gt;"",N(P152)&gt;Settings!$B$19),"STALE","")</f>
        <v/>
      </c>
      <c r="R152" s="27" t="str">
        <f aca="false">IF(Q152="STALE",COUNTIF($Q$4:Q152,"STALE"),"")</f>
        <v/>
      </c>
    </row>
    <row r="153" customFormat="false" ht="15" hidden="false" customHeight="false" outlineLevel="0" collapsed="false">
      <c r="A153" s="23" t="str">
        <f aca="false">IF(B153="","","SKU-"&amp;TEXT(ROW()-3,"0000"))</f>
        <v/>
      </c>
      <c r="B153" s="19"/>
      <c r="C153" s="10"/>
      <c r="D153" s="10"/>
      <c r="E153" s="10"/>
      <c r="F153" s="10"/>
      <c r="G153" s="10"/>
      <c r="H153" s="12"/>
      <c r="I153" s="12"/>
      <c r="J153" s="24" t="str">
        <f aca="false">IF(B153="","",N(H153)+N(I153))</f>
        <v/>
      </c>
      <c r="K153" s="10"/>
      <c r="L153" s="19"/>
      <c r="M153" s="12"/>
      <c r="N153" s="10"/>
      <c r="O153" s="25" t="str">
        <f aca="true">IF(OR(B153="",K153="Sold",K153="Donated"),"",TODAY()-B153)</f>
        <v/>
      </c>
      <c r="P153" s="25" t="str">
        <f aca="true">IF(OR(L153="",K153="Sold",K153="Donated"),"",TODAY()-L153)</f>
        <v/>
      </c>
      <c r="Q153" s="26" t="str">
        <f aca="false">IF(AND(K153="Listed",P153&lt;&gt;"",N(P153)&gt;Settings!$B$19),"STALE","")</f>
        <v/>
      </c>
      <c r="R153" s="27" t="str">
        <f aca="false">IF(Q153="STALE",COUNTIF($Q$4:Q153,"STALE"),"")</f>
        <v/>
      </c>
    </row>
    <row r="154" customFormat="false" ht="15" hidden="false" customHeight="false" outlineLevel="0" collapsed="false">
      <c r="A154" s="23" t="str">
        <f aca="false">IF(B154="","","SKU-"&amp;TEXT(ROW()-3,"0000"))</f>
        <v/>
      </c>
      <c r="B154" s="19"/>
      <c r="C154" s="10"/>
      <c r="D154" s="10"/>
      <c r="E154" s="10"/>
      <c r="F154" s="10"/>
      <c r="G154" s="10"/>
      <c r="H154" s="12"/>
      <c r="I154" s="12"/>
      <c r="J154" s="24" t="str">
        <f aca="false">IF(B154="","",N(H154)+N(I154))</f>
        <v/>
      </c>
      <c r="K154" s="10"/>
      <c r="L154" s="19"/>
      <c r="M154" s="12"/>
      <c r="N154" s="10"/>
      <c r="O154" s="25" t="str">
        <f aca="true">IF(OR(B154="",K154="Sold",K154="Donated"),"",TODAY()-B154)</f>
        <v/>
      </c>
      <c r="P154" s="25" t="str">
        <f aca="true">IF(OR(L154="",K154="Sold",K154="Donated"),"",TODAY()-L154)</f>
        <v/>
      </c>
      <c r="Q154" s="26" t="str">
        <f aca="false">IF(AND(K154="Listed",P154&lt;&gt;"",N(P154)&gt;Settings!$B$19),"STALE","")</f>
        <v/>
      </c>
      <c r="R154" s="27" t="str">
        <f aca="false">IF(Q154="STALE",COUNTIF($Q$4:Q154,"STALE"),"")</f>
        <v/>
      </c>
    </row>
    <row r="155" customFormat="false" ht="15" hidden="false" customHeight="false" outlineLevel="0" collapsed="false">
      <c r="A155" s="23" t="str">
        <f aca="false">IF(B155="","","SKU-"&amp;TEXT(ROW()-3,"0000"))</f>
        <v/>
      </c>
      <c r="B155" s="19"/>
      <c r="C155" s="10"/>
      <c r="D155" s="10"/>
      <c r="E155" s="10"/>
      <c r="F155" s="10"/>
      <c r="G155" s="10"/>
      <c r="H155" s="12"/>
      <c r="I155" s="12"/>
      <c r="J155" s="24" t="str">
        <f aca="false">IF(B155="","",N(H155)+N(I155))</f>
        <v/>
      </c>
      <c r="K155" s="10"/>
      <c r="L155" s="19"/>
      <c r="M155" s="12"/>
      <c r="N155" s="10"/>
      <c r="O155" s="25" t="str">
        <f aca="true">IF(OR(B155="",K155="Sold",K155="Donated"),"",TODAY()-B155)</f>
        <v/>
      </c>
      <c r="P155" s="25" t="str">
        <f aca="true">IF(OR(L155="",K155="Sold",K155="Donated"),"",TODAY()-L155)</f>
        <v/>
      </c>
      <c r="Q155" s="26" t="str">
        <f aca="false">IF(AND(K155="Listed",P155&lt;&gt;"",N(P155)&gt;Settings!$B$19),"STALE","")</f>
        <v/>
      </c>
      <c r="R155" s="27" t="str">
        <f aca="false">IF(Q155="STALE",COUNTIF($Q$4:Q155,"STALE"),"")</f>
        <v/>
      </c>
    </row>
    <row r="156" customFormat="false" ht="15" hidden="false" customHeight="false" outlineLevel="0" collapsed="false">
      <c r="A156" s="23" t="str">
        <f aca="false">IF(B156="","","SKU-"&amp;TEXT(ROW()-3,"0000"))</f>
        <v/>
      </c>
      <c r="B156" s="19"/>
      <c r="C156" s="10"/>
      <c r="D156" s="10"/>
      <c r="E156" s="10"/>
      <c r="F156" s="10"/>
      <c r="G156" s="10"/>
      <c r="H156" s="12"/>
      <c r="I156" s="12"/>
      <c r="J156" s="24" t="str">
        <f aca="false">IF(B156="","",N(H156)+N(I156))</f>
        <v/>
      </c>
      <c r="K156" s="10"/>
      <c r="L156" s="19"/>
      <c r="M156" s="12"/>
      <c r="N156" s="10"/>
      <c r="O156" s="25" t="str">
        <f aca="true">IF(OR(B156="",K156="Sold",K156="Donated"),"",TODAY()-B156)</f>
        <v/>
      </c>
      <c r="P156" s="25" t="str">
        <f aca="true">IF(OR(L156="",K156="Sold",K156="Donated"),"",TODAY()-L156)</f>
        <v/>
      </c>
      <c r="Q156" s="26" t="str">
        <f aca="false">IF(AND(K156="Listed",P156&lt;&gt;"",N(P156)&gt;Settings!$B$19),"STALE","")</f>
        <v/>
      </c>
      <c r="R156" s="27" t="str">
        <f aca="false">IF(Q156="STALE",COUNTIF($Q$4:Q156,"STALE"),"")</f>
        <v/>
      </c>
    </row>
    <row r="157" customFormat="false" ht="15" hidden="false" customHeight="false" outlineLevel="0" collapsed="false">
      <c r="A157" s="23" t="str">
        <f aca="false">IF(B157="","","SKU-"&amp;TEXT(ROW()-3,"0000"))</f>
        <v/>
      </c>
      <c r="B157" s="19"/>
      <c r="C157" s="10"/>
      <c r="D157" s="10"/>
      <c r="E157" s="10"/>
      <c r="F157" s="10"/>
      <c r="G157" s="10"/>
      <c r="H157" s="12"/>
      <c r="I157" s="12"/>
      <c r="J157" s="24" t="str">
        <f aca="false">IF(B157="","",N(H157)+N(I157))</f>
        <v/>
      </c>
      <c r="K157" s="10"/>
      <c r="L157" s="19"/>
      <c r="M157" s="12"/>
      <c r="N157" s="10"/>
      <c r="O157" s="25" t="str">
        <f aca="true">IF(OR(B157="",K157="Sold",K157="Donated"),"",TODAY()-B157)</f>
        <v/>
      </c>
      <c r="P157" s="25" t="str">
        <f aca="true">IF(OR(L157="",K157="Sold",K157="Donated"),"",TODAY()-L157)</f>
        <v/>
      </c>
      <c r="Q157" s="26" t="str">
        <f aca="false">IF(AND(K157="Listed",P157&lt;&gt;"",N(P157)&gt;Settings!$B$19),"STALE","")</f>
        <v/>
      </c>
      <c r="R157" s="27" t="str">
        <f aca="false">IF(Q157="STALE",COUNTIF($Q$4:Q157,"STALE"),"")</f>
        <v/>
      </c>
    </row>
    <row r="158" customFormat="false" ht="15" hidden="false" customHeight="false" outlineLevel="0" collapsed="false">
      <c r="A158" s="23" t="str">
        <f aca="false">IF(B158="","","SKU-"&amp;TEXT(ROW()-3,"0000"))</f>
        <v/>
      </c>
      <c r="B158" s="19"/>
      <c r="C158" s="10"/>
      <c r="D158" s="10"/>
      <c r="E158" s="10"/>
      <c r="F158" s="10"/>
      <c r="G158" s="10"/>
      <c r="H158" s="12"/>
      <c r="I158" s="12"/>
      <c r="J158" s="24" t="str">
        <f aca="false">IF(B158="","",N(H158)+N(I158))</f>
        <v/>
      </c>
      <c r="K158" s="10"/>
      <c r="L158" s="19"/>
      <c r="M158" s="12"/>
      <c r="N158" s="10"/>
      <c r="O158" s="25" t="str">
        <f aca="true">IF(OR(B158="",K158="Sold",K158="Donated"),"",TODAY()-B158)</f>
        <v/>
      </c>
      <c r="P158" s="25" t="str">
        <f aca="true">IF(OR(L158="",K158="Sold",K158="Donated"),"",TODAY()-L158)</f>
        <v/>
      </c>
      <c r="Q158" s="26" t="str">
        <f aca="false">IF(AND(K158="Listed",P158&lt;&gt;"",N(P158)&gt;Settings!$B$19),"STALE","")</f>
        <v/>
      </c>
      <c r="R158" s="27" t="str">
        <f aca="false">IF(Q158="STALE",COUNTIF($Q$4:Q158,"STALE"),"")</f>
        <v/>
      </c>
    </row>
    <row r="159" customFormat="false" ht="15" hidden="false" customHeight="false" outlineLevel="0" collapsed="false">
      <c r="A159" s="23" t="str">
        <f aca="false">IF(B159="","","SKU-"&amp;TEXT(ROW()-3,"0000"))</f>
        <v/>
      </c>
      <c r="B159" s="19"/>
      <c r="C159" s="10"/>
      <c r="D159" s="10"/>
      <c r="E159" s="10"/>
      <c r="F159" s="10"/>
      <c r="G159" s="10"/>
      <c r="H159" s="12"/>
      <c r="I159" s="12"/>
      <c r="J159" s="24" t="str">
        <f aca="false">IF(B159="","",N(H159)+N(I159))</f>
        <v/>
      </c>
      <c r="K159" s="10"/>
      <c r="L159" s="19"/>
      <c r="M159" s="12"/>
      <c r="N159" s="10"/>
      <c r="O159" s="25" t="str">
        <f aca="true">IF(OR(B159="",K159="Sold",K159="Donated"),"",TODAY()-B159)</f>
        <v/>
      </c>
      <c r="P159" s="25" t="str">
        <f aca="true">IF(OR(L159="",K159="Sold",K159="Donated"),"",TODAY()-L159)</f>
        <v/>
      </c>
      <c r="Q159" s="26" t="str">
        <f aca="false">IF(AND(K159="Listed",P159&lt;&gt;"",N(P159)&gt;Settings!$B$19),"STALE","")</f>
        <v/>
      </c>
      <c r="R159" s="27" t="str">
        <f aca="false">IF(Q159="STALE",COUNTIF($Q$4:Q159,"STALE"),"")</f>
        <v/>
      </c>
    </row>
    <row r="160" customFormat="false" ht="15" hidden="false" customHeight="false" outlineLevel="0" collapsed="false">
      <c r="A160" s="23" t="str">
        <f aca="false">IF(B160="","","SKU-"&amp;TEXT(ROW()-3,"0000"))</f>
        <v/>
      </c>
      <c r="B160" s="19"/>
      <c r="C160" s="10"/>
      <c r="D160" s="10"/>
      <c r="E160" s="10"/>
      <c r="F160" s="10"/>
      <c r="G160" s="10"/>
      <c r="H160" s="12"/>
      <c r="I160" s="12"/>
      <c r="J160" s="24" t="str">
        <f aca="false">IF(B160="","",N(H160)+N(I160))</f>
        <v/>
      </c>
      <c r="K160" s="10"/>
      <c r="L160" s="19"/>
      <c r="M160" s="12"/>
      <c r="N160" s="10"/>
      <c r="O160" s="25" t="str">
        <f aca="true">IF(OR(B160="",K160="Sold",K160="Donated"),"",TODAY()-B160)</f>
        <v/>
      </c>
      <c r="P160" s="25" t="str">
        <f aca="true">IF(OR(L160="",K160="Sold",K160="Donated"),"",TODAY()-L160)</f>
        <v/>
      </c>
      <c r="Q160" s="26" t="str">
        <f aca="false">IF(AND(K160="Listed",P160&lt;&gt;"",N(P160)&gt;Settings!$B$19),"STALE","")</f>
        <v/>
      </c>
      <c r="R160" s="27" t="str">
        <f aca="false">IF(Q160="STALE",COUNTIF($Q$4:Q160,"STALE"),"")</f>
        <v/>
      </c>
    </row>
    <row r="161" customFormat="false" ht="15" hidden="false" customHeight="false" outlineLevel="0" collapsed="false">
      <c r="A161" s="23" t="str">
        <f aca="false">IF(B161="","","SKU-"&amp;TEXT(ROW()-3,"0000"))</f>
        <v/>
      </c>
      <c r="B161" s="19"/>
      <c r="C161" s="10"/>
      <c r="D161" s="10"/>
      <c r="E161" s="10"/>
      <c r="F161" s="10"/>
      <c r="G161" s="10"/>
      <c r="H161" s="12"/>
      <c r="I161" s="12"/>
      <c r="J161" s="24" t="str">
        <f aca="false">IF(B161="","",N(H161)+N(I161))</f>
        <v/>
      </c>
      <c r="K161" s="10"/>
      <c r="L161" s="19"/>
      <c r="M161" s="12"/>
      <c r="N161" s="10"/>
      <c r="O161" s="25" t="str">
        <f aca="true">IF(OR(B161="",K161="Sold",K161="Donated"),"",TODAY()-B161)</f>
        <v/>
      </c>
      <c r="P161" s="25" t="str">
        <f aca="true">IF(OR(L161="",K161="Sold",K161="Donated"),"",TODAY()-L161)</f>
        <v/>
      </c>
      <c r="Q161" s="26" t="str">
        <f aca="false">IF(AND(K161="Listed",P161&lt;&gt;"",N(P161)&gt;Settings!$B$19),"STALE","")</f>
        <v/>
      </c>
      <c r="R161" s="27" t="str">
        <f aca="false">IF(Q161="STALE",COUNTIF($Q$4:Q161,"STALE"),"")</f>
        <v/>
      </c>
    </row>
    <row r="162" customFormat="false" ht="15" hidden="false" customHeight="false" outlineLevel="0" collapsed="false">
      <c r="A162" s="23" t="str">
        <f aca="false">IF(B162="","","SKU-"&amp;TEXT(ROW()-3,"0000"))</f>
        <v/>
      </c>
      <c r="B162" s="19"/>
      <c r="C162" s="10"/>
      <c r="D162" s="10"/>
      <c r="E162" s="10"/>
      <c r="F162" s="10"/>
      <c r="G162" s="10"/>
      <c r="H162" s="12"/>
      <c r="I162" s="12"/>
      <c r="J162" s="24" t="str">
        <f aca="false">IF(B162="","",N(H162)+N(I162))</f>
        <v/>
      </c>
      <c r="K162" s="10"/>
      <c r="L162" s="19"/>
      <c r="M162" s="12"/>
      <c r="N162" s="10"/>
      <c r="O162" s="25" t="str">
        <f aca="true">IF(OR(B162="",K162="Sold",K162="Donated"),"",TODAY()-B162)</f>
        <v/>
      </c>
      <c r="P162" s="25" t="str">
        <f aca="true">IF(OR(L162="",K162="Sold",K162="Donated"),"",TODAY()-L162)</f>
        <v/>
      </c>
      <c r="Q162" s="26" t="str">
        <f aca="false">IF(AND(K162="Listed",P162&lt;&gt;"",N(P162)&gt;Settings!$B$19),"STALE","")</f>
        <v/>
      </c>
      <c r="R162" s="27" t="str">
        <f aca="false">IF(Q162="STALE",COUNTIF($Q$4:Q162,"STALE"),"")</f>
        <v/>
      </c>
    </row>
    <row r="163" customFormat="false" ht="15" hidden="false" customHeight="false" outlineLevel="0" collapsed="false">
      <c r="A163" s="23" t="str">
        <f aca="false">IF(B163="","","SKU-"&amp;TEXT(ROW()-3,"0000"))</f>
        <v/>
      </c>
      <c r="B163" s="19"/>
      <c r="C163" s="10"/>
      <c r="D163" s="10"/>
      <c r="E163" s="10"/>
      <c r="F163" s="10"/>
      <c r="G163" s="10"/>
      <c r="H163" s="12"/>
      <c r="I163" s="12"/>
      <c r="J163" s="24" t="str">
        <f aca="false">IF(B163="","",N(H163)+N(I163))</f>
        <v/>
      </c>
      <c r="K163" s="10"/>
      <c r="L163" s="19"/>
      <c r="M163" s="12"/>
      <c r="N163" s="10"/>
      <c r="O163" s="25" t="str">
        <f aca="true">IF(OR(B163="",K163="Sold",K163="Donated"),"",TODAY()-B163)</f>
        <v/>
      </c>
      <c r="P163" s="25" t="str">
        <f aca="true">IF(OR(L163="",K163="Sold",K163="Donated"),"",TODAY()-L163)</f>
        <v/>
      </c>
      <c r="Q163" s="26" t="str">
        <f aca="false">IF(AND(K163="Listed",P163&lt;&gt;"",N(P163)&gt;Settings!$B$19),"STALE","")</f>
        <v/>
      </c>
      <c r="R163" s="27" t="str">
        <f aca="false">IF(Q163="STALE",COUNTIF($Q$4:Q163,"STALE"),"")</f>
        <v/>
      </c>
    </row>
    <row r="164" customFormat="false" ht="15" hidden="false" customHeight="false" outlineLevel="0" collapsed="false">
      <c r="A164" s="23" t="str">
        <f aca="false">IF(B164="","","SKU-"&amp;TEXT(ROW()-3,"0000"))</f>
        <v/>
      </c>
      <c r="B164" s="19"/>
      <c r="C164" s="10"/>
      <c r="D164" s="10"/>
      <c r="E164" s="10"/>
      <c r="F164" s="10"/>
      <c r="G164" s="10"/>
      <c r="H164" s="12"/>
      <c r="I164" s="12"/>
      <c r="J164" s="24" t="str">
        <f aca="false">IF(B164="","",N(H164)+N(I164))</f>
        <v/>
      </c>
      <c r="K164" s="10"/>
      <c r="L164" s="19"/>
      <c r="M164" s="12"/>
      <c r="N164" s="10"/>
      <c r="O164" s="25" t="str">
        <f aca="true">IF(OR(B164="",K164="Sold",K164="Donated"),"",TODAY()-B164)</f>
        <v/>
      </c>
      <c r="P164" s="25" t="str">
        <f aca="true">IF(OR(L164="",K164="Sold",K164="Donated"),"",TODAY()-L164)</f>
        <v/>
      </c>
      <c r="Q164" s="26" t="str">
        <f aca="false">IF(AND(K164="Listed",P164&lt;&gt;"",N(P164)&gt;Settings!$B$19),"STALE","")</f>
        <v/>
      </c>
      <c r="R164" s="27" t="str">
        <f aca="false">IF(Q164="STALE",COUNTIF($Q$4:Q164,"STALE"),"")</f>
        <v/>
      </c>
    </row>
    <row r="165" customFormat="false" ht="15" hidden="false" customHeight="false" outlineLevel="0" collapsed="false">
      <c r="A165" s="23" t="str">
        <f aca="false">IF(B165="","","SKU-"&amp;TEXT(ROW()-3,"0000"))</f>
        <v/>
      </c>
      <c r="B165" s="19"/>
      <c r="C165" s="10"/>
      <c r="D165" s="10"/>
      <c r="E165" s="10"/>
      <c r="F165" s="10"/>
      <c r="G165" s="10"/>
      <c r="H165" s="12"/>
      <c r="I165" s="12"/>
      <c r="J165" s="24" t="str">
        <f aca="false">IF(B165="","",N(H165)+N(I165))</f>
        <v/>
      </c>
      <c r="K165" s="10"/>
      <c r="L165" s="19"/>
      <c r="M165" s="12"/>
      <c r="N165" s="10"/>
      <c r="O165" s="25" t="str">
        <f aca="true">IF(OR(B165="",K165="Sold",K165="Donated"),"",TODAY()-B165)</f>
        <v/>
      </c>
      <c r="P165" s="25" t="str">
        <f aca="true">IF(OR(L165="",K165="Sold",K165="Donated"),"",TODAY()-L165)</f>
        <v/>
      </c>
      <c r="Q165" s="26" t="str">
        <f aca="false">IF(AND(K165="Listed",P165&lt;&gt;"",N(P165)&gt;Settings!$B$19),"STALE","")</f>
        <v/>
      </c>
      <c r="R165" s="27" t="str">
        <f aca="false">IF(Q165="STALE",COUNTIF($Q$4:Q165,"STALE"),"")</f>
        <v/>
      </c>
    </row>
    <row r="166" customFormat="false" ht="15" hidden="false" customHeight="false" outlineLevel="0" collapsed="false">
      <c r="A166" s="23" t="str">
        <f aca="false">IF(B166="","","SKU-"&amp;TEXT(ROW()-3,"0000"))</f>
        <v/>
      </c>
      <c r="B166" s="19"/>
      <c r="C166" s="10"/>
      <c r="D166" s="10"/>
      <c r="E166" s="10"/>
      <c r="F166" s="10"/>
      <c r="G166" s="10"/>
      <c r="H166" s="12"/>
      <c r="I166" s="12"/>
      <c r="J166" s="24" t="str">
        <f aca="false">IF(B166="","",N(H166)+N(I166))</f>
        <v/>
      </c>
      <c r="K166" s="10"/>
      <c r="L166" s="19"/>
      <c r="M166" s="12"/>
      <c r="N166" s="10"/>
      <c r="O166" s="25" t="str">
        <f aca="true">IF(OR(B166="",K166="Sold",K166="Donated"),"",TODAY()-B166)</f>
        <v/>
      </c>
      <c r="P166" s="25" t="str">
        <f aca="true">IF(OR(L166="",K166="Sold",K166="Donated"),"",TODAY()-L166)</f>
        <v/>
      </c>
      <c r="Q166" s="26" t="str">
        <f aca="false">IF(AND(K166="Listed",P166&lt;&gt;"",N(P166)&gt;Settings!$B$19),"STALE","")</f>
        <v/>
      </c>
      <c r="R166" s="27" t="str">
        <f aca="false">IF(Q166="STALE",COUNTIF($Q$4:Q166,"STALE"),"")</f>
        <v/>
      </c>
    </row>
    <row r="167" customFormat="false" ht="15" hidden="false" customHeight="false" outlineLevel="0" collapsed="false">
      <c r="A167" s="23" t="str">
        <f aca="false">IF(B167="","","SKU-"&amp;TEXT(ROW()-3,"0000"))</f>
        <v/>
      </c>
      <c r="B167" s="19"/>
      <c r="C167" s="10"/>
      <c r="D167" s="10"/>
      <c r="E167" s="10"/>
      <c r="F167" s="10"/>
      <c r="G167" s="10"/>
      <c r="H167" s="12"/>
      <c r="I167" s="12"/>
      <c r="J167" s="24" t="str">
        <f aca="false">IF(B167="","",N(H167)+N(I167))</f>
        <v/>
      </c>
      <c r="K167" s="10"/>
      <c r="L167" s="19"/>
      <c r="M167" s="12"/>
      <c r="N167" s="10"/>
      <c r="O167" s="25" t="str">
        <f aca="true">IF(OR(B167="",K167="Sold",K167="Donated"),"",TODAY()-B167)</f>
        <v/>
      </c>
      <c r="P167" s="25" t="str">
        <f aca="true">IF(OR(L167="",K167="Sold",K167="Donated"),"",TODAY()-L167)</f>
        <v/>
      </c>
      <c r="Q167" s="26" t="str">
        <f aca="false">IF(AND(K167="Listed",P167&lt;&gt;"",N(P167)&gt;Settings!$B$19),"STALE","")</f>
        <v/>
      </c>
      <c r="R167" s="27" t="str">
        <f aca="false">IF(Q167="STALE",COUNTIF($Q$4:Q167,"STALE"),"")</f>
        <v/>
      </c>
    </row>
    <row r="168" customFormat="false" ht="15" hidden="false" customHeight="false" outlineLevel="0" collapsed="false">
      <c r="A168" s="23" t="str">
        <f aca="false">IF(B168="","","SKU-"&amp;TEXT(ROW()-3,"0000"))</f>
        <v/>
      </c>
      <c r="B168" s="19"/>
      <c r="C168" s="10"/>
      <c r="D168" s="10"/>
      <c r="E168" s="10"/>
      <c r="F168" s="10"/>
      <c r="G168" s="10"/>
      <c r="H168" s="12"/>
      <c r="I168" s="12"/>
      <c r="J168" s="24" t="str">
        <f aca="false">IF(B168="","",N(H168)+N(I168))</f>
        <v/>
      </c>
      <c r="K168" s="10"/>
      <c r="L168" s="19"/>
      <c r="M168" s="12"/>
      <c r="N168" s="10"/>
      <c r="O168" s="25" t="str">
        <f aca="true">IF(OR(B168="",K168="Sold",K168="Donated"),"",TODAY()-B168)</f>
        <v/>
      </c>
      <c r="P168" s="25" t="str">
        <f aca="true">IF(OR(L168="",K168="Sold",K168="Donated"),"",TODAY()-L168)</f>
        <v/>
      </c>
      <c r="Q168" s="26" t="str">
        <f aca="false">IF(AND(K168="Listed",P168&lt;&gt;"",N(P168)&gt;Settings!$B$19),"STALE","")</f>
        <v/>
      </c>
      <c r="R168" s="27" t="str">
        <f aca="false">IF(Q168="STALE",COUNTIF($Q$4:Q168,"STALE"),"")</f>
        <v/>
      </c>
    </row>
    <row r="169" customFormat="false" ht="15" hidden="false" customHeight="false" outlineLevel="0" collapsed="false">
      <c r="A169" s="23" t="str">
        <f aca="false">IF(B169="","","SKU-"&amp;TEXT(ROW()-3,"0000"))</f>
        <v/>
      </c>
      <c r="B169" s="19"/>
      <c r="C169" s="10"/>
      <c r="D169" s="10"/>
      <c r="E169" s="10"/>
      <c r="F169" s="10"/>
      <c r="G169" s="10"/>
      <c r="H169" s="12"/>
      <c r="I169" s="12"/>
      <c r="J169" s="24" t="str">
        <f aca="false">IF(B169="","",N(H169)+N(I169))</f>
        <v/>
      </c>
      <c r="K169" s="10"/>
      <c r="L169" s="19"/>
      <c r="M169" s="12"/>
      <c r="N169" s="10"/>
      <c r="O169" s="25" t="str">
        <f aca="true">IF(OR(B169="",K169="Sold",K169="Donated"),"",TODAY()-B169)</f>
        <v/>
      </c>
      <c r="P169" s="25" t="str">
        <f aca="true">IF(OR(L169="",K169="Sold",K169="Donated"),"",TODAY()-L169)</f>
        <v/>
      </c>
      <c r="Q169" s="26" t="str">
        <f aca="false">IF(AND(K169="Listed",P169&lt;&gt;"",N(P169)&gt;Settings!$B$19),"STALE","")</f>
        <v/>
      </c>
      <c r="R169" s="27" t="str">
        <f aca="false">IF(Q169="STALE",COUNTIF($Q$4:Q169,"STALE"),"")</f>
        <v/>
      </c>
    </row>
    <row r="170" customFormat="false" ht="15" hidden="false" customHeight="false" outlineLevel="0" collapsed="false">
      <c r="A170" s="23" t="str">
        <f aca="false">IF(B170="","","SKU-"&amp;TEXT(ROW()-3,"0000"))</f>
        <v/>
      </c>
      <c r="B170" s="19"/>
      <c r="C170" s="10"/>
      <c r="D170" s="10"/>
      <c r="E170" s="10"/>
      <c r="F170" s="10"/>
      <c r="G170" s="10"/>
      <c r="H170" s="12"/>
      <c r="I170" s="12"/>
      <c r="J170" s="24" t="str">
        <f aca="false">IF(B170="","",N(H170)+N(I170))</f>
        <v/>
      </c>
      <c r="K170" s="10"/>
      <c r="L170" s="19"/>
      <c r="M170" s="12"/>
      <c r="N170" s="10"/>
      <c r="O170" s="25" t="str">
        <f aca="true">IF(OR(B170="",K170="Sold",K170="Donated"),"",TODAY()-B170)</f>
        <v/>
      </c>
      <c r="P170" s="25" t="str">
        <f aca="true">IF(OR(L170="",K170="Sold",K170="Donated"),"",TODAY()-L170)</f>
        <v/>
      </c>
      <c r="Q170" s="26" t="str">
        <f aca="false">IF(AND(K170="Listed",P170&lt;&gt;"",N(P170)&gt;Settings!$B$19),"STALE","")</f>
        <v/>
      </c>
      <c r="R170" s="27" t="str">
        <f aca="false">IF(Q170="STALE",COUNTIF($Q$4:Q170,"STALE"),"")</f>
        <v/>
      </c>
    </row>
    <row r="171" customFormat="false" ht="15" hidden="false" customHeight="false" outlineLevel="0" collapsed="false">
      <c r="A171" s="23" t="str">
        <f aca="false">IF(B171="","","SKU-"&amp;TEXT(ROW()-3,"0000"))</f>
        <v/>
      </c>
      <c r="B171" s="19"/>
      <c r="C171" s="10"/>
      <c r="D171" s="10"/>
      <c r="E171" s="10"/>
      <c r="F171" s="10"/>
      <c r="G171" s="10"/>
      <c r="H171" s="12"/>
      <c r="I171" s="12"/>
      <c r="J171" s="24" t="str">
        <f aca="false">IF(B171="","",N(H171)+N(I171))</f>
        <v/>
      </c>
      <c r="K171" s="10"/>
      <c r="L171" s="19"/>
      <c r="M171" s="12"/>
      <c r="N171" s="10"/>
      <c r="O171" s="25" t="str">
        <f aca="true">IF(OR(B171="",K171="Sold",K171="Donated"),"",TODAY()-B171)</f>
        <v/>
      </c>
      <c r="P171" s="25" t="str">
        <f aca="true">IF(OR(L171="",K171="Sold",K171="Donated"),"",TODAY()-L171)</f>
        <v/>
      </c>
      <c r="Q171" s="26" t="str">
        <f aca="false">IF(AND(K171="Listed",P171&lt;&gt;"",N(P171)&gt;Settings!$B$19),"STALE","")</f>
        <v/>
      </c>
      <c r="R171" s="27" t="str">
        <f aca="false">IF(Q171="STALE",COUNTIF($Q$4:Q171,"STALE"),"")</f>
        <v/>
      </c>
    </row>
    <row r="172" customFormat="false" ht="15" hidden="false" customHeight="false" outlineLevel="0" collapsed="false">
      <c r="A172" s="23" t="str">
        <f aca="false">IF(B172="","","SKU-"&amp;TEXT(ROW()-3,"0000"))</f>
        <v/>
      </c>
      <c r="B172" s="19"/>
      <c r="C172" s="10"/>
      <c r="D172" s="10"/>
      <c r="E172" s="10"/>
      <c r="F172" s="10"/>
      <c r="G172" s="10"/>
      <c r="H172" s="12"/>
      <c r="I172" s="12"/>
      <c r="J172" s="24" t="str">
        <f aca="false">IF(B172="","",N(H172)+N(I172))</f>
        <v/>
      </c>
      <c r="K172" s="10"/>
      <c r="L172" s="19"/>
      <c r="M172" s="12"/>
      <c r="N172" s="10"/>
      <c r="O172" s="25" t="str">
        <f aca="true">IF(OR(B172="",K172="Sold",K172="Donated"),"",TODAY()-B172)</f>
        <v/>
      </c>
      <c r="P172" s="25" t="str">
        <f aca="true">IF(OR(L172="",K172="Sold",K172="Donated"),"",TODAY()-L172)</f>
        <v/>
      </c>
      <c r="Q172" s="26" t="str">
        <f aca="false">IF(AND(K172="Listed",P172&lt;&gt;"",N(P172)&gt;Settings!$B$19),"STALE","")</f>
        <v/>
      </c>
      <c r="R172" s="27" t="str">
        <f aca="false">IF(Q172="STALE",COUNTIF($Q$4:Q172,"STALE"),"")</f>
        <v/>
      </c>
    </row>
    <row r="173" customFormat="false" ht="15" hidden="false" customHeight="false" outlineLevel="0" collapsed="false">
      <c r="A173" s="23" t="str">
        <f aca="false">IF(B173="","","SKU-"&amp;TEXT(ROW()-3,"0000"))</f>
        <v/>
      </c>
      <c r="B173" s="19"/>
      <c r="C173" s="10"/>
      <c r="D173" s="10"/>
      <c r="E173" s="10"/>
      <c r="F173" s="10"/>
      <c r="G173" s="10"/>
      <c r="H173" s="12"/>
      <c r="I173" s="12"/>
      <c r="J173" s="24" t="str">
        <f aca="false">IF(B173="","",N(H173)+N(I173))</f>
        <v/>
      </c>
      <c r="K173" s="10"/>
      <c r="L173" s="19"/>
      <c r="M173" s="12"/>
      <c r="N173" s="10"/>
      <c r="O173" s="25" t="str">
        <f aca="true">IF(OR(B173="",K173="Sold",K173="Donated"),"",TODAY()-B173)</f>
        <v/>
      </c>
      <c r="P173" s="25" t="str">
        <f aca="true">IF(OR(L173="",K173="Sold",K173="Donated"),"",TODAY()-L173)</f>
        <v/>
      </c>
      <c r="Q173" s="26" t="str">
        <f aca="false">IF(AND(K173="Listed",P173&lt;&gt;"",N(P173)&gt;Settings!$B$19),"STALE","")</f>
        <v/>
      </c>
      <c r="R173" s="27" t="str">
        <f aca="false">IF(Q173="STALE",COUNTIF($Q$4:Q173,"STALE"),"")</f>
        <v/>
      </c>
    </row>
    <row r="174" customFormat="false" ht="15" hidden="false" customHeight="false" outlineLevel="0" collapsed="false">
      <c r="A174" s="23" t="str">
        <f aca="false">IF(B174="","","SKU-"&amp;TEXT(ROW()-3,"0000"))</f>
        <v/>
      </c>
      <c r="B174" s="19"/>
      <c r="C174" s="10"/>
      <c r="D174" s="10"/>
      <c r="E174" s="10"/>
      <c r="F174" s="10"/>
      <c r="G174" s="10"/>
      <c r="H174" s="12"/>
      <c r="I174" s="12"/>
      <c r="J174" s="24" t="str">
        <f aca="false">IF(B174="","",N(H174)+N(I174))</f>
        <v/>
      </c>
      <c r="K174" s="10"/>
      <c r="L174" s="19"/>
      <c r="M174" s="12"/>
      <c r="N174" s="10"/>
      <c r="O174" s="25" t="str">
        <f aca="true">IF(OR(B174="",K174="Sold",K174="Donated"),"",TODAY()-B174)</f>
        <v/>
      </c>
      <c r="P174" s="25" t="str">
        <f aca="true">IF(OR(L174="",K174="Sold",K174="Donated"),"",TODAY()-L174)</f>
        <v/>
      </c>
      <c r="Q174" s="26" t="str">
        <f aca="false">IF(AND(K174="Listed",P174&lt;&gt;"",N(P174)&gt;Settings!$B$19),"STALE","")</f>
        <v/>
      </c>
      <c r="R174" s="27" t="str">
        <f aca="false">IF(Q174="STALE",COUNTIF($Q$4:Q174,"STALE"),"")</f>
        <v/>
      </c>
    </row>
    <row r="175" customFormat="false" ht="15" hidden="false" customHeight="false" outlineLevel="0" collapsed="false">
      <c r="A175" s="23" t="str">
        <f aca="false">IF(B175="","","SKU-"&amp;TEXT(ROW()-3,"0000"))</f>
        <v/>
      </c>
      <c r="B175" s="19"/>
      <c r="C175" s="10"/>
      <c r="D175" s="10"/>
      <c r="E175" s="10"/>
      <c r="F175" s="10"/>
      <c r="G175" s="10"/>
      <c r="H175" s="12"/>
      <c r="I175" s="12"/>
      <c r="J175" s="24" t="str">
        <f aca="false">IF(B175="","",N(H175)+N(I175))</f>
        <v/>
      </c>
      <c r="K175" s="10"/>
      <c r="L175" s="19"/>
      <c r="M175" s="12"/>
      <c r="N175" s="10"/>
      <c r="O175" s="25" t="str">
        <f aca="true">IF(OR(B175="",K175="Sold",K175="Donated"),"",TODAY()-B175)</f>
        <v/>
      </c>
      <c r="P175" s="25" t="str">
        <f aca="true">IF(OR(L175="",K175="Sold",K175="Donated"),"",TODAY()-L175)</f>
        <v/>
      </c>
      <c r="Q175" s="26" t="str">
        <f aca="false">IF(AND(K175="Listed",P175&lt;&gt;"",N(P175)&gt;Settings!$B$19),"STALE","")</f>
        <v/>
      </c>
      <c r="R175" s="27" t="str">
        <f aca="false">IF(Q175="STALE",COUNTIF($Q$4:Q175,"STALE"),"")</f>
        <v/>
      </c>
    </row>
    <row r="176" customFormat="false" ht="15" hidden="false" customHeight="false" outlineLevel="0" collapsed="false">
      <c r="A176" s="23" t="str">
        <f aca="false">IF(B176="","","SKU-"&amp;TEXT(ROW()-3,"0000"))</f>
        <v/>
      </c>
      <c r="B176" s="19"/>
      <c r="C176" s="10"/>
      <c r="D176" s="10"/>
      <c r="E176" s="10"/>
      <c r="F176" s="10"/>
      <c r="G176" s="10"/>
      <c r="H176" s="12"/>
      <c r="I176" s="12"/>
      <c r="J176" s="24" t="str">
        <f aca="false">IF(B176="","",N(H176)+N(I176))</f>
        <v/>
      </c>
      <c r="K176" s="10"/>
      <c r="L176" s="19"/>
      <c r="M176" s="12"/>
      <c r="N176" s="10"/>
      <c r="O176" s="25" t="str">
        <f aca="true">IF(OR(B176="",K176="Sold",K176="Donated"),"",TODAY()-B176)</f>
        <v/>
      </c>
      <c r="P176" s="25" t="str">
        <f aca="true">IF(OR(L176="",K176="Sold",K176="Donated"),"",TODAY()-L176)</f>
        <v/>
      </c>
      <c r="Q176" s="26" t="str">
        <f aca="false">IF(AND(K176="Listed",P176&lt;&gt;"",N(P176)&gt;Settings!$B$19),"STALE","")</f>
        <v/>
      </c>
      <c r="R176" s="27" t="str">
        <f aca="false">IF(Q176="STALE",COUNTIF($Q$4:Q176,"STALE"),"")</f>
        <v/>
      </c>
    </row>
    <row r="177" customFormat="false" ht="15" hidden="false" customHeight="false" outlineLevel="0" collapsed="false">
      <c r="A177" s="23" t="str">
        <f aca="false">IF(B177="","","SKU-"&amp;TEXT(ROW()-3,"0000"))</f>
        <v/>
      </c>
      <c r="B177" s="19"/>
      <c r="C177" s="10"/>
      <c r="D177" s="10"/>
      <c r="E177" s="10"/>
      <c r="F177" s="10"/>
      <c r="G177" s="10"/>
      <c r="H177" s="12"/>
      <c r="I177" s="12"/>
      <c r="J177" s="24" t="str">
        <f aca="false">IF(B177="","",N(H177)+N(I177))</f>
        <v/>
      </c>
      <c r="K177" s="10"/>
      <c r="L177" s="19"/>
      <c r="M177" s="12"/>
      <c r="N177" s="10"/>
      <c r="O177" s="25" t="str">
        <f aca="true">IF(OR(B177="",K177="Sold",K177="Donated"),"",TODAY()-B177)</f>
        <v/>
      </c>
      <c r="P177" s="25" t="str">
        <f aca="true">IF(OR(L177="",K177="Sold",K177="Donated"),"",TODAY()-L177)</f>
        <v/>
      </c>
      <c r="Q177" s="26" t="str">
        <f aca="false">IF(AND(K177="Listed",P177&lt;&gt;"",N(P177)&gt;Settings!$B$19),"STALE","")</f>
        <v/>
      </c>
      <c r="R177" s="27" t="str">
        <f aca="false">IF(Q177="STALE",COUNTIF($Q$4:Q177,"STALE"),"")</f>
        <v/>
      </c>
    </row>
    <row r="178" customFormat="false" ht="15" hidden="false" customHeight="false" outlineLevel="0" collapsed="false">
      <c r="A178" s="23" t="str">
        <f aca="false">IF(B178="","","SKU-"&amp;TEXT(ROW()-3,"0000"))</f>
        <v/>
      </c>
      <c r="B178" s="19"/>
      <c r="C178" s="10"/>
      <c r="D178" s="10"/>
      <c r="E178" s="10"/>
      <c r="F178" s="10"/>
      <c r="G178" s="10"/>
      <c r="H178" s="12"/>
      <c r="I178" s="12"/>
      <c r="J178" s="24" t="str">
        <f aca="false">IF(B178="","",N(H178)+N(I178))</f>
        <v/>
      </c>
      <c r="K178" s="10"/>
      <c r="L178" s="19"/>
      <c r="M178" s="12"/>
      <c r="N178" s="10"/>
      <c r="O178" s="25" t="str">
        <f aca="true">IF(OR(B178="",K178="Sold",K178="Donated"),"",TODAY()-B178)</f>
        <v/>
      </c>
      <c r="P178" s="25" t="str">
        <f aca="true">IF(OR(L178="",K178="Sold",K178="Donated"),"",TODAY()-L178)</f>
        <v/>
      </c>
      <c r="Q178" s="26" t="str">
        <f aca="false">IF(AND(K178="Listed",P178&lt;&gt;"",N(P178)&gt;Settings!$B$19),"STALE","")</f>
        <v/>
      </c>
      <c r="R178" s="27" t="str">
        <f aca="false">IF(Q178="STALE",COUNTIF($Q$4:Q178,"STALE"),"")</f>
        <v/>
      </c>
    </row>
    <row r="179" customFormat="false" ht="15" hidden="false" customHeight="false" outlineLevel="0" collapsed="false">
      <c r="A179" s="23" t="str">
        <f aca="false">IF(B179="","","SKU-"&amp;TEXT(ROW()-3,"0000"))</f>
        <v/>
      </c>
      <c r="B179" s="19"/>
      <c r="C179" s="10"/>
      <c r="D179" s="10"/>
      <c r="E179" s="10"/>
      <c r="F179" s="10"/>
      <c r="G179" s="10"/>
      <c r="H179" s="12"/>
      <c r="I179" s="12"/>
      <c r="J179" s="24" t="str">
        <f aca="false">IF(B179="","",N(H179)+N(I179))</f>
        <v/>
      </c>
      <c r="K179" s="10"/>
      <c r="L179" s="19"/>
      <c r="M179" s="12"/>
      <c r="N179" s="10"/>
      <c r="O179" s="25" t="str">
        <f aca="true">IF(OR(B179="",K179="Sold",K179="Donated"),"",TODAY()-B179)</f>
        <v/>
      </c>
      <c r="P179" s="25" t="str">
        <f aca="true">IF(OR(L179="",K179="Sold",K179="Donated"),"",TODAY()-L179)</f>
        <v/>
      </c>
      <c r="Q179" s="26" t="str">
        <f aca="false">IF(AND(K179="Listed",P179&lt;&gt;"",N(P179)&gt;Settings!$B$19),"STALE","")</f>
        <v/>
      </c>
      <c r="R179" s="27" t="str">
        <f aca="false">IF(Q179="STALE",COUNTIF($Q$4:Q179,"STALE"),"")</f>
        <v/>
      </c>
    </row>
    <row r="180" customFormat="false" ht="15" hidden="false" customHeight="false" outlineLevel="0" collapsed="false">
      <c r="A180" s="23" t="str">
        <f aca="false">IF(B180="","","SKU-"&amp;TEXT(ROW()-3,"0000"))</f>
        <v/>
      </c>
      <c r="B180" s="19"/>
      <c r="C180" s="10"/>
      <c r="D180" s="10"/>
      <c r="E180" s="10"/>
      <c r="F180" s="10"/>
      <c r="G180" s="10"/>
      <c r="H180" s="12"/>
      <c r="I180" s="12"/>
      <c r="J180" s="24" t="str">
        <f aca="false">IF(B180="","",N(H180)+N(I180))</f>
        <v/>
      </c>
      <c r="K180" s="10"/>
      <c r="L180" s="19"/>
      <c r="M180" s="12"/>
      <c r="N180" s="10"/>
      <c r="O180" s="25" t="str">
        <f aca="true">IF(OR(B180="",K180="Sold",K180="Donated"),"",TODAY()-B180)</f>
        <v/>
      </c>
      <c r="P180" s="25" t="str">
        <f aca="true">IF(OR(L180="",K180="Sold",K180="Donated"),"",TODAY()-L180)</f>
        <v/>
      </c>
      <c r="Q180" s="26" t="str">
        <f aca="false">IF(AND(K180="Listed",P180&lt;&gt;"",N(P180)&gt;Settings!$B$19),"STALE","")</f>
        <v/>
      </c>
      <c r="R180" s="27" t="str">
        <f aca="false">IF(Q180="STALE",COUNTIF($Q$4:Q180,"STALE"),"")</f>
        <v/>
      </c>
    </row>
    <row r="181" customFormat="false" ht="15" hidden="false" customHeight="false" outlineLevel="0" collapsed="false">
      <c r="A181" s="23" t="str">
        <f aca="false">IF(B181="","","SKU-"&amp;TEXT(ROW()-3,"0000"))</f>
        <v/>
      </c>
      <c r="B181" s="19"/>
      <c r="C181" s="10"/>
      <c r="D181" s="10"/>
      <c r="E181" s="10"/>
      <c r="F181" s="10"/>
      <c r="G181" s="10"/>
      <c r="H181" s="12"/>
      <c r="I181" s="12"/>
      <c r="J181" s="24" t="str">
        <f aca="false">IF(B181="","",N(H181)+N(I181))</f>
        <v/>
      </c>
      <c r="K181" s="10"/>
      <c r="L181" s="19"/>
      <c r="M181" s="12"/>
      <c r="N181" s="10"/>
      <c r="O181" s="25" t="str">
        <f aca="true">IF(OR(B181="",K181="Sold",K181="Donated"),"",TODAY()-B181)</f>
        <v/>
      </c>
      <c r="P181" s="25" t="str">
        <f aca="true">IF(OR(L181="",K181="Sold",K181="Donated"),"",TODAY()-L181)</f>
        <v/>
      </c>
      <c r="Q181" s="26" t="str">
        <f aca="false">IF(AND(K181="Listed",P181&lt;&gt;"",N(P181)&gt;Settings!$B$19),"STALE","")</f>
        <v/>
      </c>
      <c r="R181" s="27" t="str">
        <f aca="false">IF(Q181="STALE",COUNTIF($Q$4:Q181,"STALE"),"")</f>
        <v/>
      </c>
    </row>
    <row r="182" customFormat="false" ht="15" hidden="false" customHeight="false" outlineLevel="0" collapsed="false">
      <c r="A182" s="23" t="str">
        <f aca="false">IF(B182="","","SKU-"&amp;TEXT(ROW()-3,"0000"))</f>
        <v/>
      </c>
      <c r="B182" s="19"/>
      <c r="C182" s="10"/>
      <c r="D182" s="10"/>
      <c r="E182" s="10"/>
      <c r="F182" s="10"/>
      <c r="G182" s="10"/>
      <c r="H182" s="12"/>
      <c r="I182" s="12"/>
      <c r="J182" s="24" t="str">
        <f aca="false">IF(B182="","",N(H182)+N(I182))</f>
        <v/>
      </c>
      <c r="K182" s="10"/>
      <c r="L182" s="19"/>
      <c r="M182" s="12"/>
      <c r="N182" s="10"/>
      <c r="O182" s="25" t="str">
        <f aca="true">IF(OR(B182="",K182="Sold",K182="Donated"),"",TODAY()-B182)</f>
        <v/>
      </c>
      <c r="P182" s="25" t="str">
        <f aca="true">IF(OR(L182="",K182="Sold",K182="Donated"),"",TODAY()-L182)</f>
        <v/>
      </c>
      <c r="Q182" s="26" t="str">
        <f aca="false">IF(AND(K182="Listed",P182&lt;&gt;"",N(P182)&gt;Settings!$B$19),"STALE","")</f>
        <v/>
      </c>
      <c r="R182" s="27" t="str">
        <f aca="false">IF(Q182="STALE",COUNTIF($Q$4:Q182,"STALE"),"")</f>
        <v/>
      </c>
    </row>
    <row r="183" customFormat="false" ht="15" hidden="false" customHeight="false" outlineLevel="0" collapsed="false">
      <c r="A183" s="23" t="str">
        <f aca="false">IF(B183="","","SKU-"&amp;TEXT(ROW()-3,"0000"))</f>
        <v/>
      </c>
      <c r="B183" s="19"/>
      <c r="C183" s="10"/>
      <c r="D183" s="10"/>
      <c r="E183" s="10"/>
      <c r="F183" s="10"/>
      <c r="G183" s="10"/>
      <c r="H183" s="12"/>
      <c r="I183" s="12"/>
      <c r="J183" s="24" t="str">
        <f aca="false">IF(B183="","",N(H183)+N(I183))</f>
        <v/>
      </c>
      <c r="K183" s="10"/>
      <c r="L183" s="19"/>
      <c r="M183" s="12"/>
      <c r="N183" s="10"/>
      <c r="O183" s="25" t="str">
        <f aca="true">IF(OR(B183="",K183="Sold",K183="Donated"),"",TODAY()-B183)</f>
        <v/>
      </c>
      <c r="P183" s="25" t="str">
        <f aca="true">IF(OR(L183="",K183="Sold",K183="Donated"),"",TODAY()-L183)</f>
        <v/>
      </c>
      <c r="Q183" s="26" t="str">
        <f aca="false">IF(AND(K183="Listed",P183&lt;&gt;"",N(P183)&gt;Settings!$B$19),"STALE","")</f>
        <v/>
      </c>
      <c r="R183" s="27" t="str">
        <f aca="false">IF(Q183="STALE",COUNTIF($Q$4:Q183,"STALE"),"")</f>
        <v/>
      </c>
    </row>
    <row r="184" customFormat="false" ht="15" hidden="false" customHeight="false" outlineLevel="0" collapsed="false">
      <c r="A184" s="23" t="str">
        <f aca="false">IF(B184="","","SKU-"&amp;TEXT(ROW()-3,"0000"))</f>
        <v/>
      </c>
      <c r="B184" s="19"/>
      <c r="C184" s="10"/>
      <c r="D184" s="10"/>
      <c r="E184" s="10"/>
      <c r="F184" s="10"/>
      <c r="G184" s="10"/>
      <c r="H184" s="12"/>
      <c r="I184" s="12"/>
      <c r="J184" s="24" t="str">
        <f aca="false">IF(B184="","",N(H184)+N(I184))</f>
        <v/>
      </c>
      <c r="K184" s="10"/>
      <c r="L184" s="19"/>
      <c r="M184" s="12"/>
      <c r="N184" s="10"/>
      <c r="O184" s="25" t="str">
        <f aca="true">IF(OR(B184="",K184="Sold",K184="Donated"),"",TODAY()-B184)</f>
        <v/>
      </c>
      <c r="P184" s="25" t="str">
        <f aca="true">IF(OR(L184="",K184="Sold",K184="Donated"),"",TODAY()-L184)</f>
        <v/>
      </c>
      <c r="Q184" s="26" t="str">
        <f aca="false">IF(AND(K184="Listed",P184&lt;&gt;"",N(P184)&gt;Settings!$B$19),"STALE","")</f>
        <v/>
      </c>
      <c r="R184" s="27" t="str">
        <f aca="false">IF(Q184="STALE",COUNTIF($Q$4:Q184,"STALE"),"")</f>
        <v/>
      </c>
    </row>
    <row r="185" customFormat="false" ht="15" hidden="false" customHeight="false" outlineLevel="0" collapsed="false">
      <c r="A185" s="23" t="str">
        <f aca="false">IF(B185="","","SKU-"&amp;TEXT(ROW()-3,"0000"))</f>
        <v/>
      </c>
      <c r="B185" s="19"/>
      <c r="C185" s="10"/>
      <c r="D185" s="10"/>
      <c r="E185" s="10"/>
      <c r="F185" s="10"/>
      <c r="G185" s="10"/>
      <c r="H185" s="12"/>
      <c r="I185" s="12"/>
      <c r="J185" s="24" t="str">
        <f aca="false">IF(B185="","",N(H185)+N(I185))</f>
        <v/>
      </c>
      <c r="K185" s="10"/>
      <c r="L185" s="19"/>
      <c r="M185" s="12"/>
      <c r="N185" s="10"/>
      <c r="O185" s="25" t="str">
        <f aca="true">IF(OR(B185="",K185="Sold",K185="Donated"),"",TODAY()-B185)</f>
        <v/>
      </c>
      <c r="P185" s="25" t="str">
        <f aca="true">IF(OR(L185="",K185="Sold",K185="Donated"),"",TODAY()-L185)</f>
        <v/>
      </c>
      <c r="Q185" s="26" t="str">
        <f aca="false">IF(AND(K185="Listed",P185&lt;&gt;"",N(P185)&gt;Settings!$B$19),"STALE","")</f>
        <v/>
      </c>
      <c r="R185" s="27" t="str">
        <f aca="false">IF(Q185="STALE",COUNTIF($Q$4:Q185,"STALE"),"")</f>
        <v/>
      </c>
    </row>
    <row r="186" customFormat="false" ht="15" hidden="false" customHeight="false" outlineLevel="0" collapsed="false">
      <c r="A186" s="23" t="str">
        <f aca="false">IF(B186="","","SKU-"&amp;TEXT(ROW()-3,"0000"))</f>
        <v/>
      </c>
      <c r="B186" s="19"/>
      <c r="C186" s="10"/>
      <c r="D186" s="10"/>
      <c r="E186" s="10"/>
      <c r="F186" s="10"/>
      <c r="G186" s="10"/>
      <c r="H186" s="12"/>
      <c r="I186" s="12"/>
      <c r="J186" s="24" t="str">
        <f aca="false">IF(B186="","",N(H186)+N(I186))</f>
        <v/>
      </c>
      <c r="K186" s="10"/>
      <c r="L186" s="19"/>
      <c r="M186" s="12"/>
      <c r="N186" s="10"/>
      <c r="O186" s="25" t="str">
        <f aca="true">IF(OR(B186="",K186="Sold",K186="Donated"),"",TODAY()-B186)</f>
        <v/>
      </c>
      <c r="P186" s="25" t="str">
        <f aca="true">IF(OR(L186="",K186="Sold",K186="Donated"),"",TODAY()-L186)</f>
        <v/>
      </c>
      <c r="Q186" s="26" t="str">
        <f aca="false">IF(AND(K186="Listed",P186&lt;&gt;"",N(P186)&gt;Settings!$B$19),"STALE","")</f>
        <v/>
      </c>
      <c r="R186" s="27" t="str">
        <f aca="false">IF(Q186="STALE",COUNTIF($Q$4:Q186,"STALE"),"")</f>
        <v/>
      </c>
    </row>
    <row r="187" customFormat="false" ht="15" hidden="false" customHeight="false" outlineLevel="0" collapsed="false">
      <c r="A187" s="23" t="str">
        <f aca="false">IF(B187="","","SKU-"&amp;TEXT(ROW()-3,"0000"))</f>
        <v/>
      </c>
      <c r="B187" s="19"/>
      <c r="C187" s="10"/>
      <c r="D187" s="10"/>
      <c r="E187" s="10"/>
      <c r="F187" s="10"/>
      <c r="G187" s="10"/>
      <c r="H187" s="12"/>
      <c r="I187" s="12"/>
      <c r="J187" s="24" t="str">
        <f aca="false">IF(B187="","",N(H187)+N(I187))</f>
        <v/>
      </c>
      <c r="K187" s="10"/>
      <c r="L187" s="19"/>
      <c r="M187" s="12"/>
      <c r="N187" s="10"/>
      <c r="O187" s="25" t="str">
        <f aca="true">IF(OR(B187="",K187="Sold",K187="Donated"),"",TODAY()-B187)</f>
        <v/>
      </c>
      <c r="P187" s="25" t="str">
        <f aca="true">IF(OR(L187="",K187="Sold",K187="Donated"),"",TODAY()-L187)</f>
        <v/>
      </c>
      <c r="Q187" s="26" t="str">
        <f aca="false">IF(AND(K187="Listed",P187&lt;&gt;"",N(P187)&gt;Settings!$B$19),"STALE","")</f>
        <v/>
      </c>
      <c r="R187" s="27" t="str">
        <f aca="false">IF(Q187="STALE",COUNTIF($Q$4:Q187,"STALE"),"")</f>
        <v/>
      </c>
    </row>
    <row r="188" customFormat="false" ht="15" hidden="false" customHeight="false" outlineLevel="0" collapsed="false">
      <c r="A188" s="23" t="str">
        <f aca="false">IF(B188="","","SKU-"&amp;TEXT(ROW()-3,"0000"))</f>
        <v/>
      </c>
      <c r="B188" s="19"/>
      <c r="C188" s="10"/>
      <c r="D188" s="10"/>
      <c r="E188" s="10"/>
      <c r="F188" s="10"/>
      <c r="G188" s="10"/>
      <c r="H188" s="12"/>
      <c r="I188" s="12"/>
      <c r="J188" s="24" t="str">
        <f aca="false">IF(B188="","",N(H188)+N(I188))</f>
        <v/>
      </c>
      <c r="K188" s="10"/>
      <c r="L188" s="19"/>
      <c r="M188" s="12"/>
      <c r="N188" s="10"/>
      <c r="O188" s="25" t="str">
        <f aca="true">IF(OR(B188="",K188="Sold",K188="Donated"),"",TODAY()-B188)</f>
        <v/>
      </c>
      <c r="P188" s="25" t="str">
        <f aca="true">IF(OR(L188="",K188="Sold",K188="Donated"),"",TODAY()-L188)</f>
        <v/>
      </c>
      <c r="Q188" s="26" t="str">
        <f aca="false">IF(AND(K188="Listed",P188&lt;&gt;"",N(P188)&gt;Settings!$B$19),"STALE","")</f>
        <v/>
      </c>
      <c r="R188" s="27" t="str">
        <f aca="false">IF(Q188="STALE",COUNTIF($Q$4:Q188,"STALE"),"")</f>
        <v/>
      </c>
    </row>
    <row r="189" customFormat="false" ht="15" hidden="false" customHeight="false" outlineLevel="0" collapsed="false">
      <c r="A189" s="23" t="str">
        <f aca="false">IF(B189="","","SKU-"&amp;TEXT(ROW()-3,"0000"))</f>
        <v/>
      </c>
      <c r="B189" s="19"/>
      <c r="C189" s="10"/>
      <c r="D189" s="10"/>
      <c r="E189" s="10"/>
      <c r="F189" s="10"/>
      <c r="G189" s="10"/>
      <c r="H189" s="12"/>
      <c r="I189" s="12"/>
      <c r="J189" s="24" t="str">
        <f aca="false">IF(B189="","",N(H189)+N(I189))</f>
        <v/>
      </c>
      <c r="K189" s="10"/>
      <c r="L189" s="19"/>
      <c r="M189" s="12"/>
      <c r="N189" s="10"/>
      <c r="O189" s="25" t="str">
        <f aca="true">IF(OR(B189="",K189="Sold",K189="Donated"),"",TODAY()-B189)</f>
        <v/>
      </c>
      <c r="P189" s="25" t="str">
        <f aca="true">IF(OR(L189="",K189="Sold",K189="Donated"),"",TODAY()-L189)</f>
        <v/>
      </c>
      <c r="Q189" s="26" t="str">
        <f aca="false">IF(AND(K189="Listed",P189&lt;&gt;"",N(P189)&gt;Settings!$B$19),"STALE","")</f>
        <v/>
      </c>
      <c r="R189" s="27" t="str">
        <f aca="false">IF(Q189="STALE",COUNTIF($Q$4:Q189,"STALE"),"")</f>
        <v/>
      </c>
    </row>
    <row r="190" customFormat="false" ht="15" hidden="false" customHeight="false" outlineLevel="0" collapsed="false">
      <c r="A190" s="23" t="str">
        <f aca="false">IF(B190="","","SKU-"&amp;TEXT(ROW()-3,"0000"))</f>
        <v/>
      </c>
      <c r="B190" s="19"/>
      <c r="C190" s="10"/>
      <c r="D190" s="10"/>
      <c r="E190" s="10"/>
      <c r="F190" s="10"/>
      <c r="G190" s="10"/>
      <c r="H190" s="12"/>
      <c r="I190" s="12"/>
      <c r="J190" s="24" t="str">
        <f aca="false">IF(B190="","",N(H190)+N(I190))</f>
        <v/>
      </c>
      <c r="K190" s="10"/>
      <c r="L190" s="19"/>
      <c r="M190" s="12"/>
      <c r="N190" s="10"/>
      <c r="O190" s="25" t="str">
        <f aca="true">IF(OR(B190="",K190="Sold",K190="Donated"),"",TODAY()-B190)</f>
        <v/>
      </c>
      <c r="P190" s="25" t="str">
        <f aca="true">IF(OR(L190="",K190="Sold",K190="Donated"),"",TODAY()-L190)</f>
        <v/>
      </c>
      <c r="Q190" s="26" t="str">
        <f aca="false">IF(AND(K190="Listed",P190&lt;&gt;"",N(P190)&gt;Settings!$B$19),"STALE","")</f>
        <v/>
      </c>
      <c r="R190" s="27" t="str">
        <f aca="false">IF(Q190="STALE",COUNTIF($Q$4:Q190,"STALE"),"")</f>
        <v/>
      </c>
    </row>
    <row r="191" customFormat="false" ht="15" hidden="false" customHeight="false" outlineLevel="0" collapsed="false">
      <c r="A191" s="23" t="str">
        <f aca="false">IF(B191="","","SKU-"&amp;TEXT(ROW()-3,"0000"))</f>
        <v/>
      </c>
      <c r="B191" s="19"/>
      <c r="C191" s="10"/>
      <c r="D191" s="10"/>
      <c r="E191" s="10"/>
      <c r="F191" s="10"/>
      <c r="G191" s="10"/>
      <c r="H191" s="12"/>
      <c r="I191" s="12"/>
      <c r="J191" s="24" t="str">
        <f aca="false">IF(B191="","",N(H191)+N(I191))</f>
        <v/>
      </c>
      <c r="K191" s="10"/>
      <c r="L191" s="19"/>
      <c r="M191" s="12"/>
      <c r="N191" s="10"/>
      <c r="O191" s="25" t="str">
        <f aca="true">IF(OR(B191="",K191="Sold",K191="Donated"),"",TODAY()-B191)</f>
        <v/>
      </c>
      <c r="P191" s="25" t="str">
        <f aca="true">IF(OR(L191="",K191="Sold",K191="Donated"),"",TODAY()-L191)</f>
        <v/>
      </c>
      <c r="Q191" s="26" t="str">
        <f aca="false">IF(AND(K191="Listed",P191&lt;&gt;"",N(P191)&gt;Settings!$B$19),"STALE","")</f>
        <v/>
      </c>
      <c r="R191" s="27" t="str">
        <f aca="false">IF(Q191="STALE",COUNTIF($Q$4:Q191,"STALE"),"")</f>
        <v/>
      </c>
    </row>
    <row r="192" customFormat="false" ht="15" hidden="false" customHeight="false" outlineLevel="0" collapsed="false">
      <c r="A192" s="23" t="str">
        <f aca="false">IF(B192="","","SKU-"&amp;TEXT(ROW()-3,"0000"))</f>
        <v/>
      </c>
      <c r="B192" s="19"/>
      <c r="C192" s="10"/>
      <c r="D192" s="10"/>
      <c r="E192" s="10"/>
      <c r="F192" s="10"/>
      <c r="G192" s="10"/>
      <c r="H192" s="12"/>
      <c r="I192" s="12"/>
      <c r="J192" s="24" t="str">
        <f aca="false">IF(B192="","",N(H192)+N(I192))</f>
        <v/>
      </c>
      <c r="K192" s="10"/>
      <c r="L192" s="19"/>
      <c r="M192" s="12"/>
      <c r="N192" s="10"/>
      <c r="O192" s="25" t="str">
        <f aca="true">IF(OR(B192="",K192="Sold",K192="Donated"),"",TODAY()-B192)</f>
        <v/>
      </c>
      <c r="P192" s="25" t="str">
        <f aca="true">IF(OR(L192="",K192="Sold",K192="Donated"),"",TODAY()-L192)</f>
        <v/>
      </c>
      <c r="Q192" s="26" t="str">
        <f aca="false">IF(AND(K192="Listed",P192&lt;&gt;"",N(P192)&gt;Settings!$B$19),"STALE","")</f>
        <v/>
      </c>
      <c r="R192" s="27" t="str">
        <f aca="false">IF(Q192="STALE",COUNTIF($Q$4:Q192,"STALE"),"")</f>
        <v/>
      </c>
    </row>
    <row r="193" customFormat="false" ht="15" hidden="false" customHeight="false" outlineLevel="0" collapsed="false">
      <c r="A193" s="23" t="str">
        <f aca="false">IF(B193="","","SKU-"&amp;TEXT(ROW()-3,"0000"))</f>
        <v/>
      </c>
      <c r="B193" s="19"/>
      <c r="C193" s="10"/>
      <c r="D193" s="10"/>
      <c r="E193" s="10"/>
      <c r="F193" s="10"/>
      <c r="G193" s="10"/>
      <c r="H193" s="12"/>
      <c r="I193" s="12"/>
      <c r="J193" s="24" t="str">
        <f aca="false">IF(B193="","",N(H193)+N(I193))</f>
        <v/>
      </c>
      <c r="K193" s="10"/>
      <c r="L193" s="19"/>
      <c r="M193" s="12"/>
      <c r="N193" s="10"/>
      <c r="O193" s="25" t="str">
        <f aca="true">IF(OR(B193="",K193="Sold",K193="Donated"),"",TODAY()-B193)</f>
        <v/>
      </c>
      <c r="P193" s="25" t="str">
        <f aca="true">IF(OR(L193="",K193="Sold",K193="Donated"),"",TODAY()-L193)</f>
        <v/>
      </c>
      <c r="Q193" s="26" t="str">
        <f aca="false">IF(AND(K193="Listed",P193&lt;&gt;"",N(P193)&gt;Settings!$B$19),"STALE","")</f>
        <v/>
      </c>
      <c r="R193" s="27" t="str">
        <f aca="false">IF(Q193="STALE",COUNTIF($Q$4:Q193,"STALE"),"")</f>
        <v/>
      </c>
    </row>
    <row r="194" customFormat="false" ht="15" hidden="false" customHeight="false" outlineLevel="0" collapsed="false">
      <c r="A194" s="23" t="str">
        <f aca="false">IF(B194="","","SKU-"&amp;TEXT(ROW()-3,"0000"))</f>
        <v/>
      </c>
      <c r="B194" s="19"/>
      <c r="C194" s="10"/>
      <c r="D194" s="10"/>
      <c r="E194" s="10"/>
      <c r="F194" s="10"/>
      <c r="G194" s="10"/>
      <c r="H194" s="12"/>
      <c r="I194" s="12"/>
      <c r="J194" s="24" t="str">
        <f aca="false">IF(B194="","",N(H194)+N(I194))</f>
        <v/>
      </c>
      <c r="K194" s="10"/>
      <c r="L194" s="19"/>
      <c r="M194" s="12"/>
      <c r="N194" s="10"/>
      <c r="O194" s="25" t="str">
        <f aca="true">IF(OR(B194="",K194="Sold",K194="Donated"),"",TODAY()-B194)</f>
        <v/>
      </c>
      <c r="P194" s="25" t="str">
        <f aca="true">IF(OR(L194="",K194="Sold",K194="Donated"),"",TODAY()-L194)</f>
        <v/>
      </c>
      <c r="Q194" s="26" t="str">
        <f aca="false">IF(AND(K194="Listed",P194&lt;&gt;"",N(P194)&gt;Settings!$B$19),"STALE","")</f>
        <v/>
      </c>
      <c r="R194" s="27" t="str">
        <f aca="false">IF(Q194="STALE",COUNTIF($Q$4:Q194,"STALE"),"")</f>
        <v/>
      </c>
    </row>
    <row r="195" customFormat="false" ht="15" hidden="false" customHeight="false" outlineLevel="0" collapsed="false">
      <c r="A195" s="23" t="str">
        <f aca="false">IF(B195="","","SKU-"&amp;TEXT(ROW()-3,"0000"))</f>
        <v/>
      </c>
      <c r="B195" s="19"/>
      <c r="C195" s="10"/>
      <c r="D195" s="10"/>
      <c r="E195" s="10"/>
      <c r="F195" s="10"/>
      <c r="G195" s="10"/>
      <c r="H195" s="12"/>
      <c r="I195" s="12"/>
      <c r="J195" s="24" t="str">
        <f aca="false">IF(B195="","",N(H195)+N(I195))</f>
        <v/>
      </c>
      <c r="K195" s="10"/>
      <c r="L195" s="19"/>
      <c r="M195" s="12"/>
      <c r="N195" s="10"/>
      <c r="O195" s="25" t="str">
        <f aca="true">IF(OR(B195="",K195="Sold",K195="Donated"),"",TODAY()-B195)</f>
        <v/>
      </c>
      <c r="P195" s="25" t="str">
        <f aca="true">IF(OR(L195="",K195="Sold",K195="Donated"),"",TODAY()-L195)</f>
        <v/>
      </c>
      <c r="Q195" s="26" t="str">
        <f aca="false">IF(AND(K195="Listed",P195&lt;&gt;"",N(P195)&gt;Settings!$B$19),"STALE","")</f>
        <v/>
      </c>
      <c r="R195" s="27" t="str">
        <f aca="false">IF(Q195="STALE",COUNTIF($Q$4:Q195,"STALE"),"")</f>
        <v/>
      </c>
    </row>
    <row r="196" customFormat="false" ht="15" hidden="false" customHeight="false" outlineLevel="0" collapsed="false">
      <c r="A196" s="23" t="str">
        <f aca="false">IF(B196="","","SKU-"&amp;TEXT(ROW()-3,"0000"))</f>
        <v/>
      </c>
      <c r="B196" s="19"/>
      <c r="C196" s="10"/>
      <c r="D196" s="10"/>
      <c r="E196" s="10"/>
      <c r="F196" s="10"/>
      <c r="G196" s="10"/>
      <c r="H196" s="12"/>
      <c r="I196" s="12"/>
      <c r="J196" s="24" t="str">
        <f aca="false">IF(B196="","",N(H196)+N(I196))</f>
        <v/>
      </c>
      <c r="K196" s="10"/>
      <c r="L196" s="19"/>
      <c r="M196" s="12"/>
      <c r="N196" s="10"/>
      <c r="O196" s="25" t="str">
        <f aca="true">IF(OR(B196="",K196="Sold",K196="Donated"),"",TODAY()-B196)</f>
        <v/>
      </c>
      <c r="P196" s="25" t="str">
        <f aca="true">IF(OR(L196="",K196="Sold",K196="Donated"),"",TODAY()-L196)</f>
        <v/>
      </c>
      <c r="Q196" s="26" t="str">
        <f aca="false">IF(AND(K196="Listed",P196&lt;&gt;"",N(P196)&gt;Settings!$B$19),"STALE","")</f>
        <v/>
      </c>
      <c r="R196" s="27" t="str">
        <f aca="false">IF(Q196="STALE",COUNTIF($Q$4:Q196,"STALE"),"")</f>
        <v/>
      </c>
    </row>
    <row r="197" customFormat="false" ht="15" hidden="false" customHeight="false" outlineLevel="0" collapsed="false">
      <c r="A197" s="23" t="str">
        <f aca="false">IF(B197="","","SKU-"&amp;TEXT(ROW()-3,"0000"))</f>
        <v/>
      </c>
      <c r="B197" s="19"/>
      <c r="C197" s="10"/>
      <c r="D197" s="10"/>
      <c r="E197" s="10"/>
      <c r="F197" s="10"/>
      <c r="G197" s="10"/>
      <c r="H197" s="12"/>
      <c r="I197" s="12"/>
      <c r="J197" s="24" t="str">
        <f aca="false">IF(B197="","",N(H197)+N(I197))</f>
        <v/>
      </c>
      <c r="K197" s="10"/>
      <c r="L197" s="19"/>
      <c r="M197" s="12"/>
      <c r="N197" s="10"/>
      <c r="O197" s="25" t="str">
        <f aca="true">IF(OR(B197="",K197="Sold",K197="Donated"),"",TODAY()-B197)</f>
        <v/>
      </c>
      <c r="P197" s="25" t="str">
        <f aca="true">IF(OR(L197="",K197="Sold",K197="Donated"),"",TODAY()-L197)</f>
        <v/>
      </c>
      <c r="Q197" s="26" t="str">
        <f aca="false">IF(AND(K197="Listed",P197&lt;&gt;"",N(P197)&gt;Settings!$B$19),"STALE","")</f>
        <v/>
      </c>
      <c r="R197" s="27" t="str">
        <f aca="false">IF(Q197="STALE",COUNTIF($Q$4:Q197,"STALE"),"")</f>
        <v/>
      </c>
    </row>
    <row r="198" customFormat="false" ht="15" hidden="false" customHeight="false" outlineLevel="0" collapsed="false">
      <c r="A198" s="23" t="str">
        <f aca="false">IF(B198="","","SKU-"&amp;TEXT(ROW()-3,"0000"))</f>
        <v/>
      </c>
      <c r="B198" s="19"/>
      <c r="C198" s="10"/>
      <c r="D198" s="10"/>
      <c r="E198" s="10"/>
      <c r="F198" s="10"/>
      <c r="G198" s="10"/>
      <c r="H198" s="12"/>
      <c r="I198" s="12"/>
      <c r="J198" s="24" t="str">
        <f aca="false">IF(B198="","",N(H198)+N(I198))</f>
        <v/>
      </c>
      <c r="K198" s="10"/>
      <c r="L198" s="19"/>
      <c r="M198" s="12"/>
      <c r="N198" s="10"/>
      <c r="O198" s="25" t="str">
        <f aca="true">IF(OR(B198="",K198="Sold",K198="Donated"),"",TODAY()-B198)</f>
        <v/>
      </c>
      <c r="P198" s="25" t="str">
        <f aca="true">IF(OR(L198="",K198="Sold",K198="Donated"),"",TODAY()-L198)</f>
        <v/>
      </c>
      <c r="Q198" s="26" t="str">
        <f aca="false">IF(AND(K198="Listed",P198&lt;&gt;"",N(P198)&gt;Settings!$B$19),"STALE","")</f>
        <v/>
      </c>
      <c r="R198" s="27" t="str">
        <f aca="false">IF(Q198="STALE",COUNTIF($Q$4:Q198,"STALE"),"")</f>
        <v/>
      </c>
    </row>
    <row r="199" customFormat="false" ht="15" hidden="false" customHeight="false" outlineLevel="0" collapsed="false">
      <c r="A199" s="23" t="str">
        <f aca="false">IF(B199="","","SKU-"&amp;TEXT(ROW()-3,"0000"))</f>
        <v/>
      </c>
      <c r="B199" s="19"/>
      <c r="C199" s="10"/>
      <c r="D199" s="10"/>
      <c r="E199" s="10"/>
      <c r="F199" s="10"/>
      <c r="G199" s="10"/>
      <c r="H199" s="12"/>
      <c r="I199" s="12"/>
      <c r="J199" s="24" t="str">
        <f aca="false">IF(B199="","",N(H199)+N(I199))</f>
        <v/>
      </c>
      <c r="K199" s="10"/>
      <c r="L199" s="19"/>
      <c r="M199" s="12"/>
      <c r="N199" s="10"/>
      <c r="O199" s="25" t="str">
        <f aca="true">IF(OR(B199="",K199="Sold",K199="Donated"),"",TODAY()-B199)</f>
        <v/>
      </c>
      <c r="P199" s="25" t="str">
        <f aca="true">IF(OR(L199="",K199="Sold",K199="Donated"),"",TODAY()-L199)</f>
        <v/>
      </c>
      <c r="Q199" s="26" t="str">
        <f aca="false">IF(AND(K199="Listed",P199&lt;&gt;"",N(P199)&gt;Settings!$B$19),"STALE","")</f>
        <v/>
      </c>
      <c r="R199" s="27" t="str">
        <f aca="false">IF(Q199="STALE",COUNTIF($Q$4:Q199,"STALE"),"")</f>
        <v/>
      </c>
    </row>
    <row r="200" customFormat="false" ht="15" hidden="false" customHeight="false" outlineLevel="0" collapsed="false">
      <c r="A200" s="23" t="str">
        <f aca="false">IF(B200="","","SKU-"&amp;TEXT(ROW()-3,"0000"))</f>
        <v/>
      </c>
      <c r="B200" s="19"/>
      <c r="C200" s="10"/>
      <c r="D200" s="10"/>
      <c r="E200" s="10"/>
      <c r="F200" s="10"/>
      <c r="G200" s="10"/>
      <c r="H200" s="12"/>
      <c r="I200" s="12"/>
      <c r="J200" s="24" t="str">
        <f aca="false">IF(B200="","",N(H200)+N(I200))</f>
        <v/>
      </c>
      <c r="K200" s="10"/>
      <c r="L200" s="19"/>
      <c r="M200" s="12"/>
      <c r="N200" s="10"/>
      <c r="O200" s="25" t="str">
        <f aca="true">IF(OR(B200="",K200="Sold",K200="Donated"),"",TODAY()-B200)</f>
        <v/>
      </c>
      <c r="P200" s="25" t="str">
        <f aca="true">IF(OR(L200="",K200="Sold",K200="Donated"),"",TODAY()-L200)</f>
        <v/>
      </c>
      <c r="Q200" s="26" t="str">
        <f aca="false">IF(AND(K200="Listed",P200&lt;&gt;"",N(P200)&gt;Settings!$B$19),"STALE","")</f>
        <v/>
      </c>
      <c r="R200" s="27" t="str">
        <f aca="false">IF(Q200="STALE",COUNTIF($Q$4:Q200,"STALE"),"")</f>
        <v/>
      </c>
    </row>
    <row r="201" customFormat="false" ht="15" hidden="false" customHeight="false" outlineLevel="0" collapsed="false">
      <c r="A201" s="23" t="str">
        <f aca="false">IF(B201="","","SKU-"&amp;TEXT(ROW()-3,"0000"))</f>
        <v/>
      </c>
      <c r="B201" s="19"/>
      <c r="C201" s="10"/>
      <c r="D201" s="10"/>
      <c r="E201" s="10"/>
      <c r="F201" s="10"/>
      <c r="G201" s="10"/>
      <c r="H201" s="12"/>
      <c r="I201" s="12"/>
      <c r="J201" s="24" t="str">
        <f aca="false">IF(B201="","",N(H201)+N(I201))</f>
        <v/>
      </c>
      <c r="K201" s="10"/>
      <c r="L201" s="19"/>
      <c r="M201" s="12"/>
      <c r="N201" s="10"/>
      <c r="O201" s="25" t="str">
        <f aca="true">IF(OR(B201="",K201="Sold",K201="Donated"),"",TODAY()-B201)</f>
        <v/>
      </c>
      <c r="P201" s="25" t="str">
        <f aca="true">IF(OR(L201="",K201="Sold",K201="Donated"),"",TODAY()-L201)</f>
        <v/>
      </c>
      <c r="Q201" s="26" t="str">
        <f aca="false">IF(AND(K201="Listed",P201&lt;&gt;"",N(P201)&gt;Settings!$B$19),"STALE","")</f>
        <v/>
      </c>
      <c r="R201" s="27" t="str">
        <f aca="false">IF(Q201="STALE",COUNTIF($Q$4:Q201,"STALE"),"")</f>
        <v/>
      </c>
    </row>
    <row r="202" customFormat="false" ht="15" hidden="false" customHeight="false" outlineLevel="0" collapsed="false">
      <c r="A202" s="23" t="str">
        <f aca="false">IF(B202="","","SKU-"&amp;TEXT(ROW()-3,"0000"))</f>
        <v/>
      </c>
      <c r="B202" s="19"/>
      <c r="C202" s="10"/>
      <c r="D202" s="10"/>
      <c r="E202" s="10"/>
      <c r="F202" s="10"/>
      <c r="G202" s="10"/>
      <c r="H202" s="12"/>
      <c r="I202" s="12"/>
      <c r="J202" s="24" t="str">
        <f aca="false">IF(B202="","",N(H202)+N(I202))</f>
        <v/>
      </c>
      <c r="K202" s="10"/>
      <c r="L202" s="19"/>
      <c r="M202" s="12"/>
      <c r="N202" s="10"/>
      <c r="O202" s="25" t="str">
        <f aca="true">IF(OR(B202="",K202="Sold",K202="Donated"),"",TODAY()-B202)</f>
        <v/>
      </c>
      <c r="P202" s="25" t="str">
        <f aca="true">IF(OR(L202="",K202="Sold",K202="Donated"),"",TODAY()-L202)</f>
        <v/>
      </c>
      <c r="Q202" s="26" t="str">
        <f aca="false">IF(AND(K202="Listed",P202&lt;&gt;"",N(P202)&gt;Settings!$B$19),"STALE","")</f>
        <v/>
      </c>
      <c r="R202" s="27" t="str">
        <f aca="false">IF(Q202="STALE",COUNTIF($Q$4:Q202,"STALE"),"")</f>
        <v/>
      </c>
    </row>
    <row r="203" customFormat="false" ht="15" hidden="false" customHeight="false" outlineLevel="0" collapsed="false">
      <c r="A203" s="23" t="str">
        <f aca="false">IF(B203="","","SKU-"&amp;TEXT(ROW()-3,"0000"))</f>
        <v/>
      </c>
      <c r="B203" s="19"/>
      <c r="C203" s="10"/>
      <c r="D203" s="10"/>
      <c r="E203" s="10"/>
      <c r="F203" s="10"/>
      <c r="G203" s="10"/>
      <c r="H203" s="12"/>
      <c r="I203" s="12"/>
      <c r="J203" s="24" t="str">
        <f aca="false">IF(B203="","",N(H203)+N(I203))</f>
        <v/>
      </c>
      <c r="K203" s="10"/>
      <c r="L203" s="19"/>
      <c r="M203" s="12"/>
      <c r="N203" s="10"/>
      <c r="O203" s="25" t="str">
        <f aca="true">IF(OR(B203="",K203="Sold",K203="Donated"),"",TODAY()-B203)</f>
        <v/>
      </c>
      <c r="P203" s="25" t="str">
        <f aca="true">IF(OR(L203="",K203="Sold",K203="Donated"),"",TODAY()-L203)</f>
        <v/>
      </c>
      <c r="Q203" s="26" t="str">
        <f aca="false">IF(AND(K203="Listed",P203&lt;&gt;"",N(P203)&gt;Settings!$B$19),"STALE","")</f>
        <v/>
      </c>
      <c r="R203" s="27" t="str">
        <f aca="false">IF(Q203="STALE",COUNTIF($Q$4:Q203,"STALE"),"")</f>
        <v/>
      </c>
    </row>
    <row r="204" customFormat="false" ht="15" hidden="false" customHeight="false" outlineLevel="0" collapsed="false">
      <c r="A204" s="23" t="str">
        <f aca="false">IF(B204="","","SKU-"&amp;TEXT(ROW()-3,"0000"))</f>
        <v/>
      </c>
      <c r="B204" s="19"/>
      <c r="C204" s="10"/>
      <c r="D204" s="10"/>
      <c r="E204" s="10"/>
      <c r="F204" s="10"/>
      <c r="G204" s="10"/>
      <c r="H204" s="12"/>
      <c r="I204" s="12"/>
      <c r="J204" s="24" t="str">
        <f aca="false">IF(B204="","",N(H204)+N(I204))</f>
        <v/>
      </c>
      <c r="K204" s="10"/>
      <c r="L204" s="19"/>
      <c r="M204" s="12"/>
      <c r="N204" s="10"/>
      <c r="O204" s="25" t="str">
        <f aca="true">IF(OR(B204="",K204="Sold",K204="Donated"),"",TODAY()-B204)</f>
        <v/>
      </c>
      <c r="P204" s="25" t="str">
        <f aca="true">IF(OR(L204="",K204="Sold",K204="Donated"),"",TODAY()-L204)</f>
        <v/>
      </c>
      <c r="Q204" s="26" t="str">
        <f aca="false">IF(AND(K204="Listed",P204&lt;&gt;"",N(P204)&gt;Settings!$B$19),"STALE","")</f>
        <v/>
      </c>
      <c r="R204" s="27" t="str">
        <f aca="false">IF(Q204="STALE",COUNTIF($Q$4:Q204,"STALE"),"")</f>
        <v/>
      </c>
    </row>
    <row r="205" customFormat="false" ht="15" hidden="false" customHeight="false" outlineLevel="0" collapsed="false">
      <c r="A205" s="23" t="str">
        <f aca="false">IF(B205="","","SKU-"&amp;TEXT(ROW()-3,"0000"))</f>
        <v/>
      </c>
      <c r="B205" s="19"/>
      <c r="C205" s="10"/>
      <c r="D205" s="10"/>
      <c r="E205" s="10"/>
      <c r="F205" s="10"/>
      <c r="G205" s="10"/>
      <c r="H205" s="12"/>
      <c r="I205" s="12"/>
      <c r="J205" s="24" t="str">
        <f aca="false">IF(B205="","",N(H205)+N(I205))</f>
        <v/>
      </c>
      <c r="K205" s="10"/>
      <c r="L205" s="19"/>
      <c r="M205" s="12"/>
      <c r="N205" s="10"/>
      <c r="O205" s="25" t="str">
        <f aca="true">IF(OR(B205="",K205="Sold",K205="Donated"),"",TODAY()-B205)</f>
        <v/>
      </c>
      <c r="P205" s="25" t="str">
        <f aca="true">IF(OR(L205="",K205="Sold",K205="Donated"),"",TODAY()-L205)</f>
        <v/>
      </c>
      <c r="Q205" s="26" t="str">
        <f aca="false">IF(AND(K205="Listed",P205&lt;&gt;"",N(P205)&gt;Settings!$B$19),"STALE","")</f>
        <v/>
      </c>
      <c r="R205" s="27" t="str">
        <f aca="false">IF(Q205="STALE",COUNTIF($Q$4:Q205,"STALE"),"")</f>
        <v/>
      </c>
    </row>
    <row r="206" customFormat="false" ht="15" hidden="false" customHeight="false" outlineLevel="0" collapsed="false">
      <c r="A206" s="23" t="str">
        <f aca="false">IF(B206="","","SKU-"&amp;TEXT(ROW()-3,"0000"))</f>
        <v/>
      </c>
      <c r="B206" s="19"/>
      <c r="C206" s="10"/>
      <c r="D206" s="10"/>
      <c r="E206" s="10"/>
      <c r="F206" s="10"/>
      <c r="G206" s="10"/>
      <c r="H206" s="12"/>
      <c r="I206" s="12"/>
      <c r="J206" s="24" t="str">
        <f aca="false">IF(B206="","",N(H206)+N(I206))</f>
        <v/>
      </c>
      <c r="K206" s="10"/>
      <c r="L206" s="19"/>
      <c r="M206" s="12"/>
      <c r="N206" s="10"/>
      <c r="O206" s="25" t="str">
        <f aca="true">IF(OR(B206="",K206="Sold",K206="Donated"),"",TODAY()-B206)</f>
        <v/>
      </c>
      <c r="P206" s="25" t="str">
        <f aca="true">IF(OR(L206="",K206="Sold",K206="Donated"),"",TODAY()-L206)</f>
        <v/>
      </c>
      <c r="Q206" s="26" t="str">
        <f aca="false">IF(AND(K206="Listed",P206&lt;&gt;"",N(P206)&gt;Settings!$B$19),"STALE","")</f>
        <v/>
      </c>
      <c r="R206" s="27" t="str">
        <f aca="false">IF(Q206="STALE",COUNTIF($Q$4:Q206,"STALE"),"")</f>
        <v/>
      </c>
    </row>
    <row r="207" customFormat="false" ht="15" hidden="false" customHeight="false" outlineLevel="0" collapsed="false">
      <c r="A207" s="23" t="str">
        <f aca="false">IF(B207="","","SKU-"&amp;TEXT(ROW()-3,"0000"))</f>
        <v/>
      </c>
      <c r="B207" s="19"/>
      <c r="C207" s="10"/>
      <c r="D207" s="10"/>
      <c r="E207" s="10"/>
      <c r="F207" s="10"/>
      <c r="G207" s="10"/>
      <c r="H207" s="12"/>
      <c r="I207" s="12"/>
      <c r="J207" s="24" t="str">
        <f aca="false">IF(B207="","",N(H207)+N(I207))</f>
        <v/>
      </c>
      <c r="K207" s="10"/>
      <c r="L207" s="19"/>
      <c r="M207" s="12"/>
      <c r="N207" s="10"/>
      <c r="O207" s="25" t="str">
        <f aca="true">IF(OR(B207="",K207="Sold",K207="Donated"),"",TODAY()-B207)</f>
        <v/>
      </c>
      <c r="P207" s="25" t="str">
        <f aca="true">IF(OR(L207="",K207="Sold",K207="Donated"),"",TODAY()-L207)</f>
        <v/>
      </c>
      <c r="Q207" s="26" t="str">
        <f aca="false">IF(AND(K207="Listed",P207&lt;&gt;"",N(P207)&gt;Settings!$B$19),"STALE","")</f>
        <v/>
      </c>
      <c r="R207" s="27" t="str">
        <f aca="false">IF(Q207="STALE",COUNTIF($Q$4:Q207,"STALE"),"")</f>
        <v/>
      </c>
    </row>
    <row r="208" customFormat="false" ht="15" hidden="false" customHeight="false" outlineLevel="0" collapsed="false">
      <c r="A208" s="23" t="str">
        <f aca="false">IF(B208="","","SKU-"&amp;TEXT(ROW()-3,"0000"))</f>
        <v/>
      </c>
      <c r="B208" s="19"/>
      <c r="C208" s="10"/>
      <c r="D208" s="10"/>
      <c r="E208" s="10"/>
      <c r="F208" s="10"/>
      <c r="G208" s="10"/>
      <c r="H208" s="12"/>
      <c r="I208" s="12"/>
      <c r="J208" s="24" t="str">
        <f aca="false">IF(B208="","",N(H208)+N(I208))</f>
        <v/>
      </c>
      <c r="K208" s="10"/>
      <c r="L208" s="19"/>
      <c r="M208" s="12"/>
      <c r="N208" s="10"/>
      <c r="O208" s="25" t="str">
        <f aca="true">IF(OR(B208="",K208="Sold",K208="Donated"),"",TODAY()-B208)</f>
        <v/>
      </c>
      <c r="P208" s="25" t="str">
        <f aca="true">IF(OR(L208="",K208="Sold",K208="Donated"),"",TODAY()-L208)</f>
        <v/>
      </c>
      <c r="Q208" s="26" t="str">
        <f aca="false">IF(AND(K208="Listed",P208&lt;&gt;"",N(P208)&gt;Settings!$B$19),"STALE","")</f>
        <v/>
      </c>
      <c r="R208" s="27" t="str">
        <f aca="false">IF(Q208="STALE",COUNTIF($Q$4:Q208,"STALE"),"")</f>
        <v/>
      </c>
    </row>
    <row r="209" customFormat="false" ht="15" hidden="false" customHeight="false" outlineLevel="0" collapsed="false">
      <c r="A209" s="23" t="str">
        <f aca="false">IF(B209="","","SKU-"&amp;TEXT(ROW()-3,"0000"))</f>
        <v/>
      </c>
      <c r="B209" s="19"/>
      <c r="C209" s="10"/>
      <c r="D209" s="10"/>
      <c r="E209" s="10"/>
      <c r="F209" s="10"/>
      <c r="G209" s="10"/>
      <c r="H209" s="12"/>
      <c r="I209" s="12"/>
      <c r="J209" s="24" t="str">
        <f aca="false">IF(B209="","",N(H209)+N(I209))</f>
        <v/>
      </c>
      <c r="K209" s="10"/>
      <c r="L209" s="19"/>
      <c r="M209" s="12"/>
      <c r="N209" s="10"/>
      <c r="O209" s="25" t="str">
        <f aca="true">IF(OR(B209="",K209="Sold",K209="Donated"),"",TODAY()-B209)</f>
        <v/>
      </c>
      <c r="P209" s="25" t="str">
        <f aca="true">IF(OR(L209="",K209="Sold",K209="Donated"),"",TODAY()-L209)</f>
        <v/>
      </c>
      <c r="Q209" s="26" t="str">
        <f aca="false">IF(AND(K209="Listed",P209&lt;&gt;"",N(P209)&gt;Settings!$B$19),"STALE","")</f>
        <v/>
      </c>
      <c r="R209" s="27" t="str">
        <f aca="false">IF(Q209="STALE",COUNTIF($Q$4:Q209,"STALE"),"")</f>
        <v/>
      </c>
    </row>
    <row r="210" customFormat="false" ht="15" hidden="false" customHeight="false" outlineLevel="0" collapsed="false">
      <c r="A210" s="23" t="str">
        <f aca="false">IF(B210="","","SKU-"&amp;TEXT(ROW()-3,"0000"))</f>
        <v/>
      </c>
      <c r="B210" s="19"/>
      <c r="C210" s="10"/>
      <c r="D210" s="10"/>
      <c r="E210" s="10"/>
      <c r="F210" s="10"/>
      <c r="G210" s="10"/>
      <c r="H210" s="12"/>
      <c r="I210" s="12"/>
      <c r="J210" s="24" t="str">
        <f aca="false">IF(B210="","",N(H210)+N(I210))</f>
        <v/>
      </c>
      <c r="K210" s="10"/>
      <c r="L210" s="19"/>
      <c r="M210" s="12"/>
      <c r="N210" s="10"/>
      <c r="O210" s="25" t="str">
        <f aca="true">IF(OR(B210="",K210="Sold",K210="Donated"),"",TODAY()-B210)</f>
        <v/>
      </c>
      <c r="P210" s="25" t="str">
        <f aca="true">IF(OR(L210="",K210="Sold",K210="Donated"),"",TODAY()-L210)</f>
        <v/>
      </c>
      <c r="Q210" s="26" t="str">
        <f aca="false">IF(AND(K210="Listed",P210&lt;&gt;"",N(P210)&gt;Settings!$B$19),"STALE","")</f>
        <v/>
      </c>
      <c r="R210" s="27" t="str">
        <f aca="false">IF(Q210="STALE",COUNTIF($Q$4:Q210,"STALE"),"")</f>
        <v/>
      </c>
    </row>
    <row r="211" customFormat="false" ht="15" hidden="false" customHeight="false" outlineLevel="0" collapsed="false">
      <c r="A211" s="23" t="str">
        <f aca="false">IF(B211="","","SKU-"&amp;TEXT(ROW()-3,"0000"))</f>
        <v/>
      </c>
      <c r="B211" s="19"/>
      <c r="C211" s="10"/>
      <c r="D211" s="10"/>
      <c r="E211" s="10"/>
      <c r="F211" s="10"/>
      <c r="G211" s="10"/>
      <c r="H211" s="12"/>
      <c r="I211" s="12"/>
      <c r="J211" s="24" t="str">
        <f aca="false">IF(B211="","",N(H211)+N(I211))</f>
        <v/>
      </c>
      <c r="K211" s="10"/>
      <c r="L211" s="19"/>
      <c r="M211" s="12"/>
      <c r="N211" s="10"/>
      <c r="O211" s="25" t="str">
        <f aca="true">IF(OR(B211="",K211="Sold",K211="Donated"),"",TODAY()-B211)</f>
        <v/>
      </c>
      <c r="P211" s="25" t="str">
        <f aca="true">IF(OR(L211="",K211="Sold",K211="Donated"),"",TODAY()-L211)</f>
        <v/>
      </c>
      <c r="Q211" s="26" t="str">
        <f aca="false">IF(AND(K211="Listed",P211&lt;&gt;"",N(P211)&gt;Settings!$B$19),"STALE","")</f>
        <v/>
      </c>
      <c r="R211" s="27" t="str">
        <f aca="false">IF(Q211="STALE",COUNTIF($Q$4:Q211,"STALE"),"")</f>
        <v/>
      </c>
    </row>
    <row r="212" customFormat="false" ht="15" hidden="false" customHeight="false" outlineLevel="0" collapsed="false">
      <c r="A212" s="23" t="str">
        <f aca="false">IF(B212="","","SKU-"&amp;TEXT(ROW()-3,"0000"))</f>
        <v/>
      </c>
      <c r="B212" s="19"/>
      <c r="C212" s="10"/>
      <c r="D212" s="10"/>
      <c r="E212" s="10"/>
      <c r="F212" s="10"/>
      <c r="G212" s="10"/>
      <c r="H212" s="12"/>
      <c r="I212" s="12"/>
      <c r="J212" s="24" t="str">
        <f aca="false">IF(B212="","",N(H212)+N(I212))</f>
        <v/>
      </c>
      <c r="K212" s="10"/>
      <c r="L212" s="19"/>
      <c r="M212" s="12"/>
      <c r="N212" s="10"/>
      <c r="O212" s="25" t="str">
        <f aca="true">IF(OR(B212="",K212="Sold",K212="Donated"),"",TODAY()-B212)</f>
        <v/>
      </c>
      <c r="P212" s="25" t="str">
        <f aca="true">IF(OR(L212="",K212="Sold",K212="Donated"),"",TODAY()-L212)</f>
        <v/>
      </c>
      <c r="Q212" s="26" t="str">
        <f aca="false">IF(AND(K212="Listed",P212&lt;&gt;"",N(P212)&gt;Settings!$B$19),"STALE","")</f>
        <v/>
      </c>
      <c r="R212" s="27" t="str">
        <f aca="false">IF(Q212="STALE",COUNTIF($Q$4:Q212,"STALE"),"")</f>
        <v/>
      </c>
    </row>
    <row r="213" customFormat="false" ht="15" hidden="false" customHeight="false" outlineLevel="0" collapsed="false">
      <c r="A213" s="23" t="str">
        <f aca="false">IF(B213="","","SKU-"&amp;TEXT(ROW()-3,"0000"))</f>
        <v/>
      </c>
      <c r="B213" s="19"/>
      <c r="C213" s="10"/>
      <c r="D213" s="10"/>
      <c r="E213" s="10"/>
      <c r="F213" s="10"/>
      <c r="G213" s="10"/>
      <c r="H213" s="12"/>
      <c r="I213" s="12"/>
      <c r="J213" s="24" t="str">
        <f aca="false">IF(B213="","",N(H213)+N(I213))</f>
        <v/>
      </c>
      <c r="K213" s="10"/>
      <c r="L213" s="19"/>
      <c r="M213" s="12"/>
      <c r="N213" s="10"/>
      <c r="O213" s="25" t="str">
        <f aca="true">IF(OR(B213="",K213="Sold",K213="Donated"),"",TODAY()-B213)</f>
        <v/>
      </c>
      <c r="P213" s="25" t="str">
        <f aca="true">IF(OR(L213="",K213="Sold",K213="Donated"),"",TODAY()-L213)</f>
        <v/>
      </c>
      <c r="Q213" s="26" t="str">
        <f aca="false">IF(AND(K213="Listed",P213&lt;&gt;"",N(P213)&gt;Settings!$B$19),"STALE","")</f>
        <v/>
      </c>
      <c r="R213" s="27" t="str">
        <f aca="false">IF(Q213="STALE",COUNTIF($Q$4:Q213,"STALE"),"")</f>
        <v/>
      </c>
    </row>
    <row r="214" customFormat="false" ht="15" hidden="false" customHeight="false" outlineLevel="0" collapsed="false">
      <c r="A214" s="23" t="str">
        <f aca="false">IF(B214="","","SKU-"&amp;TEXT(ROW()-3,"0000"))</f>
        <v/>
      </c>
      <c r="B214" s="19"/>
      <c r="C214" s="10"/>
      <c r="D214" s="10"/>
      <c r="E214" s="10"/>
      <c r="F214" s="10"/>
      <c r="G214" s="10"/>
      <c r="H214" s="12"/>
      <c r="I214" s="12"/>
      <c r="J214" s="24" t="str">
        <f aca="false">IF(B214="","",N(H214)+N(I214))</f>
        <v/>
      </c>
      <c r="K214" s="10"/>
      <c r="L214" s="19"/>
      <c r="M214" s="12"/>
      <c r="N214" s="10"/>
      <c r="O214" s="25" t="str">
        <f aca="true">IF(OR(B214="",K214="Sold",K214="Donated"),"",TODAY()-B214)</f>
        <v/>
      </c>
      <c r="P214" s="25" t="str">
        <f aca="true">IF(OR(L214="",K214="Sold",K214="Donated"),"",TODAY()-L214)</f>
        <v/>
      </c>
      <c r="Q214" s="26" t="str">
        <f aca="false">IF(AND(K214="Listed",P214&lt;&gt;"",N(P214)&gt;Settings!$B$19),"STALE","")</f>
        <v/>
      </c>
      <c r="R214" s="27" t="str">
        <f aca="false">IF(Q214="STALE",COUNTIF($Q$4:Q214,"STALE"),"")</f>
        <v/>
      </c>
    </row>
    <row r="215" customFormat="false" ht="15" hidden="false" customHeight="false" outlineLevel="0" collapsed="false">
      <c r="A215" s="23" t="str">
        <f aca="false">IF(B215="","","SKU-"&amp;TEXT(ROW()-3,"0000"))</f>
        <v/>
      </c>
      <c r="B215" s="19"/>
      <c r="C215" s="10"/>
      <c r="D215" s="10"/>
      <c r="E215" s="10"/>
      <c r="F215" s="10"/>
      <c r="G215" s="10"/>
      <c r="H215" s="12"/>
      <c r="I215" s="12"/>
      <c r="J215" s="24" t="str">
        <f aca="false">IF(B215="","",N(H215)+N(I215))</f>
        <v/>
      </c>
      <c r="K215" s="10"/>
      <c r="L215" s="19"/>
      <c r="M215" s="12"/>
      <c r="N215" s="10"/>
      <c r="O215" s="25" t="str">
        <f aca="true">IF(OR(B215="",K215="Sold",K215="Donated"),"",TODAY()-B215)</f>
        <v/>
      </c>
      <c r="P215" s="25" t="str">
        <f aca="true">IF(OR(L215="",K215="Sold",K215="Donated"),"",TODAY()-L215)</f>
        <v/>
      </c>
      <c r="Q215" s="26" t="str">
        <f aca="false">IF(AND(K215="Listed",P215&lt;&gt;"",N(P215)&gt;Settings!$B$19),"STALE","")</f>
        <v/>
      </c>
      <c r="R215" s="27" t="str">
        <f aca="false">IF(Q215="STALE",COUNTIF($Q$4:Q215,"STALE"),"")</f>
        <v/>
      </c>
    </row>
    <row r="216" customFormat="false" ht="15" hidden="false" customHeight="false" outlineLevel="0" collapsed="false">
      <c r="A216" s="23" t="str">
        <f aca="false">IF(B216="","","SKU-"&amp;TEXT(ROW()-3,"0000"))</f>
        <v/>
      </c>
      <c r="B216" s="19"/>
      <c r="C216" s="10"/>
      <c r="D216" s="10"/>
      <c r="E216" s="10"/>
      <c r="F216" s="10"/>
      <c r="G216" s="10"/>
      <c r="H216" s="12"/>
      <c r="I216" s="12"/>
      <c r="J216" s="24" t="str">
        <f aca="false">IF(B216="","",N(H216)+N(I216))</f>
        <v/>
      </c>
      <c r="K216" s="10"/>
      <c r="L216" s="19"/>
      <c r="M216" s="12"/>
      <c r="N216" s="10"/>
      <c r="O216" s="25" t="str">
        <f aca="true">IF(OR(B216="",K216="Sold",K216="Donated"),"",TODAY()-B216)</f>
        <v/>
      </c>
      <c r="P216" s="25" t="str">
        <f aca="true">IF(OR(L216="",K216="Sold",K216="Donated"),"",TODAY()-L216)</f>
        <v/>
      </c>
      <c r="Q216" s="26" t="str">
        <f aca="false">IF(AND(K216="Listed",P216&lt;&gt;"",N(P216)&gt;Settings!$B$19),"STALE","")</f>
        <v/>
      </c>
      <c r="R216" s="27" t="str">
        <f aca="false">IF(Q216="STALE",COUNTIF($Q$4:Q216,"STALE"),"")</f>
        <v/>
      </c>
    </row>
    <row r="217" customFormat="false" ht="15" hidden="false" customHeight="false" outlineLevel="0" collapsed="false">
      <c r="A217" s="23" t="str">
        <f aca="false">IF(B217="","","SKU-"&amp;TEXT(ROW()-3,"0000"))</f>
        <v/>
      </c>
      <c r="B217" s="19"/>
      <c r="C217" s="10"/>
      <c r="D217" s="10"/>
      <c r="E217" s="10"/>
      <c r="F217" s="10"/>
      <c r="G217" s="10"/>
      <c r="H217" s="12"/>
      <c r="I217" s="12"/>
      <c r="J217" s="24" t="str">
        <f aca="false">IF(B217="","",N(H217)+N(I217))</f>
        <v/>
      </c>
      <c r="K217" s="10"/>
      <c r="L217" s="19"/>
      <c r="M217" s="12"/>
      <c r="N217" s="10"/>
      <c r="O217" s="25" t="str">
        <f aca="true">IF(OR(B217="",K217="Sold",K217="Donated"),"",TODAY()-B217)</f>
        <v/>
      </c>
      <c r="P217" s="25" t="str">
        <f aca="true">IF(OR(L217="",K217="Sold",K217="Donated"),"",TODAY()-L217)</f>
        <v/>
      </c>
      <c r="Q217" s="26" t="str">
        <f aca="false">IF(AND(K217="Listed",P217&lt;&gt;"",N(P217)&gt;Settings!$B$19),"STALE","")</f>
        <v/>
      </c>
      <c r="R217" s="27" t="str">
        <f aca="false">IF(Q217="STALE",COUNTIF($Q$4:Q217,"STALE"),"")</f>
        <v/>
      </c>
    </row>
    <row r="218" customFormat="false" ht="15" hidden="false" customHeight="false" outlineLevel="0" collapsed="false">
      <c r="A218" s="23" t="str">
        <f aca="false">IF(B218="","","SKU-"&amp;TEXT(ROW()-3,"0000"))</f>
        <v/>
      </c>
      <c r="B218" s="19"/>
      <c r="C218" s="10"/>
      <c r="D218" s="10"/>
      <c r="E218" s="10"/>
      <c r="F218" s="10"/>
      <c r="G218" s="10"/>
      <c r="H218" s="12"/>
      <c r="I218" s="12"/>
      <c r="J218" s="24" t="str">
        <f aca="false">IF(B218="","",N(H218)+N(I218))</f>
        <v/>
      </c>
      <c r="K218" s="10"/>
      <c r="L218" s="19"/>
      <c r="M218" s="12"/>
      <c r="N218" s="10"/>
      <c r="O218" s="25" t="str">
        <f aca="true">IF(OR(B218="",K218="Sold",K218="Donated"),"",TODAY()-B218)</f>
        <v/>
      </c>
      <c r="P218" s="25" t="str">
        <f aca="true">IF(OR(L218="",K218="Sold",K218="Donated"),"",TODAY()-L218)</f>
        <v/>
      </c>
      <c r="Q218" s="26" t="str">
        <f aca="false">IF(AND(K218="Listed",P218&lt;&gt;"",N(P218)&gt;Settings!$B$19),"STALE","")</f>
        <v/>
      </c>
      <c r="R218" s="27" t="str">
        <f aca="false">IF(Q218="STALE",COUNTIF($Q$4:Q218,"STALE"),"")</f>
        <v/>
      </c>
    </row>
    <row r="219" customFormat="false" ht="15" hidden="false" customHeight="false" outlineLevel="0" collapsed="false">
      <c r="A219" s="23" t="str">
        <f aca="false">IF(B219="","","SKU-"&amp;TEXT(ROW()-3,"0000"))</f>
        <v/>
      </c>
      <c r="B219" s="19"/>
      <c r="C219" s="10"/>
      <c r="D219" s="10"/>
      <c r="E219" s="10"/>
      <c r="F219" s="10"/>
      <c r="G219" s="10"/>
      <c r="H219" s="12"/>
      <c r="I219" s="12"/>
      <c r="J219" s="24" t="str">
        <f aca="false">IF(B219="","",N(H219)+N(I219))</f>
        <v/>
      </c>
      <c r="K219" s="10"/>
      <c r="L219" s="19"/>
      <c r="M219" s="12"/>
      <c r="N219" s="10"/>
      <c r="O219" s="25" t="str">
        <f aca="true">IF(OR(B219="",K219="Sold",K219="Donated"),"",TODAY()-B219)</f>
        <v/>
      </c>
      <c r="P219" s="25" t="str">
        <f aca="true">IF(OR(L219="",K219="Sold",K219="Donated"),"",TODAY()-L219)</f>
        <v/>
      </c>
      <c r="Q219" s="26" t="str">
        <f aca="false">IF(AND(K219="Listed",P219&lt;&gt;"",N(P219)&gt;Settings!$B$19),"STALE","")</f>
        <v/>
      </c>
      <c r="R219" s="27" t="str">
        <f aca="false">IF(Q219="STALE",COUNTIF($Q$4:Q219,"STALE"),"")</f>
        <v/>
      </c>
    </row>
    <row r="220" customFormat="false" ht="15" hidden="false" customHeight="false" outlineLevel="0" collapsed="false">
      <c r="A220" s="23" t="str">
        <f aca="false">IF(B220="","","SKU-"&amp;TEXT(ROW()-3,"0000"))</f>
        <v/>
      </c>
      <c r="B220" s="19"/>
      <c r="C220" s="10"/>
      <c r="D220" s="10"/>
      <c r="E220" s="10"/>
      <c r="F220" s="10"/>
      <c r="G220" s="10"/>
      <c r="H220" s="12"/>
      <c r="I220" s="12"/>
      <c r="J220" s="24" t="str">
        <f aca="false">IF(B220="","",N(H220)+N(I220))</f>
        <v/>
      </c>
      <c r="K220" s="10"/>
      <c r="L220" s="19"/>
      <c r="M220" s="12"/>
      <c r="N220" s="10"/>
      <c r="O220" s="25" t="str">
        <f aca="true">IF(OR(B220="",K220="Sold",K220="Donated"),"",TODAY()-B220)</f>
        <v/>
      </c>
      <c r="P220" s="25" t="str">
        <f aca="true">IF(OR(L220="",K220="Sold",K220="Donated"),"",TODAY()-L220)</f>
        <v/>
      </c>
      <c r="Q220" s="26" t="str">
        <f aca="false">IF(AND(K220="Listed",P220&lt;&gt;"",N(P220)&gt;Settings!$B$19),"STALE","")</f>
        <v/>
      </c>
      <c r="R220" s="27" t="str">
        <f aca="false">IF(Q220="STALE",COUNTIF($Q$4:Q220,"STALE"),"")</f>
        <v/>
      </c>
    </row>
    <row r="221" customFormat="false" ht="15" hidden="false" customHeight="false" outlineLevel="0" collapsed="false">
      <c r="A221" s="23" t="str">
        <f aca="false">IF(B221="","","SKU-"&amp;TEXT(ROW()-3,"0000"))</f>
        <v/>
      </c>
      <c r="B221" s="19"/>
      <c r="C221" s="10"/>
      <c r="D221" s="10"/>
      <c r="E221" s="10"/>
      <c r="F221" s="10"/>
      <c r="G221" s="10"/>
      <c r="H221" s="12"/>
      <c r="I221" s="12"/>
      <c r="J221" s="24" t="str">
        <f aca="false">IF(B221="","",N(H221)+N(I221))</f>
        <v/>
      </c>
      <c r="K221" s="10"/>
      <c r="L221" s="19"/>
      <c r="M221" s="12"/>
      <c r="N221" s="10"/>
      <c r="O221" s="25" t="str">
        <f aca="true">IF(OR(B221="",K221="Sold",K221="Donated"),"",TODAY()-B221)</f>
        <v/>
      </c>
      <c r="P221" s="25" t="str">
        <f aca="true">IF(OR(L221="",K221="Sold",K221="Donated"),"",TODAY()-L221)</f>
        <v/>
      </c>
      <c r="Q221" s="26" t="str">
        <f aca="false">IF(AND(K221="Listed",P221&lt;&gt;"",N(P221)&gt;Settings!$B$19),"STALE","")</f>
        <v/>
      </c>
      <c r="R221" s="27" t="str">
        <f aca="false">IF(Q221="STALE",COUNTIF($Q$4:Q221,"STALE"),"")</f>
        <v/>
      </c>
    </row>
    <row r="222" customFormat="false" ht="15" hidden="false" customHeight="false" outlineLevel="0" collapsed="false">
      <c r="A222" s="23" t="str">
        <f aca="false">IF(B222="","","SKU-"&amp;TEXT(ROW()-3,"0000"))</f>
        <v/>
      </c>
      <c r="B222" s="19"/>
      <c r="C222" s="10"/>
      <c r="D222" s="10"/>
      <c r="E222" s="10"/>
      <c r="F222" s="10"/>
      <c r="G222" s="10"/>
      <c r="H222" s="12"/>
      <c r="I222" s="12"/>
      <c r="J222" s="24" t="str">
        <f aca="false">IF(B222="","",N(H222)+N(I222))</f>
        <v/>
      </c>
      <c r="K222" s="10"/>
      <c r="L222" s="19"/>
      <c r="M222" s="12"/>
      <c r="N222" s="10"/>
      <c r="O222" s="25" t="str">
        <f aca="true">IF(OR(B222="",K222="Sold",K222="Donated"),"",TODAY()-B222)</f>
        <v/>
      </c>
      <c r="P222" s="25" t="str">
        <f aca="true">IF(OR(L222="",K222="Sold",K222="Donated"),"",TODAY()-L222)</f>
        <v/>
      </c>
      <c r="Q222" s="26" t="str">
        <f aca="false">IF(AND(K222="Listed",P222&lt;&gt;"",N(P222)&gt;Settings!$B$19),"STALE","")</f>
        <v/>
      </c>
      <c r="R222" s="27" t="str">
        <f aca="false">IF(Q222="STALE",COUNTIF($Q$4:Q222,"STALE"),"")</f>
        <v/>
      </c>
    </row>
    <row r="223" customFormat="false" ht="15" hidden="false" customHeight="false" outlineLevel="0" collapsed="false">
      <c r="A223" s="23" t="str">
        <f aca="false">IF(B223="","","SKU-"&amp;TEXT(ROW()-3,"0000"))</f>
        <v/>
      </c>
      <c r="B223" s="19"/>
      <c r="C223" s="10"/>
      <c r="D223" s="10"/>
      <c r="E223" s="10"/>
      <c r="F223" s="10"/>
      <c r="G223" s="10"/>
      <c r="H223" s="12"/>
      <c r="I223" s="12"/>
      <c r="J223" s="24" t="str">
        <f aca="false">IF(B223="","",N(H223)+N(I223))</f>
        <v/>
      </c>
      <c r="K223" s="10"/>
      <c r="L223" s="19"/>
      <c r="M223" s="12"/>
      <c r="N223" s="10"/>
      <c r="O223" s="25" t="str">
        <f aca="true">IF(OR(B223="",K223="Sold",K223="Donated"),"",TODAY()-B223)</f>
        <v/>
      </c>
      <c r="P223" s="25" t="str">
        <f aca="true">IF(OR(L223="",K223="Sold",K223="Donated"),"",TODAY()-L223)</f>
        <v/>
      </c>
      <c r="Q223" s="26" t="str">
        <f aca="false">IF(AND(K223="Listed",P223&lt;&gt;"",N(P223)&gt;Settings!$B$19),"STALE","")</f>
        <v/>
      </c>
      <c r="R223" s="27" t="str">
        <f aca="false">IF(Q223="STALE",COUNTIF($Q$4:Q223,"STALE"),"")</f>
        <v/>
      </c>
    </row>
    <row r="224" customFormat="false" ht="15" hidden="false" customHeight="false" outlineLevel="0" collapsed="false">
      <c r="A224" s="23" t="str">
        <f aca="false">IF(B224="","","SKU-"&amp;TEXT(ROW()-3,"0000"))</f>
        <v/>
      </c>
      <c r="B224" s="19"/>
      <c r="C224" s="10"/>
      <c r="D224" s="10"/>
      <c r="E224" s="10"/>
      <c r="F224" s="10"/>
      <c r="G224" s="10"/>
      <c r="H224" s="12"/>
      <c r="I224" s="12"/>
      <c r="J224" s="24" t="str">
        <f aca="false">IF(B224="","",N(H224)+N(I224))</f>
        <v/>
      </c>
      <c r="K224" s="10"/>
      <c r="L224" s="19"/>
      <c r="M224" s="12"/>
      <c r="N224" s="10"/>
      <c r="O224" s="25" t="str">
        <f aca="true">IF(OR(B224="",K224="Sold",K224="Donated"),"",TODAY()-B224)</f>
        <v/>
      </c>
      <c r="P224" s="25" t="str">
        <f aca="true">IF(OR(L224="",K224="Sold",K224="Donated"),"",TODAY()-L224)</f>
        <v/>
      </c>
      <c r="Q224" s="26" t="str">
        <f aca="false">IF(AND(K224="Listed",P224&lt;&gt;"",N(P224)&gt;Settings!$B$19),"STALE","")</f>
        <v/>
      </c>
      <c r="R224" s="27" t="str">
        <f aca="false">IF(Q224="STALE",COUNTIF($Q$4:Q224,"STALE"),"")</f>
        <v/>
      </c>
    </row>
    <row r="225" customFormat="false" ht="15" hidden="false" customHeight="false" outlineLevel="0" collapsed="false">
      <c r="A225" s="23" t="str">
        <f aca="false">IF(B225="","","SKU-"&amp;TEXT(ROW()-3,"0000"))</f>
        <v/>
      </c>
      <c r="B225" s="19"/>
      <c r="C225" s="10"/>
      <c r="D225" s="10"/>
      <c r="E225" s="10"/>
      <c r="F225" s="10"/>
      <c r="G225" s="10"/>
      <c r="H225" s="12"/>
      <c r="I225" s="12"/>
      <c r="J225" s="24" t="str">
        <f aca="false">IF(B225="","",N(H225)+N(I225))</f>
        <v/>
      </c>
      <c r="K225" s="10"/>
      <c r="L225" s="19"/>
      <c r="M225" s="12"/>
      <c r="N225" s="10"/>
      <c r="O225" s="25" t="str">
        <f aca="true">IF(OR(B225="",K225="Sold",K225="Donated"),"",TODAY()-B225)</f>
        <v/>
      </c>
      <c r="P225" s="25" t="str">
        <f aca="true">IF(OR(L225="",K225="Sold",K225="Donated"),"",TODAY()-L225)</f>
        <v/>
      </c>
      <c r="Q225" s="26" t="str">
        <f aca="false">IF(AND(K225="Listed",P225&lt;&gt;"",N(P225)&gt;Settings!$B$19),"STALE","")</f>
        <v/>
      </c>
      <c r="R225" s="27" t="str">
        <f aca="false">IF(Q225="STALE",COUNTIF($Q$4:Q225,"STALE"),"")</f>
        <v/>
      </c>
    </row>
    <row r="226" customFormat="false" ht="15" hidden="false" customHeight="false" outlineLevel="0" collapsed="false">
      <c r="A226" s="23" t="str">
        <f aca="false">IF(B226="","","SKU-"&amp;TEXT(ROW()-3,"0000"))</f>
        <v/>
      </c>
      <c r="B226" s="19"/>
      <c r="C226" s="10"/>
      <c r="D226" s="10"/>
      <c r="E226" s="10"/>
      <c r="F226" s="10"/>
      <c r="G226" s="10"/>
      <c r="H226" s="12"/>
      <c r="I226" s="12"/>
      <c r="J226" s="24" t="str">
        <f aca="false">IF(B226="","",N(H226)+N(I226))</f>
        <v/>
      </c>
      <c r="K226" s="10"/>
      <c r="L226" s="19"/>
      <c r="M226" s="12"/>
      <c r="N226" s="10"/>
      <c r="O226" s="25" t="str">
        <f aca="true">IF(OR(B226="",K226="Sold",K226="Donated"),"",TODAY()-B226)</f>
        <v/>
      </c>
      <c r="P226" s="25" t="str">
        <f aca="true">IF(OR(L226="",K226="Sold",K226="Donated"),"",TODAY()-L226)</f>
        <v/>
      </c>
      <c r="Q226" s="26" t="str">
        <f aca="false">IF(AND(K226="Listed",P226&lt;&gt;"",N(P226)&gt;Settings!$B$19),"STALE","")</f>
        <v/>
      </c>
      <c r="R226" s="27" t="str">
        <f aca="false">IF(Q226="STALE",COUNTIF($Q$4:Q226,"STALE"),"")</f>
        <v/>
      </c>
    </row>
    <row r="227" customFormat="false" ht="15" hidden="false" customHeight="false" outlineLevel="0" collapsed="false">
      <c r="A227" s="23" t="str">
        <f aca="false">IF(B227="","","SKU-"&amp;TEXT(ROW()-3,"0000"))</f>
        <v/>
      </c>
      <c r="B227" s="19"/>
      <c r="C227" s="10"/>
      <c r="D227" s="10"/>
      <c r="E227" s="10"/>
      <c r="F227" s="10"/>
      <c r="G227" s="10"/>
      <c r="H227" s="12"/>
      <c r="I227" s="12"/>
      <c r="J227" s="24" t="str">
        <f aca="false">IF(B227="","",N(H227)+N(I227))</f>
        <v/>
      </c>
      <c r="K227" s="10"/>
      <c r="L227" s="19"/>
      <c r="M227" s="12"/>
      <c r="N227" s="10"/>
      <c r="O227" s="25" t="str">
        <f aca="true">IF(OR(B227="",K227="Sold",K227="Donated"),"",TODAY()-B227)</f>
        <v/>
      </c>
      <c r="P227" s="25" t="str">
        <f aca="true">IF(OR(L227="",K227="Sold",K227="Donated"),"",TODAY()-L227)</f>
        <v/>
      </c>
      <c r="Q227" s="26" t="str">
        <f aca="false">IF(AND(K227="Listed",P227&lt;&gt;"",N(P227)&gt;Settings!$B$19),"STALE","")</f>
        <v/>
      </c>
      <c r="R227" s="27" t="str">
        <f aca="false">IF(Q227="STALE",COUNTIF($Q$4:Q227,"STALE"),"")</f>
        <v/>
      </c>
    </row>
    <row r="228" customFormat="false" ht="15" hidden="false" customHeight="false" outlineLevel="0" collapsed="false">
      <c r="A228" s="23" t="str">
        <f aca="false">IF(B228="","","SKU-"&amp;TEXT(ROW()-3,"0000"))</f>
        <v/>
      </c>
      <c r="B228" s="19"/>
      <c r="C228" s="10"/>
      <c r="D228" s="10"/>
      <c r="E228" s="10"/>
      <c r="F228" s="10"/>
      <c r="G228" s="10"/>
      <c r="H228" s="12"/>
      <c r="I228" s="12"/>
      <c r="J228" s="24" t="str">
        <f aca="false">IF(B228="","",N(H228)+N(I228))</f>
        <v/>
      </c>
      <c r="K228" s="10"/>
      <c r="L228" s="19"/>
      <c r="M228" s="12"/>
      <c r="N228" s="10"/>
      <c r="O228" s="25" t="str">
        <f aca="true">IF(OR(B228="",K228="Sold",K228="Donated"),"",TODAY()-B228)</f>
        <v/>
      </c>
      <c r="P228" s="25" t="str">
        <f aca="true">IF(OR(L228="",K228="Sold",K228="Donated"),"",TODAY()-L228)</f>
        <v/>
      </c>
      <c r="Q228" s="26" t="str">
        <f aca="false">IF(AND(K228="Listed",P228&lt;&gt;"",N(P228)&gt;Settings!$B$19),"STALE","")</f>
        <v/>
      </c>
      <c r="R228" s="27" t="str">
        <f aca="false">IF(Q228="STALE",COUNTIF($Q$4:Q228,"STALE"),"")</f>
        <v/>
      </c>
    </row>
    <row r="229" customFormat="false" ht="15" hidden="false" customHeight="false" outlineLevel="0" collapsed="false">
      <c r="A229" s="23" t="str">
        <f aca="false">IF(B229="","","SKU-"&amp;TEXT(ROW()-3,"0000"))</f>
        <v/>
      </c>
      <c r="B229" s="19"/>
      <c r="C229" s="10"/>
      <c r="D229" s="10"/>
      <c r="E229" s="10"/>
      <c r="F229" s="10"/>
      <c r="G229" s="10"/>
      <c r="H229" s="12"/>
      <c r="I229" s="12"/>
      <c r="J229" s="24" t="str">
        <f aca="false">IF(B229="","",N(H229)+N(I229))</f>
        <v/>
      </c>
      <c r="K229" s="10"/>
      <c r="L229" s="19"/>
      <c r="M229" s="12"/>
      <c r="N229" s="10"/>
      <c r="O229" s="25" t="str">
        <f aca="true">IF(OR(B229="",K229="Sold",K229="Donated"),"",TODAY()-B229)</f>
        <v/>
      </c>
      <c r="P229" s="25" t="str">
        <f aca="true">IF(OR(L229="",K229="Sold",K229="Donated"),"",TODAY()-L229)</f>
        <v/>
      </c>
      <c r="Q229" s="26" t="str">
        <f aca="false">IF(AND(K229="Listed",P229&lt;&gt;"",N(P229)&gt;Settings!$B$19),"STALE","")</f>
        <v/>
      </c>
      <c r="R229" s="27" t="str">
        <f aca="false">IF(Q229="STALE",COUNTIF($Q$4:Q229,"STALE"),"")</f>
        <v/>
      </c>
    </row>
    <row r="230" customFormat="false" ht="15" hidden="false" customHeight="false" outlineLevel="0" collapsed="false">
      <c r="A230" s="23" t="str">
        <f aca="false">IF(B230="","","SKU-"&amp;TEXT(ROW()-3,"0000"))</f>
        <v/>
      </c>
      <c r="B230" s="19"/>
      <c r="C230" s="10"/>
      <c r="D230" s="10"/>
      <c r="E230" s="10"/>
      <c r="F230" s="10"/>
      <c r="G230" s="10"/>
      <c r="H230" s="12"/>
      <c r="I230" s="12"/>
      <c r="J230" s="24" t="str">
        <f aca="false">IF(B230="","",N(H230)+N(I230))</f>
        <v/>
      </c>
      <c r="K230" s="10"/>
      <c r="L230" s="19"/>
      <c r="M230" s="12"/>
      <c r="N230" s="10"/>
      <c r="O230" s="25" t="str">
        <f aca="true">IF(OR(B230="",K230="Sold",K230="Donated"),"",TODAY()-B230)</f>
        <v/>
      </c>
      <c r="P230" s="25" t="str">
        <f aca="true">IF(OR(L230="",K230="Sold",K230="Donated"),"",TODAY()-L230)</f>
        <v/>
      </c>
      <c r="Q230" s="26" t="str">
        <f aca="false">IF(AND(K230="Listed",P230&lt;&gt;"",N(P230)&gt;Settings!$B$19),"STALE","")</f>
        <v/>
      </c>
      <c r="R230" s="27" t="str">
        <f aca="false">IF(Q230="STALE",COUNTIF($Q$4:Q230,"STALE"),"")</f>
        <v/>
      </c>
    </row>
    <row r="231" customFormat="false" ht="15" hidden="false" customHeight="false" outlineLevel="0" collapsed="false">
      <c r="A231" s="23" t="str">
        <f aca="false">IF(B231="","","SKU-"&amp;TEXT(ROW()-3,"0000"))</f>
        <v/>
      </c>
      <c r="B231" s="19"/>
      <c r="C231" s="10"/>
      <c r="D231" s="10"/>
      <c r="E231" s="10"/>
      <c r="F231" s="10"/>
      <c r="G231" s="10"/>
      <c r="H231" s="12"/>
      <c r="I231" s="12"/>
      <c r="J231" s="24" t="str">
        <f aca="false">IF(B231="","",N(H231)+N(I231))</f>
        <v/>
      </c>
      <c r="K231" s="10"/>
      <c r="L231" s="19"/>
      <c r="M231" s="12"/>
      <c r="N231" s="10"/>
      <c r="O231" s="25" t="str">
        <f aca="true">IF(OR(B231="",K231="Sold",K231="Donated"),"",TODAY()-B231)</f>
        <v/>
      </c>
      <c r="P231" s="25" t="str">
        <f aca="true">IF(OR(L231="",K231="Sold",K231="Donated"),"",TODAY()-L231)</f>
        <v/>
      </c>
      <c r="Q231" s="26" t="str">
        <f aca="false">IF(AND(K231="Listed",P231&lt;&gt;"",N(P231)&gt;Settings!$B$19),"STALE","")</f>
        <v/>
      </c>
      <c r="R231" s="27" t="str">
        <f aca="false">IF(Q231="STALE",COUNTIF($Q$4:Q231,"STALE"),"")</f>
        <v/>
      </c>
    </row>
    <row r="232" customFormat="false" ht="15" hidden="false" customHeight="false" outlineLevel="0" collapsed="false">
      <c r="A232" s="23" t="str">
        <f aca="false">IF(B232="","","SKU-"&amp;TEXT(ROW()-3,"0000"))</f>
        <v/>
      </c>
      <c r="B232" s="19"/>
      <c r="C232" s="10"/>
      <c r="D232" s="10"/>
      <c r="E232" s="10"/>
      <c r="F232" s="10"/>
      <c r="G232" s="10"/>
      <c r="H232" s="12"/>
      <c r="I232" s="12"/>
      <c r="J232" s="24" t="str">
        <f aca="false">IF(B232="","",N(H232)+N(I232))</f>
        <v/>
      </c>
      <c r="K232" s="10"/>
      <c r="L232" s="19"/>
      <c r="M232" s="12"/>
      <c r="N232" s="10"/>
      <c r="O232" s="25" t="str">
        <f aca="true">IF(OR(B232="",K232="Sold",K232="Donated"),"",TODAY()-B232)</f>
        <v/>
      </c>
      <c r="P232" s="25" t="str">
        <f aca="true">IF(OR(L232="",K232="Sold",K232="Donated"),"",TODAY()-L232)</f>
        <v/>
      </c>
      <c r="Q232" s="26" t="str">
        <f aca="false">IF(AND(K232="Listed",P232&lt;&gt;"",N(P232)&gt;Settings!$B$19),"STALE","")</f>
        <v/>
      </c>
      <c r="R232" s="27" t="str">
        <f aca="false">IF(Q232="STALE",COUNTIF($Q$4:Q232,"STALE"),"")</f>
        <v/>
      </c>
    </row>
    <row r="233" customFormat="false" ht="15" hidden="false" customHeight="false" outlineLevel="0" collapsed="false">
      <c r="A233" s="23" t="str">
        <f aca="false">IF(B233="","","SKU-"&amp;TEXT(ROW()-3,"0000"))</f>
        <v/>
      </c>
      <c r="B233" s="19"/>
      <c r="C233" s="10"/>
      <c r="D233" s="10"/>
      <c r="E233" s="10"/>
      <c r="F233" s="10"/>
      <c r="G233" s="10"/>
      <c r="H233" s="12"/>
      <c r="I233" s="12"/>
      <c r="J233" s="24" t="str">
        <f aca="false">IF(B233="","",N(H233)+N(I233))</f>
        <v/>
      </c>
      <c r="K233" s="10"/>
      <c r="L233" s="19"/>
      <c r="M233" s="12"/>
      <c r="N233" s="10"/>
      <c r="O233" s="25" t="str">
        <f aca="true">IF(OR(B233="",K233="Sold",K233="Donated"),"",TODAY()-B233)</f>
        <v/>
      </c>
      <c r="P233" s="25" t="str">
        <f aca="true">IF(OR(L233="",K233="Sold",K233="Donated"),"",TODAY()-L233)</f>
        <v/>
      </c>
      <c r="Q233" s="26" t="str">
        <f aca="false">IF(AND(K233="Listed",P233&lt;&gt;"",N(P233)&gt;Settings!$B$19),"STALE","")</f>
        <v/>
      </c>
      <c r="R233" s="27" t="str">
        <f aca="false">IF(Q233="STALE",COUNTIF($Q$4:Q233,"STALE"),"")</f>
        <v/>
      </c>
    </row>
    <row r="234" customFormat="false" ht="15" hidden="false" customHeight="false" outlineLevel="0" collapsed="false">
      <c r="A234" s="23" t="str">
        <f aca="false">IF(B234="","","SKU-"&amp;TEXT(ROW()-3,"0000"))</f>
        <v/>
      </c>
      <c r="B234" s="19"/>
      <c r="C234" s="10"/>
      <c r="D234" s="10"/>
      <c r="E234" s="10"/>
      <c r="F234" s="10"/>
      <c r="G234" s="10"/>
      <c r="H234" s="12"/>
      <c r="I234" s="12"/>
      <c r="J234" s="24" t="str">
        <f aca="false">IF(B234="","",N(H234)+N(I234))</f>
        <v/>
      </c>
      <c r="K234" s="10"/>
      <c r="L234" s="19"/>
      <c r="M234" s="12"/>
      <c r="N234" s="10"/>
      <c r="O234" s="25" t="str">
        <f aca="true">IF(OR(B234="",K234="Sold",K234="Donated"),"",TODAY()-B234)</f>
        <v/>
      </c>
      <c r="P234" s="25" t="str">
        <f aca="true">IF(OR(L234="",K234="Sold",K234="Donated"),"",TODAY()-L234)</f>
        <v/>
      </c>
      <c r="Q234" s="26" t="str">
        <f aca="false">IF(AND(K234="Listed",P234&lt;&gt;"",N(P234)&gt;Settings!$B$19),"STALE","")</f>
        <v/>
      </c>
      <c r="R234" s="27" t="str">
        <f aca="false">IF(Q234="STALE",COUNTIF($Q$4:Q234,"STALE"),"")</f>
        <v/>
      </c>
    </row>
    <row r="235" customFormat="false" ht="15" hidden="false" customHeight="false" outlineLevel="0" collapsed="false">
      <c r="A235" s="23" t="str">
        <f aca="false">IF(B235="","","SKU-"&amp;TEXT(ROW()-3,"0000"))</f>
        <v/>
      </c>
      <c r="B235" s="19"/>
      <c r="C235" s="10"/>
      <c r="D235" s="10"/>
      <c r="E235" s="10"/>
      <c r="F235" s="10"/>
      <c r="G235" s="10"/>
      <c r="H235" s="12"/>
      <c r="I235" s="12"/>
      <c r="J235" s="24" t="str">
        <f aca="false">IF(B235="","",N(H235)+N(I235))</f>
        <v/>
      </c>
      <c r="K235" s="10"/>
      <c r="L235" s="19"/>
      <c r="M235" s="12"/>
      <c r="N235" s="10"/>
      <c r="O235" s="25" t="str">
        <f aca="true">IF(OR(B235="",K235="Sold",K235="Donated"),"",TODAY()-B235)</f>
        <v/>
      </c>
      <c r="P235" s="25" t="str">
        <f aca="true">IF(OR(L235="",K235="Sold",K235="Donated"),"",TODAY()-L235)</f>
        <v/>
      </c>
      <c r="Q235" s="26" t="str">
        <f aca="false">IF(AND(K235="Listed",P235&lt;&gt;"",N(P235)&gt;Settings!$B$19),"STALE","")</f>
        <v/>
      </c>
      <c r="R235" s="27" t="str">
        <f aca="false">IF(Q235="STALE",COUNTIF($Q$4:Q235,"STALE"),"")</f>
        <v/>
      </c>
    </row>
    <row r="236" customFormat="false" ht="15" hidden="false" customHeight="false" outlineLevel="0" collapsed="false">
      <c r="A236" s="23" t="str">
        <f aca="false">IF(B236="","","SKU-"&amp;TEXT(ROW()-3,"0000"))</f>
        <v/>
      </c>
      <c r="B236" s="19"/>
      <c r="C236" s="10"/>
      <c r="D236" s="10"/>
      <c r="E236" s="10"/>
      <c r="F236" s="10"/>
      <c r="G236" s="10"/>
      <c r="H236" s="12"/>
      <c r="I236" s="12"/>
      <c r="J236" s="24" t="str">
        <f aca="false">IF(B236="","",N(H236)+N(I236))</f>
        <v/>
      </c>
      <c r="K236" s="10"/>
      <c r="L236" s="19"/>
      <c r="M236" s="12"/>
      <c r="N236" s="10"/>
      <c r="O236" s="25" t="str">
        <f aca="true">IF(OR(B236="",K236="Sold",K236="Donated"),"",TODAY()-B236)</f>
        <v/>
      </c>
      <c r="P236" s="25" t="str">
        <f aca="true">IF(OR(L236="",K236="Sold",K236="Donated"),"",TODAY()-L236)</f>
        <v/>
      </c>
      <c r="Q236" s="26" t="str">
        <f aca="false">IF(AND(K236="Listed",P236&lt;&gt;"",N(P236)&gt;Settings!$B$19),"STALE","")</f>
        <v/>
      </c>
      <c r="R236" s="27" t="str">
        <f aca="false">IF(Q236="STALE",COUNTIF($Q$4:Q236,"STALE"),"")</f>
        <v/>
      </c>
    </row>
    <row r="237" customFormat="false" ht="15" hidden="false" customHeight="false" outlineLevel="0" collapsed="false">
      <c r="A237" s="23" t="str">
        <f aca="false">IF(B237="","","SKU-"&amp;TEXT(ROW()-3,"0000"))</f>
        <v/>
      </c>
      <c r="B237" s="19"/>
      <c r="C237" s="10"/>
      <c r="D237" s="10"/>
      <c r="E237" s="10"/>
      <c r="F237" s="10"/>
      <c r="G237" s="10"/>
      <c r="H237" s="12"/>
      <c r="I237" s="12"/>
      <c r="J237" s="24" t="str">
        <f aca="false">IF(B237="","",N(H237)+N(I237))</f>
        <v/>
      </c>
      <c r="K237" s="10"/>
      <c r="L237" s="19"/>
      <c r="M237" s="12"/>
      <c r="N237" s="10"/>
      <c r="O237" s="25" t="str">
        <f aca="true">IF(OR(B237="",K237="Sold",K237="Donated"),"",TODAY()-B237)</f>
        <v/>
      </c>
      <c r="P237" s="25" t="str">
        <f aca="true">IF(OR(L237="",K237="Sold",K237="Donated"),"",TODAY()-L237)</f>
        <v/>
      </c>
      <c r="Q237" s="26" t="str">
        <f aca="false">IF(AND(K237="Listed",P237&lt;&gt;"",N(P237)&gt;Settings!$B$19),"STALE","")</f>
        <v/>
      </c>
      <c r="R237" s="27" t="str">
        <f aca="false">IF(Q237="STALE",COUNTIF($Q$4:Q237,"STALE"),"")</f>
        <v/>
      </c>
    </row>
    <row r="238" customFormat="false" ht="15" hidden="false" customHeight="false" outlineLevel="0" collapsed="false">
      <c r="A238" s="23" t="str">
        <f aca="false">IF(B238="","","SKU-"&amp;TEXT(ROW()-3,"0000"))</f>
        <v/>
      </c>
      <c r="B238" s="19"/>
      <c r="C238" s="10"/>
      <c r="D238" s="10"/>
      <c r="E238" s="10"/>
      <c r="F238" s="10"/>
      <c r="G238" s="10"/>
      <c r="H238" s="12"/>
      <c r="I238" s="12"/>
      <c r="J238" s="24" t="str">
        <f aca="false">IF(B238="","",N(H238)+N(I238))</f>
        <v/>
      </c>
      <c r="K238" s="10"/>
      <c r="L238" s="19"/>
      <c r="M238" s="12"/>
      <c r="N238" s="10"/>
      <c r="O238" s="25" t="str">
        <f aca="true">IF(OR(B238="",K238="Sold",K238="Donated"),"",TODAY()-B238)</f>
        <v/>
      </c>
      <c r="P238" s="25" t="str">
        <f aca="true">IF(OR(L238="",K238="Sold",K238="Donated"),"",TODAY()-L238)</f>
        <v/>
      </c>
      <c r="Q238" s="26" t="str">
        <f aca="false">IF(AND(K238="Listed",P238&lt;&gt;"",N(P238)&gt;Settings!$B$19),"STALE","")</f>
        <v/>
      </c>
      <c r="R238" s="27" t="str">
        <f aca="false">IF(Q238="STALE",COUNTIF($Q$4:Q238,"STALE"),"")</f>
        <v/>
      </c>
    </row>
    <row r="239" customFormat="false" ht="15" hidden="false" customHeight="false" outlineLevel="0" collapsed="false">
      <c r="A239" s="23" t="str">
        <f aca="false">IF(B239="","","SKU-"&amp;TEXT(ROW()-3,"0000"))</f>
        <v/>
      </c>
      <c r="B239" s="19"/>
      <c r="C239" s="10"/>
      <c r="D239" s="10"/>
      <c r="E239" s="10"/>
      <c r="F239" s="10"/>
      <c r="G239" s="10"/>
      <c r="H239" s="12"/>
      <c r="I239" s="12"/>
      <c r="J239" s="24" t="str">
        <f aca="false">IF(B239="","",N(H239)+N(I239))</f>
        <v/>
      </c>
      <c r="K239" s="10"/>
      <c r="L239" s="19"/>
      <c r="M239" s="12"/>
      <c r="N239" s="10"/>
      <c r="O239" s="25" t="str">
        <f aca="true">IF(OR(B239="",K239="Sold",K239="Donated"),"",TODAY()-B239)</f>
        <v/>
      </c>
      <c r="P239" s="25" t="str">
        <f aca="true">IF(OR(L239="",K239="Sold",K239="Donated"),"",TODAY()-L239)</f>
        <v/>
      </c>
      <c r="Q239" s="26" t="str">
        <f aca="false">IF(AND(K239="Listed",P239&lt;&gt;"",N(P239)&gt;Settings!$B$19),"STALE","")</f>
        <v/>
      </c>
      <c r="R239" s="27" t="str">
        <f aca="false">IF(Q239="STALE",COUNTIF($Q$4:Q239,"STALE"),"")</f>
        <v/>
      </c>
    </row>
    <row r="240" customFormat="false" ht="15" hidden="false" customHeight="false" outlineLevel="0" collapsed="false">
      <c r="A240" s="23" t="str">
        <f aca="false">IF(B240="","","SKU-"&amp;TEXT(ROW()-3,"0000"))</f>
        <v/>
      </c>
      <c r="B240" s="19"/>
      <c r="C240" s="10"/>
      <c r="D240" s="10"/>
      <c r="E240" s="10"/>
      <c r="F240" s="10"/>
      <c r="G240" s="10"/>
      <c r="H240" s="12"/>
      <c r="I240" s="12"/>
      <c r="J240" s="24" t="str">
        <f aca="false">IF(B240="","",N(H240)+N(I240))</f>
        <v/>
      </c>
      <c r="K240" s="10"/>
      <c r="L240" s="19"/>
      <c r="M240" s="12"/>
      <c r="N240" s="10"/>
      <c r="O240" s="25" t="str">
        <f aca="true">IF(OR(B240="",K240="Sold",K240="Donated"),"",TODAY()-B240)</f>
        <v/>
      </c>
      <c r="P240" s="25" t="str">
        <f aca="true">IF(OR(L240="",K240="Sold",K240="Donated"),"",TODAY()-L240)</f>
        <v/>
      </c>
      <c r="Q240" s="26" t="str">
        <f aca="false">IF(AND(K240="Listed",P240&lt;&gt;"",N(P240)&gt;Settings!$B$19),"STALE","")</f>
        <v/>
      </c>
      <c r="R240" s="27" t="str">
        <f aca="false">IF(Q240="STALE",COUNTIF($Q$4:Q240,"STALE"),"")</f>
        <v/>
      </c>
    </row>
    <row r="241" customFormat="false" ht="15" hidden="false" customHeight="false" outlineLevel="0" collapsed="false">
      <c r="A241" s="23" t="str">
        <f aca="false">IF(B241="","","SKU-"&amp;TEXT(ROW()-3,"0000"))</f>
        <v/>
      </c>
      <c r="B241" s="19"/>
      <c r="C241" s="10"/>
      <c r="D241" s="10"/>
      <c r="E241" s="10"/>
      <c r="F241" s="10"/>
      <c r="G241" s="10"/>
      <c r="H241" s="12"/>
      <c r="I241" s="12"/>
      <c r="J241" s="24" t="str">
        <f aca="false">IF(B241="","",N(H241)+N(I241))</f>
        <v/>
      </c>
      <c r="K241" s="10"/>
      <c r="L241" s="19"/>
      <c r="M241" s="12"/>
      <c r="N241" s="10"/>
      <c r="O241" s="25" t="str">
        <f aca="true">IF(OR(B241="",K241="Sold",K241="Donated"),"",TODAY()-B241)</f>
        <v/>
      </c>
      <c r="P241" s="25" t="str">
        <f aca="true">IF(OR(L241="",K241="Sold",K241="Donated"),"",TODAY()-L241)</f>
        <v/>
      </c>
      <c r="Q241" s="26" t="str">
        <f aca="false">IF(AND(K241="Listed",P241&lt;&gt;"",N(P241)&gt;Settings!$B$19),"STALE","")</f>
        <v/>
      </c>
      <c r="R241" s="27" t="str">
        <f aca="false">IF(Q241="STALE",COUNTIF($Q$4:Q241,"STALE"),"")</f>
        <v/>
      </c>
    </row>
    <row r="242" customFormat="false" ht="15" hidden="false" customHeight="false" outlineLevel="0" collapsed="false">
      <c r="A242" s="23" t="str">
        <f aca="false">IF(B242="","","SKU-"&amp;TEXT(ROW()-3,"0000"))</f>
        <v/>
      </c>
      <c r="B242" s="19"/>
      <c r="C242" s="10"/>
      <c r="D242" s="10"/>
      <c r="E242" s="10"/>
      <c r="F242" s="10"/>
      <c r="G242" s="10"/>
      <c r="H242" s="12"/>
      <c r="I242" s="12"/>
      <c r="J242" s="24" t="str">
        <f aca="false">IF(B242="","",N(H242)+N(I242))</f>
        <v/>
      </c>
      <c r="K242" s="10"/>
      <c r="L242" s="19"/>
      <c r="M242" s="12"/>
      <c r="N242" s="10"/>
      <c r="O242" s="25" t="str">
        <f aca="true">IF(OR(B242="",K242="Sold",K242="Donated"),"",TODAY()-B242)</f>
        <v/>
      </c>
      <c r="P242" s="25" t="str">
        <f aca="true">IF(OR(L242="",K242="Sold",K242="Donated"),"",TODAY()-L242)</f>
        <v/>
      </c>
      <c r="Q242" s="26" t="str">
        <f aca="false">IF(AND(K242="Listed",P242&lt;&gt;"",N(P242)&gt;Settings!$B$19),"STALE","")</f>
        <v/>
      </c>
      <c r="R242" s="27" t="str">
        <f aca="false">IF(Q242="STALE",COUNTIF($Q$4:Q242,"STALE"),"")</f>
        <v/>
      </c>
    </row>
    <row r="243" customFormat="false" ht="15" hidden="false" customHeight="false" outlineLevel="0" collapsed="false">
      <c r="A243" s="23" t="str">
        <f aca="false">IF(B243="","","SKU-"&amp;TEXT(ROW()-3,"0000"))</f>
        <v/>
      </c>
      <c r="B243" s="19"/>
      <c r="C243" s="10"/>
      <c r="D243" s="10"/>
      <c r="E243" s="10"/>
      <c r="F243" s="10"/>
      <c r="G243" s="10"/>
      <c r="H243" s="12"/>
      <c r="I243" s="12"/>
      <c r="J243" s="24" t="str">
        <f aca="false">IF(B243="","",N(H243)+N(I243))</f>
        <v/>
      </c>
      <c r="K243" s="10"/>
      <c r="L243" s="19"/>
      <c r="M243" s="12"/>
      <c r="N243" s="10"/>
      <c r="O243" s="25" t="str">
        <f aca="true">IF(OR(B243="",K243="Sold",K243="Donated"),"",TODAY()-B243)</f>
        <v/>
      </c>
      <c r="P243" s="25" t="str">
        <f aca="true">IF(OR(L243="",K243="Sold",K243="Donated"),"",TODAY()-L243)</f>
        <v/>
      </c>
      <c r="Q243" s="26" t="str">
        <f aca="false">IF(AND(K243="Listed",P243&lt;&gt;"",N(P243)&gt;Settings!$B$19),"STALE","")</f>
        <v/>
      </c>
      <c r="R243" s="27" t="str">
        <f aca="false">IF(Q243="STALE",COUNTIF($Q$4:Q243,"STALE"),"")</f>
        <v/>
      </c>
    </row>
    <row r="244" customFormat="false" ht="15" hidden="false" customHeight="false" outlineLevel="0" collapsed="false">
      <c r="A244" s="23" t="str">
        <f aca="false">IF(B244="","","SKU-"&amp;TEXT(ROW()-3,"0000"))</f>
        <v/>
      </c>
      <c r="B244" s="19"/>
      <c r="C244" s="10"/>
      <c r="D244" s="10"/>
      <c r="E244" s="10"/>
      <c r="F244" s="10"/>
      <c r="G244" s="10"/>
      <c r="H244" s="12"/>
      <c r="I244" s="12"/>
      <c r="J244" s="24" t="str">
        <f aca="false">IF(B244="","",N(H244)+N(I244))</f>
        <v/>
      </c>
      <c r="K244" s="10"/>
      <c r="L244" s="19"/>
      <c r="M244" s="12"/>
      <c r="N244" s="10"/>
      <c r="O244" s="25" t="str">
        <f aca="true">IF(OR(B244="",K244="Sold",K244="Donated"),"",TODAY()-B244)</f>
        <v/>
      </c>
      <c r="P244" s="25" t="str">
        <f aca="true">IF(OR(L244="",K244="Sold",K244="Donated"),"",TODAY()-L244)</f>
        <v/>
      </c>
      <c r="Q244" s="26" t="str">
        <f aca="false">IF(AND(K244="Listed",P244&lt;&gt;"",N(P244)&gt;Settings!$B$19),"STALE","")</f>
        <v/>
      </c>
      <c r="R244" s="27" t="str">
        <f aca="false">IF(Q244="STALE",COUNTIF($Q$4:Q244,"STALE"),"")</f>
        <v/>
      </c>
    </row>
    <row r="245" customFormat="false" ht="15" hidden="false" customHeight="false" outlineLevel="0" collapsed="false">
      <c r="A245" s="23" t="str">
        <f aca="false">IF(B245="","","SKU-"&amp;TEXT(ROW()-3,"0000"))</f>
        <v/>
      </c>
      <c r="B245" s="19"/>
      <c r="C245" s="10"/>
      <c r="D245" s="10"/>
      <c r="E245" s="10"/>
      <c r="F245" s="10"/>
      <c r="G245" s="10"/>
      <c r="H245" s="12"/>
      <c r="I245" s="12"/>
      <c r="J245" s="24" t="str">
        <f aca="false">IF(B245="","",N(H245)+N(I245))</f>
        <v/>
      </c>
      <c r="K245" s="10"/>
      <c r="L245" s="19"/>
      <c r="M245" s="12"/>
      <c r="N245" s="10"/>
      <c r="O245" s="25" t="str">
        <f aca="true">IF(OR(B245="",K245="Sold",K245="Donated"),"",TODAY()-B245)</f>
        <v/>
      </c>
      <c r="P245" s="25" t="str">
        <f aca="true">IF(OR(L245="",K245="Sold",K245="Donated"),"",TODAY()-L245)</f>
        <v/>
      </c>
      <c r="Q245" s="26" t="str">
        <f aca="false">IF(AND(K245="Listed",P245&lt;&gt;"",N(P245)&gt;Settings!$B$19),"STALE","")</f>
        <v/>
      </c>
      <c r="R245" s="27" t="str">
        <f aca="false">IF(Q245="STALE",COUNTIF($Q$4:Q245,"STALE"),"")</f>
        <v/>
      </c>
    </row>
    <row r="246" customFormat="false" ht="15" hidden="false" customHeight="false" outlineLevel="0" collapsed="false">
      <c r="A246" s="23" t="str">
        <f aca="false">IF(B246="","","SKU-"&amp;TEXT(ROW()-3,"0000"))</f>
        <v/>
      </c>
      <c r="B246" s="19"/>
      <c r="C246" s="10"/>
      <c r="D246" s="10"/>
      <c r="E246" s="10"/>
      <c r="F246" s="10"/>
      <c r="G246" s="10"/>
      <c r="H246" s="12"/>
      <c r="I246" s="12"/>
      <c r="J246" s="24" t="str">
        <f aca="false">IF(B246="","",N(H246)+N(I246))</f>
        <v/>
      </c>
      <c r="K246" s="10"/>
      <c r="L246" s="19"/>
      <c r="M246" s="12"/>
      <c r="N246" s="10"/>
      <c r="O246" s="25" t="str">
        <f aca="true">IF(OR(B246="",K246="Sold",K246="Donated"),"",TODAY()-B246)</f>
        <v/>
      </c>
      <c r="P246" s="25" t="str">
        <f aca="true">IF(OR(L246="",K246="Sold",K246="Donated"),"",TODAY()-L246)</f>
        <v/>
      </c>
      <c r="Q246" s="26" t="str">
        <f aca="false">IF(AND(K246="Listed",P246&lt;&gt;"",N(P246)&gt;Settings!$B$19),"STALE","")</f>
        <v/>
      </c>
      <c r="R246" s="27" t="str">
        <f aca="false">IF(Q246="STALE",COUNTIF($Q$4:Q246,"STALE"),"")</f>
        <v/>
      </c>
    </row>
    <row r="247" customFormat="false" ht="15" hidden="false" customHeight="false" outlineLevel="0" collapsed="false">
      <c r="A247" s="23" t="str">
        <f aca="false">IF(B247="","","SKU-"&amp;TEXT(ROW()-3,"0000"))</f>
        <v/>
      </c>
      <c r="B247" s="19"/>
      <c r="C247" s="10"/>
      <c r="D247" s="10"/>
      <c r="E247" s="10"/>
      <c r="F247" s="10"/>
      <c r="G247" s="10"/>
      <c r="H247" s="12"/>
      <c r="I247" s="12"/>
      <c r="J247" s="24" t="str">
        <f aca="false">IF(B247="","",N(H247)+N(I247))</f>
        <v/>
      </c>
      <c r="K247" s="10"/>
      <c r="L247" s="19"/>
      <c r="M247" s="12"/>
      <c r="N247" s="10"/>
      <c r="O247" s="25" t="str">
        <f aca="true">IF(OR(B247="",K247="Sold",K247="Donated"),"",TODAY()-B247)</f>
        <v/>
      </c>
      <c r="P247" s="25" t="str">
        <f aca="true">IF(OR(L247="",K247="Sold",K247="Donated"),"",TODAY()-L247)</f>
        <v/>
      </c>
      <c r="Q247" s="26" t="str">
        <f aca="false">IF(AND(K247="Listed",P247&lt;&gt;"",N(P247)&gt;Settings!$B$19),"STALE","")</f>
        <v/>
      </c>
      <c r="R247" s="27" t="str">
        <f aca="false">IF(Q247="STALE",COUNTIF($Q$4:Q247,"STALE"),"")</f>
        <v/>
      </c>
    </row>
    <row r="248" customFormat="false" ht="15" hidden="false" customHeight="false" outlineLevel="0" collapsed="false">
      <c r="A248" s="23" t="str">
        <f aca="false">IF(B248="","","SKU-"&amp;TEXT(ROW()-3,"0000"))</f>
        <v/>
      </c>
      <c r="B248" s="19"/>
      <c r="C248" s="10"/>
      <c r="D248" s="10"/>
      <c r="E248" s="10"/>
      <c r="F248" s="10"/>
      <c r="G248" s="10"/>
      <c r="H248" s="12"/>
      <c r="I248" s="12"/>
      <c r="J248" s="24" t="str">
        <f aca="false">IF(B248="","",N(H248)+N(I248))</f>
        <v/>
      </c>
      <c r="K248" s="10"/>
      <c r="L248" s="19"/>
      <c r="M248" s="12"/>
      <c r="N248" s="10"/>
      <c r="O248" s="25" t="str">
        <f aca="true">IF(OR(B248="",K248="Sold",K248="Donated"),"",TODAY()-B248)</f>
        <v/>
      </c>
      <c r="P248" s="25" t="str">
        <f aca="true">IF(OR(L248="",K248="Sold",K248="Donated"),"",TODAY()-L248)</f>
        <v/>
      </c>
      <c r="Q248" s="26" t="str">
        <f aca="false">IF(AND(K248="Listed",P248&lt;&gt;"",N(P248)&gt;Settings!$B$19),"STALE","")</f>
        <v/>
      </c>
      <c r="R248" s="27" t="str">
        <f aca="false">IF(Q248="STALE",COUNTIF($Q$4:Q248,"STALE"),"")</f>
        <v/>
      </c>
    </row>
    <row r="249" customFormat="false" ht="15" hidden="false" customHeight="false" outlineLevel="0" collapsed="false">
      <c r="A249" s="23" t="str">
        <f aca="false">IF(B249="","","SKU-"&amp;TEXT(ROW()-3,"0000"))</f>
        <v/>
      </c>
      <c r="B249" s="19"/>
      <c r="C249" s="10"/>
      <c r="D249" s="10"/>
      <c r="E249" s="10"/>
      <c r="F249" s="10"/>
      <c r="G249" s="10"/>
      <c r="H249" s="12"/>
      <c r="I249" s="12"/>
      <c r="J249" s="24" t="str">
        <f aca="false">IF(B249="","",N(H249)+N(I249))</f>
        <v/>
      </c>
      <c r="K249" s="10"/>
      <c r="L249" s="19"/>
      <c r="M249" s="12"/>
      <c r="N249" s="10"/>
      <c r="O249" s="25" t="str">
        <f aca="true">IF(OR(B249="",K249="Sold",K249="Donated"),"",TODAY()-B249)</f>
        <v/>
      </c>
      <c r="P249" s="25" t="str">
        <f aca="true">IF(OR(L249="",K249="Sold",K249="Donated"),"",TODAY()-L249)</f>
        <v/>
      </c>
      <c r="Q249" s="26" t="str">
        <f aca="false">IF(AND(K249="Listed",P249&lt;&gt;"",N(P249)&gt;Settings!$B$19),"STALE","")</f>
        <v/>
      </c>
      <c r="R249" s="27" t="str">
        <f aca="false">IF(Q249="STALE",COUNTIF($Q$4:Q249,"STALE"),"")</f>
        <v/>
      </c>
    </row>
    <row r="250" customFormat="false" ht="15" hidden="false" customHeight="false" outlineLevel="0" collapsed="false">
      <c r="A250" s="23" t="str">
        <f aca="false">IF(B250="","","SKU-"&amp;TEXT(ROW()-3,"0000"))</f>
        <v/>
      </c>
      <c r="B250" s="19"/>
      <c r="C250" s="10"/>
      <c r="D250" s="10"/>
      <c r="E250" s="10"/>
      <c r="F250" s="10"/>
      <c r="G250" s="10"/>
      <c r="H250" s="12"/>
      <c r="I250" s="12"/>
      <c r="J250" s="24" t="str">
        <f aca="false">IF(B250="","",N(H250)+N(I250))</f>
        <v/>
      </c>
      <c r="K250" s="10"/>
      <c r="L250" s="19"/>
      <c r="M250" s="12"/>
      <c r="N250" s="10"/>
      <c r="O250" s="25" t="str">
        <f aca="true">IF(OR(B250="",K250="Sold",K250="Donated"),"",TODAY()-B250)</f>
        <v/>
      </c>
      <c r="P250" s="25" t="str">
        <f aca="true">IF(OR(L250="",K250="Sold",K250="Donated"),"",TODAY()-L250)</f>
        <v/>
      </c>
      <c r="Q250" s="26" t="str">
        <f aca="false">IF(AND(K250="Listed",P250&lt;&gt;"",N(P250)&gt;Settings!$B$19),"STALE","")</f>
        <v/>
      </c>
      <c r="R250" s="27" t="str">
        <f aca="false">IF(Q250="STALE",COUNTIF($Q$4:Q250,"STALE"),"")</f>
        <v/>
      </c>
    </row>
    <row r="251" customFormat="false" ht="15" hidden="false" customHeight="false" outlineLevel="0" collapsed="false">
      <c r="A251" s="23" t="str">
        <f aca="false">IF(B251="","","SKU-"&amp;TEXT(ROW()-3,"0000"))</f>
        <v/>
      </c>
      <c r="B251" s="19"/>
      <c r="C251" s="10"/>
      <c r="D251" s="10"/>
      <c r="E251" s="10"/>
      <c r="F251" s="10"/>
      <c r="G251" s="10"/>
      <c r="H251" s="12"/>
      <c r="I251" s="12"/>
      <c r="J251" s="24" t="str">
        <f aca="false">IF(B251="","",N(H251)+N(I251))</f>
        <v/>
      </c>
      <c r="K251" s="10"/>
      <c r="L251" s="19"/>
      <c r="M251" s="12"/>
      <c r="N251" s="10"/>
      <c r="O251" s="25" t="str">
        <f aca="true">IF(OR(B251="",K251="Sold",K251="Donated"),"",TODAY()-B251)</f>
        <v/>
      </c>
      <c r="P251" s="25" t="str">
        <f aca="true">IF(OR(L251="",K251="Sold",K251="Donated"),"",TODAY()-L251)</f>
        <v/>
      </c>
      <c r="Q251" s="26" t="str">
        <f aca="false">IF(AND(K251="Listed",P251&lt;&gt;"",N(P251)&gt;Settings!$B$19),"STALE","")</f>
        <v/>
      </c>
      <c r="R251" s="27" t="str">
        <f aca="false">IF(Q251="STALE",COUNTIF($Q$4:Q251,"STALE"),"")</f>
        <v/>
      </c>
    </row>
    <row r="252" customFormat="false" ht="15" hidden="false" customHeight="false" outlineLevel="0" collapsed="false">
      <c r="A252" s="23" t="str">
        <f aca="false">IF(B252="","","SKU-"&amp;TEXT(ROW()-3,"0000"))</f>
        <v/>
      </c>
      <c r="B252" s="19"/>
      <c r="C252" s="10"/>
      <c r="D252" s="10"/>
      <c r="E252" s="10"/>
      <c r="F252" s="10"/>
      <c r="G252" s="10"/>
      <c r="H252" s="12"/>
      <c r="I252" s="12"/>
      <c r="J252" s="24" t="str">
        <f aca="false">IF(B252="","",N(H252)+N(I252))</f>
        <v/>
      </c>
      <c r="K252" s="10"/>
      <c r="L252" s="19"/>
      <c r="M252" s="12"/>
      <c r="N252" s="10"/>
      <c r="O252" s="25" t="str">
        <f aca="true">IF(OR(B252="",K252="Sold",K252="Donated"),"",TODAY()-B252)</f>
        <v/>
      </c>
      <c r="P252" s="25" t="str">
        <f aca="true">IF(OR(L252="",K252="Sold",K252="Donated"),"",TODAY()-L252)</f>
        <v/>
      </c>
      <c r="Q252" s="26" t="str">
        <f aca="false">IF(AND(K252="Listed",P252&lt;&gt;"",N(P252)&gt;Settings!$B$19),"STALE","")</f>
        <v/>
      </c>
      <c r="R252" s="27" t="str">
        <f aca="false">IF(Q252="STALE",COUNTIF($Q$4:Q252,"STALE"),"")</f>
        <v/>
      </c>
    </row>
    <row r="253" customFormat="false" ht="15" hidden="false" customHeight="false" outlineLevel="0" collapsed="false">
      <c r="A253" s="23" t="str">
        <f aca="false">IF(B253="","","SKU-"&amp;TEXT(ROW()-3,"0000"))</f>
        <v/>
      </c>
      <c r="B253" s="19"/>
      <c r="C253" s="10"/>
      <c r="D253" s="10"/>
      <c r="E253" s="10"/>
      <c r="F253" s="10"/>
      <c r="G253" s="10"/>
      <c r="H253" s="12"/>
      <c r="I253" s="12"/>
      <c r="J253" s="24" t="str">
        <f aca="false">IF(B253="","",N(H253)+N(I253))</f>
        <v/>
      </c>
      <c r="K253" s="10"/>
      <c r="L253" s="19"/>
      <c r="M253" s="12"/>
      <c r="N253" s="10"/>
      <c r="O253" s="25" t="str">
        <f aca="true">IF(OR(B253="",K253="Sold",K253="Donated"),"",TODAY()-B253)</f>
        <v/>
      </c>
      <c r="P253" s="25" t="str">
        <f aca="true">IF(OR(L253="",K253="Sold",K253="Donated"),"",TODAY()-L253)</f>
        <v/>
      </c>
      <c r="Q253" s="26" t="str">
        <f aca="false">IF(AND(K253="Listed",P253&lt;&gt;"",N(P253)&gt;Settings!$B$19),"STALE","")</f>
        <v/>
      </c>
      <c r="R253" s="27" t="str">
        <f aca="false">IF(Q253="STALE",COUNTIF($Q$4:Q253,"STALE"),"")</f>
        <v/>
      </c>
    </row>
    <row r="254" customFormat="false" ht="15" hidden="false" customHeight="false" outlineLevel="0" collapsed="false">
      <c r="A254" s="23" t="str">
        <f aca="false">IF(B254="","","SKU-"&amp;TEXT(ROW()-3,"0000"))</f>
        <v/>
      </c>
      <c r="B254" s="19"/>
      <c r="C254" s="10"/>
      <c r="D254" s="10"/>
      <c r="E254" s="10"/>
      <c r="F254" s="10"/>
      <c r="G254" s="10"/>
      <c r="H254" s="12"/>
      <c r="I254" s="12"/>
      <c r="J254" s="24" t="str">
        <f aca="false">IF(B254="","",N(H254)+N(I254))</f>
        <v/>
      </c>
      <c r="K254" s="10"/>
      <c r="L254" s="19"/>
      <c r="M254" s="12"/>
      <c r="N254" s="10"/>
      <c r="O254" s="25" t="str">
        <f aca="true">IF(OR(B254="",K254="Sold",K254="Donated"),"",TODAY()-B254)</f>
        <v/>
      </c>
      <c r="P254" s="25" t="str">
        <f aca="true">IF(OR(L254="",K254="Sold",K254="Donated"),"",TODAY()-L254)</f>
        <v/>
      </c>
      <c r="Q254" s="26" t="str">
        <f aca="false">IF(AND(K254="Listed",P254&lt;&gt;"",N(P254)&gt;Settings!$B$19),"STALE","")</f>
        <v/>
      </c>
      <c r="R254" s="27" t="str">
        <f aca="false">IF(Q254="STALE",COUNTIF($Q$4:Q254,"STALE"),"")</f>
        <v/>
      </c>
    </row>
    <row r="255" customFormat="false" ht="15" hidden="false" customHeight="false" outlineLevel="0" collapsed="false">
      <c r="A255" s="23" t="str">
        <f aca="false">IF(B255="","","SKU-"&amp;TEXT(ROW()-3,"0000"))</f>
        <v/>
      </c>
      <c r="B255" s="19"/>
      <c r="C255" s="10"/>
      <c r="D255" s="10"/>
      <c r="E255" s="10"/>
      <c r="F255" s="10"/>
      <c r="G255" s="10"/>
      <c r="H255" s="12"/>
      <c r="I255" s="12"/>
      <c r="J255" s="24" t="str">
        <f aca="false">IF(B255="","",N(H255)+N(I255))</f>
        <v/>
      </c>
      <c r="K255" s="10"/>
      <c r="L255" s="19"/>
      <c r="M255" s="12"/>
      <c r="N255" s="10"/>
      <c r="O255" s="25" t="str">
        <f aca="true">IF(OR(B255="",K255="Sold",K255="Donated"),"",TODAY()-B255)</f>
        <v/>
      </c>
      <c r="P255" s="25" t="str">
        <f aca="true">IF(OR(L255="",K255="Sold",K255="Donated"),"",TODAY()-L255)</f>
        <v/>
      </c>
      <c r="Q255" s="26" t="str">
        <f aca="false">IF(AND(K255="Listed",P255&lt;&gt;"",N(P255)&gt;Settings!$B$19),"STALE","")</f>
        <v/>
      </c>
      <c r="R255" s="27" t="str">
        <f aca="false">IF(Q255="STALE",COUNTIF($Q$4:Q255,"STALE"),"")</f>
        <v/>
      </c>
    </row>
    <row r="256" customFormat="false" ht="15" hidden="false" customHeight="false" outlineLevel="0" collapsed="false">
      <c r="A256" s="23" t="str">
        <f aca="false">IF(B256="","","SKU-"&amp;TEXT(ROW()-3,"0000"))</f>
        <v/>
      </c>
      <c r="B256" s="19"/>
      <c r="C256" s="10"/>
      <c r="D256" s="10"/>
      <c r="E256" s="10"/>
      <c r="F256" s="10"/>
      <c r="G256" s="10"/>
      <c r="H256" s="12"/>
      <c r="I256" s="12"/>
      <c r="J256" s="24" t="str">
        <f aca="false">IF(B256="","",N(H256)+N(I256))</f>
        <v/>
      </c>
      <c r="K256" s="10"/>
      <c r="L256" s="19"/>
      <c r="M256" s="12"/>
      <c r="N256" s="10"/>
      <c r="O256" s="25" t="str">
        <f aca="true">IF(OR(B256="",K256="Sold",K256="Donated"),"",TODAY()-B256)</f>
        <v/>
      </c>
      <c r="P256" s="25" t="str">
        <f aca="true">IF(OR(L256="",K256="Sold",K256="Donated"),"",TODAY()-L256)</f>
        <v/>
      </c>
      <c r="Q256" s="26" t="str">
        <f aca="false">IF(AND(K256="Listed",P256&lt;&gt;"",N(P256)&gt;Settings!$B$19),"STALE","")</f>
        <v/>
      </c>
      <c r="R256" s="27" t="str">
        <f aca="false">IF(Q256="STALE",COUNTIF($Q$4:Q256,"STALE"),"")</f>
        <v/>
      </c>
    </row>
    <row r="257" customFormat="false" ht="15" hidden="false" customHeight="false" outlineLevel="0" collapsed="false">
      <c r="A257" s="23" t="str">
        <f aca="false">IF(B257="","","SKU-"&amp;TEXT(ROW()-3,"0000"))</f>
        <v/>
      </c>
      <c r="B257" s="19"/>
      <c r="C257" s="10"/>
      <c r="D257" s="10"/>
      <c r="E257" s="10"/>
      <c r="F257" s="10"/>
      <c r="G257" s="10"/>
      <c r="H257" s="12"/>
      <c r="I257" s="12"/>
      <c r="J257" s="24" t="str">
        <f aca="false">IF(B257="","",N(H257)+N(I257))</f>
        <v/>
      </c>
      <c r="K257" s="10"/>
      <c r="L257" s="19"/>
      <c r="M257" s="12"/>
      <c r="N257" s="10"/>
      <c r="O257" s="25" t="str">
        <f aca="true">IF(OR(B257="",K257="Sold",K257="Donated"),"",TODAY()-B257)</f>
        <v/>
      </c>
      <c r="P257" s="25" t="str">
        <f aca="true">IF(OR(L257="",K257="Sold",K257="Donated"),"",TODAY()-L257)</f>
        <v/>
      </c>
      <c r="Q257" s="26" t="str">
        <f aca="false">IF(AND(K257="Listed",P257&lt;&gt;"",N(P257)&gt;Settings!$B$19),"STALE","")</f>
        <v/>
      </c>
      <c r="R257" s="27" t="str">
        <f aca="false">IF(Q257="STALE",COUNTIF($Q$4:Q257,"STALE"),"")</f>
        <v/>
      </c>
    </row>
    <row r="258" customFormat="false" ht="15" hidden="false" customHeight="false" outlineLevel="0" collapsed="false">
      <c r="A258" s="23" t="str">
        <f aca="false">IF(B258="","","SKU-"&amp;TEXT(ROW()-3,"0000"))</f>
        <v/>
      </c>
      <c r="B258" s="19"/>
      <c r="C258" s="10"/>
      <c r="D258" s="10"/>
      <c r="E258" s="10"/>
      <c r="F258" s="10"/>
      <c r="G258" s="10"/>
      <c r="H258" s="12"/>
      <c r="I258" s="12"/>
      <c r="J258" s="24" t="str">
        <f aca="false">IF(B258="","",N(H258)+N(I258))</f>
        <v/>
      </c>
      <c r="K258" s="10"/>
      <c r="L258" s="19"/>
      <c r="M258" s="12"/>
      <c r="N258" s="10"/>
      <c r="O258" s="25" t="str">
        <f aca="true">IF(OR(B258="",K258="Sold",K258="Donated"),"",TODAY()-B258)</f>
        <v/>
      </c>
      <c r="P258" s="25" t="str">
        <f aca="true">IF(OR(L258="",K258="Sold",K258="Donated"),"",TODAY()-L258)</f>
        <v/>
      </c>
      <c r="Q258" s="26" t="str">
        <f aca="false">IF(AND(K258="Listed",P258&lt;&gt;"",N(P258)&gt;Settings!$B$19),"STALE","")</f>
        <v/>
      </c>
      <c r="R258" s="27" t="str">
        <f aca="false">IF(Q258="STALE",COUNTIF($Q$4:Q258,"STALE"),"")</f>
        <v/>
      </c>
    </row>
    <row r="259" customFormat="false" ht="15" hidden="false" customHeight="false" outlineLevel="0" collapsed="false">
      <c r="A259" s="23" t="str">
        <f aca="false">IF(B259="","","SKU-"&amp;TEXT(ROW()-3,"0000"))</f>
        <v/>
      </c>
      <c r="B259" s="19"/>
      <c r="C259" s="10"/>
      <c r="D259" s="10"/>
      <c r="E259" s="10"/>
      <c r="F259" s="10"/>
      <c r="G259" s="10"/>
      <c r="H259" s="12"/>
      <c r="I259" s="12"/>
      <c r="J259" s="24" t="str">
        <f aca="false">IF(B259="","",N(H259)+N(I259))</f>
        <v/>
      </c>
      <c r="K259" s="10"/>
      <c r="L259" s="19"/>
      <c r="M259" s="12"/>
      <c r="N259" s="10"/>
      <c r="O259" s="25" t="str">
        <f aca="true">IF(OR(B259="",K259="Sold",K259="Donated"),"",TODAY()-B259)</f>
        <v/>
      </c>
      <c r="P259" s="25" t="str">
        <f aca="true">IF(OR(L259="",K259="Sold",K259="Donated"),"",TODAY()-L259)</f>
        <v/>
      </c>
      <c r="Q259" s="26" t="str">
        <f aca="false">IF(AND(K259="Listed",P259&lt;&gt;"",N(P259)&gt;Settings!$B$19),"STALE","")</f>
        <v/>
      </c>
      <c r="R259" s="27" t="str">
        <f aca="false">IF(Q259="STALE",COUNTIF($Q$4:Q259,"STALE"),"")</f>
        <v/>
      </c>
    </row>
    <row r="260" customFormat="false" ht="15" hidden="false" customHeight="false" outlineLevel="0" collapsed="false">
      <c r="A260" s="23" t="str">
        <f aca="false">IF(B260="","","SKU-"&amp;TEXT(ROW()-3,"0000"))</f>
        <v/>
      </c>
      <c r="B260" s="19"/>
      <c r="C260" s="10"/>
      <c r="D260" s="10"/>
      <c r="E260" s="10"/>
      <c r="F260" s="10"/>
      <c r="G260" s="10"/>
      <c r="H260" s="12"/>
      <c r="I260" s="12"/>
      <c r="J260" s="24" t="str">
        <f aca="false">IF(B260="","",N(H260)+N(I260))</f>
        <v/>
      </c>
      <c r="K260" s="10"/>
      <c r="L260" s="19"/>
      <c r="M260" s="12"/>
      <c r="N260" s="10"/>
      <c r="O260" s="25" t="str">
        <f aca="true">IF(OR(B260="",K260="Sold",K260="Donated"),"",TODAY()-B260)</f>
        <v/>
      </c>
      <c r="P260" s="25" t="str">
        <f aca="true">IF(OR(L260="",K260="Sold",K260="Donated"),"",TODAY()-L260)</f>
        <v/>
      </c>
      <c r="Q260" s="26" t="str">
        <f aca="false">IF(AND(K260="Listed",P260&lt;&gt;"",N(P260)&gt;Settings!$B$19),"STALE","")</f>
        <v/>
      </c>
      <c r="R260" s="27" t="str">
        <f aca="false">IF(Q260="STALE",COUNTIF($Q$4:Q260,"STALE"),"")</f>
        <v/>
      </c>
    </row>
    <row r="261" customFormat="false" ht="15" hidden="false" customHeight="false" outlineLevel="0" collapsed="false">
      <c r="A261" s="23" t="str">
        <f aca="false">IF(B261="","","SKU-"&amp;TEXT(ROW()-3,"0000"))</f>
        <v/>
      </c>
      <c r="B261" s="19"/>
      <c r="C261" s="10"/>
      <c r="D261" s="10"/>
      <c r="E261" s="10"/>
      <c r="F261" s="10"/>
      <c r="G261" s="10"/>
      <c r="H261" s="12"/>
      <c r="I261" s="12"/>
      <c r="J261" s="24" t="str">
        <f aca="false">IF(B261="","",N(H261)+N(I261))</f>
        <v/>
      </c>
      <c r="K261" s="10"/>
      <c r="L261" s="19"/>
      <c r="M261" s="12"/>
      <c r="N261" s="10"/>
      <c r="O261" s="25" t="str">
        <f aca="true">IF(OR(B261="",K261="Sold",K261="Donated"),"",TODAY()-B261)</f>
        <v/>
      </c>
      <c r="P261" s="25" t="str">
        <f aca="true">IF(OR(L261="",K261="Sold",K261="Donated"),"",TODAY()-L261)</f>
        <v/>
      </c>
      <c r="Q261" s="26" t="str">
        <f aca="false">IF(AND(K261="Listed",P261&lt;&gt;"",N(P261)&gt;Settings!$B$19),"STALE","")</f>
        <v/>
      </c>
      <c r="R261" s="27" t="str">
        <f aca="false">IF(Q261="STALE",COUNTIF($Q$4:Q261,"STALE"),"")</f>
        <v/>
      </c>
    </row>
    <row r="262" customFormat="false" ht="15" hidden="false" customHeight="false" outlineLevel="0" collapsed="false">
      <c r="A262" s="23" t="str">
        <f aca="false">IF(B262="","","SKU-"&amp;TEXT(ROW()-3,"0000"))</f>
        <v/>
      </c>
      <c r="B262" s="19"/>
      <c r="C262" s="10"/>
      <c r="D262" s="10"/>
      <c r="E262" s="10"/>
      <c r="F262" s="10"/>
      <c r="G262" s="10"/>
      <c r="H262" s="12"/>
      <c r="I262" s="12"/>
      <c r="J262" s="24" t="str">
        <f aca="false">IF(B262="","",N(H262)+N(I262))</f>
        <v/>
      </c>
      <c r="K262" s="10"/>
      <c r="L262" s="19"/>
      <c r="M262" s="12"/>
      <c r="N262" s="10"/>
      <c r="O262" s="25" t="str">
        <f aca="true">IF(OR(B262="",K262="Sold",K262="Donated"),"",TODAY()-B262)</f>
        <v/>
      </c>
      <c r="P262" s="25" t="str">
        <f aca="true">IF(OR(L262="",K262="Sold",K262="Donated"),"",TODAY()-L262)</f>
        <v/>
      </c>
      <c r="Q262" s="26" t="str">
        <f aca="false">IF(AND(K262="Listed",P262&lt;&gt;"",N(P262)&gt;Settings!$B$19),"STALE","")</f>
        <v/>
      </c>
      <c r="R262" s="27" t="str">
        <f aca="false">IF(Q262="STALE",COUNTIF($Q$4:Q262,"STALE"),"")</f>
        <v/>
      </c>
    </row>
    <row r="263" customFormat="false" ht="15" hidden="false" customHeight="false" outlineLevel="0" collapsed="false">
      <c r="A263" s="23" t="str">
        <f aca="false">IF(B263="","","SKU-"&amp;TEXT(ROW()-3,"0000"))</f>
        <v/>
      </c>
      <c r="B263" s="19"/>
      <c r="C263" s="10"/>
      <c r="D263" s="10"/>
      <c r="E263" s="10"/>
      <c r="F263" s="10"/>
      <c r="G263" s="10"/>
      <c r="H263" s="12"/>
      <c r="I263" s="12"/>
      <c r="J263" s="24" t="str">
        <f aca="false">IF(B263="","",N(H263)+N(I263))</f>
        <v/>
      </c>
      <c r="K263" s="10"/>
      <c r="L263" s="19"/>
      <c r="M263" s="12"/>
      <c r="N263" s="10"/>
      <c r="O263" s="25" t="str">
        <f aca="true">IF(OR(B263="",K263="Sold",K263="Donated"),"",TODAY()-B263)</f>
        <v/>
      </c>
      <c r="P263" s="25" t="str">
        <f aca="true">IF(OR(L263="",K263="Sold",K263="Donated"),"",TODAY()-L263)</f>
        <v/>
      </c>
      <c r="Q263" s="26" t="str">
        <f aca="false">IF(AND(K263="Listed",P263&lt;&gt;"",N(P263)&gt;Settings!$B$19),"STALE","")</f>
        <v/>
      </c>
      <c r="R263" s="27" t="str">
        <f aca="false">IF(Q263="STALE",COUNTIF($Q$4:Q263,"STALE"),"")</f>
        <v/>
      </c>
    </row>
    <row r="264" customFormat="false" ht="15" hidden="false" customHeight="false" outlineLevel="0" collapsed="false">
      <c r="A264" s="23" t="str">
        <f aca="false">IF(B264="","","SKU-"&amp;TEXT(ROW()-3,"0000"))</f>
        <v/>
      </c>
      <c r="B264" s="19"/>
      <c r="C264" s="10"/>
      <c r="D264" s="10"/>
      <c r="E264" s="10"/>
      <c r="F264" s="10"/>
      <c r="G264" s="10"/>
      <c r="H264" s="12"/>
      <c r="I264" s="12"/>
      <c r="J264" s="24" t="str">
        <f aca="false">IF(B264="","",N(H264)+N(I264))</f>
        <v/>
      </c>
      <c r="K264" s="10"/>
      <c r="L264" s="19"/>
      <c r="M264" s="12"/>
      <c r="N264" s="10"/>
      <c r="O264" s="25" t="str">
        <f aca="true">IF(OR(B264="",K264="Sold",K264="Donated"),"",TODAY()-B264)</f>
        <v/>
      </c>
      <c r="P264" s="25" t="str">
        <f aca="true">IF(OR(L264="",K264="Sold",K264="Donated"),"",TODAY()-L264)</f>
        <v/>
      </c>
      <c r="Q264" s="26" t="str">
        <f aca="false">IF(AND(K264="Listed",P264&lt;&gt;"",N(P264)&gt;Settings!$B$19),"STALE","")</f>
        <v/>
      </c>
      <c r="R264" s="27" t="str">
        <f aca="false">IF(Q264="STALE",COUNTIF($Q$4:Q264,"STALE"),"")</f>
        <v/>
      </c>
    </row>
    <row r="265" customFormat="false" ht="15" hidden="false" customHeight="false" outlineLevel="0" collapsed="false">
      <c r="A265" s="23" t="str">
        <f aca="false">IF(B265="","","SKU-"&amp;TEXT(ROW()-3,"0000"))</f>
        <v/>
      </c>
      <c r="B265" s="19"/>
      <c r="C265" s="10"/>
      <c r="D265" s="10"/>
      <c r="E265" s="10"/>
      <c r="F265" s="10"/>
      <c r="G265" s="10"/>
      <c r="H265" s="12"/>
      <c r="I265" s="12"/>
      <c r="J265" s="24" t="str">
        <f aca="false">IF(B265="","",N(H265)+N(I265))</f>
        <v/>
      </c>
      <c r="K265" s="10"/>
      <c r="L265" s="19"/>
      <c r="M265" s="12"/>
      <c r="N265" s="10"/>
      <c r="O265" s="25" t="str">
        <f aca="true">IF(OR(B265="",K265="Sold",K265="Donated"),"",TODAY()-B265)</f>
        <v/>
      </c>
      <c r="P265" s="25" t="str">
        <f aca="true">IF(OR(L265="",K265="Sold",K265="Donated"),"",TODAY()-L265)</f>
        <v/>
      </c>
      <c r="Q265" s="26" t="str">
        <f aca="false">IF(AND(K265="Listed",P265&lt;&gt;"",N(P265)&gt;Settings!$B$19),"STALE","")</f>
        <v/>
      </c>
      <c r="R265" s="27" t="str">
        <f aca="false">IF(Q265="STALE",COUNTIF($Q$4:Q265,"STALE"),"")</f>
        <v/>
      </c>
    </row>
    <row r="266" customFormat="false" ht="15" hidden="false" customHeight="false" outlineLevel="0" collapsed="false">
      <c r="A266" s="23" t="str">
        <f aca="false">IF(B266="","","SKU-"&amp;TEXT(ROW()-3,"0000"))</f>
        <v/>
      </c>
      <c r="B266" s="19"/>
      <c r="C266" s="10"/>
      <c r="D266" s="10"/>
      <c r="E266" s="10"/>
      <c r="F266" s="10"/>
      <c r="G266" s="10"/>
      <c r="H266" s="12"/>
      <c r="I266" s="12"/>
      <c r="J266" s="24" t="str">
        <f aca="false">IF(B266="","",N(H266)+N(I266))</f>
        <v/>
      </c>
      <c r="K266" s="10"/>
      <c r="L266" s="19"/>
      <c r="M266" s="12"/>
      <c r="N266" s="10"/>
      <c r="O266" s="25" t="str">
        <f aca="true">IF(OR(B266="",K266="Sold",K266="Donated"),"",TODAY()-B266)</f>
        <v/>
      </c>
      <c r="P266" s="25" t="str">
        <f aca="true">IF(OR(L266="",K266="Sold",K266="Donated"),"",TODAY()-L266)</f>
        <v/>
      </c>
      <c r="Q266" s="26" t="str">
        <f aca="false">IF(AND(K266="Listed",P266&lt;&gt;"",N(P266)&gt;Settings!$B$19),"STALE","")</f>
        <v/>
      </c>
      <c r="R266" s="27" t="str">
        <f aca="false">IF(Q266="STALE",COUNTIF($Q$4:Q266,"STALE"),"")</f>
        <v/>
      </c>
    </row>
    <row r="267" customFormat="false" ht="15" hidden="false" customHeight="false" outlineLevel="0" collapsed="false">
      <c r="A267" s="23" t="str">
        <f aca="false">IF(B267="","","SKU-"&amp;TEXT(ROW()-3,"0000"))</f>
        <v/>
      </c>
      <c r="B267" s="19"/>
      <c r="C267" s="10"/>
      <c r="D267" s="10"/>
      <c r="E267" s="10"/>
      <c r="F267" s="10"/>
      <c r="G267" s="10"/>
      <c r="H267" s="12"/>
      <c r="I267" s="12"/>
      <c r="J267" s="24" t="str">
        <f aca="false">IF(B267="","",N(H267)+N(I267))</f>
        <v/>
      </c>
      <c r="K267" s="10"/>
      <c r="L267" s="19"/>
      <c r="M267" s="12"/>
      <c r="N267" s="10"/>
      <c r="O267" s="25" t="str">
        <f aca="true">IF(OR(B267="",K267="Sold",K267="Donated"),"",TODAY()-B267)</f>
        <v/>
      </c>
      <c r="P267" s="25" t="str">
        <f aca="true">IF(OR(L267="",K267="Sold",K267="Donated"),"",TODAY()-L267)</f>
        <v/>
      </c>
      <c r="Q267" s="26" t="str">
        <f aca="false">IF(AND(K267="Listed",P267&lt;&gt;"",N(P267)&gt;Settings!$B$19),"STALE","")</f>
        <v/>
      </c>
      <c r="R267" s="27" t="str">
        <f aca="false">IF(Q267="STALE",COUNTIF($Q$4:Q267,"STALE"),"")</f>
        <v/>
      </c>
    </row>
    <row r="268" customFormat="false" ht="15" hidden="false" customHeight="false" outlineLevel="0" collapsed="false">
      <c r="A268" s="23" t="str">
        <f aca="false">IF(B268="","","SKU-"&amp;TEXT(ROW()-3,"0000"))</f>
        <v/>
      </c>
      <c r="B268" s="19"/>
      <c r="C268" s="10"/>
      <c r="D268" s="10"/>
      <c r="E268" s="10"/>
      <c r="F268" s="10"/>
      <c r="G268" s="10"/>
      <c r="H268" s="12"/>
      <c r="I268" s="12"/>
      <c r="J268" s="24" t="str">
        <f aca="false">IF(B268="","",N(H268)+N(I268))</f>
        <v/>
      </c>
      <c r="K268" s="10"/>
      <c r="L268" s="19"/>
      <c r="M268" s="12"/>
      <c r="N268" s="10"/>
      <c r="O268" s="25" t="str">
        <f aca="true">IF(OR(B268="",K268="Sold",K268="Donated"),"",TODAY()-B268)</f>
        <v/>
      </c>
      <c r="P268" s="25" t="str">
        <f aca="true">IF(OR(L268="",K268="Sold",K268="Donated"),"",TODAY()-L268)</f>
        <v/>
      </c>
      <c r="Q268" s="26" t="str">
        <f aca="false">IF(AND(K268="Listed",P268&lt;&gt;"",N(P268)&gt;Settings!$B$19),"STALE","")</f>
        <v/>
      </c>
      <c r="R268" s="27" t="str">
        <f aca="false">IF(Q268="STALE",COUNTIF($Q$4:Q268,"STALE"),"")</f>
        <v/>
      </c>
    </row>
    <row r="269" customFormat="false" ht="15" hidden="false" customHeight="false" outlineLevel="0" collapsed="false">
      <c r="A269" s="23" t="str">
        <f aca="false">IF(B269="","","SKU-"&amp;TEXT(ROW()-3,"0000"))</f>
        <v/>
      </c>
      <c r="B269" s="19"/>
      <c r="C269" s="10"/>
      <c r="D269" s="10"/>
      <c r="E269" s="10"/>
      <c r="F269" s="10"/>
      <c r="G269" s="10"/>
      <c r="H269" s="12"/>
      <c r="I269" s="12"/>
      <c r="J269" s="24" t="str">
        <f aca="false">IF(B269="","",N(H269)+N(I269))</f>
        <v/>
      </c>
      <c r="K269" s="10"/>
      <c r="L269" s="19"/>
      <c r="M269" s="12"/>
      <c r="N269" s="10"/>
      <c r="O269" s="25" t="str">
        <f aca="true">IF(OR(B269="",K269="Sold",K269="Donated"),"",TODAY()-B269)</f>
        <v/>
      </c>
      <c r="P269" s="25" t="str">
        <f aca="true">IF(OR(L269="",K269="Sold",K269="Donated"),"",TODAY()-L269)</f>
        <v/>
      </c>
      <c r="Q269" s="26" t="str">
        <f aca="false">IF(AND(K269="Listed",P269&lt;&gt;"",N(P269)&gt;Settings!$B$19),"STALE","")</f>
        <v/>
      </c>
      <c r="R269" s="27" t="str">
        <f aca="false">IF(Q269="STALE",COUNTIF($Q$4:Q269,"STALE"),"")</f>
        <v/>
      </c>
    </row>
    <row r="270" customFormat="false" ht="15" hidden="false" customHeight="false" outlineLevel="0" collapsed="false">
      <c r="A270" s="23" t="str">
        <f aca="false">IF(B270="","","SKU-"&amp;TEXT(ROW()-3,"0000"))</f>
        <v/>
      </c>
      <c r="B270" s="19"/>
      <c r="C270" s="10"/>
      <c r="D270" s="10"/>
      <c r="E270" s="10"/>
      <c r="F270" s="10"/>
      <c r="G270" s="10"/>
      <c r="H270" s="12"/>
      <c r="I270" s="12"/>
      <c r="J270" s="24" t="str">
        <f aca="false">IF(B270="","",N(H270)+N(I270))</f>
        <v/>
      </c>
      <c r="K270" s="10"/>
      <c r="L270" s="19"/>
      <c r="M270" s="12"/>
      <c r="N270" s="10"/>
      <c r="O270" s="25" t="str">
        <f aca="true">IF(OR(B270="",K270="Sold",K270="Donated"),"",TODAY()-B270)</f>
        <v/>
      </c>
      <c r="P270" s="25" t="str">
        <f aca="true">IF(OR(L270="",K270="Sold",K270="Donated"),"",TODAY()-L270)</f>
        <v/>
      </c>
      <c r="Q270" s="26" t="str">
        <f aca="false">IF(AND(K270="Listed",P270&lt;&gt;"",N(P270)&gt;Settings!$B$19),"STALE","")</f>
        <v/>
      </c>
      <c r="R270" s="27" t="str">
        <f aca="false">IF(Q270="STALE",COUNTIF($Q$4:Q270,"STALE"),"")</f>
        <v/>
      </c>
    </row>
    <row r="271" customFormat="false" ht="15" hidden="false" customHeight="false" outlineLevel="0" collapsed="false">
      <c r="A271" s="23" t="str">
        <f aca="false">IF(B271="","","SKU-"&amp;TEXT(ROW()-3,"0000"))</f>
        <v/>
      </c>
      <c r="B271" s="19"/>
      <c r="C271" s="10"/>
      <c r="D271" s="10"/>
      <c r="E271" s="10"/>
      <c r="F271" s="10"/>
      <c r="G271" s="10"/>
      <c r="H271" s="12"/>
      <c r="I271" s="12"/>
      <c r="J271" s="24" t="str">
        <f aca="false">IF(B271="","",N(H271)+N(I271))</f>
        <v/>
      </c>
      <c r="K271" s="10"/>
      <c r="L271" s="19"/>
      <c r="M271" s="12"/>
      <c r="N271" s="10"/>
      <c r="O271" s="25" t="str">
        <f aca="true">IF(OR(B271="",K271="Sold",K271="Donated"),"",TODAY()-B271)</f>
        <v/>
      </c>
      <c r="P271" s="25" t="str">
        <f aca="true">IF(OR(L271="",K271="Sold",K271="Donated"),"",TODAY()-L271)</f>
        <v/>
      </c>
      <c r="Q271" s="26" t="str">
        <f aca="false">IF(AND(K271="Listed",P271&lt;&gt;"",N(P271)&gt;Settings!$B$19),"STALE","")</f>
        <v/>
      </c>
      <c r="R271" s="27" t="str">
        <f aca="false">IF(Q271="STALE",COUNTIF($Q$4:Q271,"STALE"),"")</f>
        <v/>
      </c>
    </row>
    <row r="272" customFormat="false" ht="15" hidden="false" customHeight="false" outlineLevel="0" collapsed="false">
      <c r="A272" s="23" t="str">
        <f aca="false">IF(B272="","","SKU-"&amp;TEXT(ROW()-3,"0000"))</f>
        <v/>
      </c>
      <c r="B272" s="19"/>
      <c r="C272" s="10"/>
      <c r="D272" s="10"/>
      <c r="E272" s="10"/>
      <c r="F272" s="10"/>
      <c r="G272" s="10"/>
      <c r="H272" s="12"/>
      <c r="I272" s="12"/>
      <c r="J272" s="24" t="str">
        <f aca="false">IF(B272="","",N(H272)+N(I272))</f>
        <v/>
      </c>
      <c r="K272" s="10"/>
      <c r="L272" s="19"/>
      <c r="M272" s="12"/>
      <c r="N272" s="10"/>
      <c r="O272" s="25" t="str">
        <f aca="true">IF(OR(B272="",K272="Sold",K272="Donated"),"",TODAY()-B272)</f>
        <v/>
      </c>
      <c r="P272" s="25" t="str">
        <f aca="true">IF(OR(L272="",K272="Sold",K272="Donated"),"",TODAY()-L272)</f>
        <v/>
      </c>
      <c r="Q272" s="26" t="str">
        <f aca="false">IF(AND(K272="Listed",P272&lt;&gt;"",N(P272)&gt;Settings!$B$19),"STALE","")</f>
        <v/>
      </c>
      <c r="R272" s="27" t="str">
        <f aca="false">IF(Q272="STALE",COUNTIF($Q$4:Q272,"STALE"),"")</f>
        <v/>
      </c>
    </row>
    <row r="273" customFormat="false" ht="15" hidden="false" customHeight="false" outlineLevel="0" collapsed="false">
      <c r="A273" s="23" t="str">
        <f aca="false">IF(B273="","","SKU-"&amp;TEXT(ROW()-3,"0000"))</f>
        <v/>
      </c>
      <c r="B273" s="19"/>
      <c r="C273" s="10"/>
      <c r="D273" s="10"/>
      <c r="E273" s="10"/>
      <c r="F273" s="10"/>
      <c r="G273" s="10"/>
      <c r="H273" s="12"/>
      <c r="I273" s="12"/>
      <c r="J273" s="24" t="str">
        <f aca="false">IF(B273="","",N(H273)+N(I273))</f>
        <v/>
      </c>
      <c r="K273" s="10"/>
      <c r="L273" s="19"/>
      <c r="M273" s="12"/>
      <c r="N273" s="10"/>
      <c r="O273" s="25" t="str">
        <f aca="true">IF(OR(B273="",K273="Sold",K273="Donated"),"",TODAY()-B273)</f>
        <v/>
      </c>
      <c r="P273" s="25" t="str">
        <f aca="true">IF(OR(L273="",K273="Sold",K273="Donated"),"",TODAY()-L273)</f>
        <v/>
      </c>
      <c r="Q273" s="26" t="str">
        <f aca="false">IF(AND(K273="Listed",P273&lt;&gt;"",N(P273)&gt;Settings!$B$19),"STALE","")</f>
        <v/>
      </c>
      <c r="R273" s="27" t="str">
        <f aca="false">IF(Q273="STALE",COUNTIF($Q$4:Q273,"STALE"),"")</f>
        <v/>
      </c>
    </row>
    <row r="274" customFormat="false" ht="15" hidden="false" customHeight="false" outlineLevel="0" collapsed="false">
      <c r="A274" s="23" t="str">
        <f aca="false">IF(B274="","","SKU-"&amp;TEXT(ROW()-3,"0000"))</f>
        <v/>
      </c>
      <c r="B274" s="19"/>
      <c r="C274" s="10"/>
      <c r="D274" s="10"/>
      <c r="E274" s="10"/>
      <c r="F274" s="10"/>
      <c r="G274" s="10"/>
      <c r="H274" s="12"/>
      <c r="I274" s="12"/>
      <c r="J274" s="24" t="str">
        <f aca="false">IF(B274="","",N(H274)+N(I274))</f>
        <v/>
      </c>
      <c r="K274" s="10"/>
      <c r="L274" s="19"/>
      <c r="M274" s="12"/>
      <c r="N274" s="10"/>
      <c r="O274" s="25" t="str">
        <f aca="true">IF(OR(B274="",K274="Sold",K274="Donated"),"",TODAY()-B274)</f>
        <v/>
      </c>
      <c r="P274" s="25" t="str">
        <f aca="true">IF(OR(L274="",K274="Sold",K274="Donated"),"",TODAY()-L274)</f>
        <v/>
      </c>
      <c r="Q274" s="26" t="str">
        <f aca="false">IF(AND(K274="Listed",P274&lt;&gt;"",N(P274)&gt;Settings!$B$19),"STALE","")</f>
        <v/>
      </c>
      <c r="R274" s="27" t="str">
        <f aca="false">IF(Q274="STALE",COUNTIF($Q$4:Q274,"STALE"),"")</f>
        <v/>
      </c>
    </row>
    <row r="275" customFormat="false" ht="15" hidden="false" customHeight="false" outlineLevel="0" collapsed="false">
      <c r="A275" s="23" t="str">
        <f aca="false">IF(B275="","","SKU-"&amp;TEXT(ROW()-3,"0000"))</f>
        <v/>
      </c>
      <c r="B275" s="19"/>
      <c r="C275" s="10"/>
      <c r="D275" s="10"/>
      <c r="E275" s="10"/>
      <c r="F275" s="10"/>
      <c r="G275" s="10"/>
      <c r="H275" s="12"/>
      <c r="I275" s="12"/>
      <c r="J275" s="24" t="str">
        <f aca="false">IF(B275="","",N(H275)+N(I275))</f>
        <v/>
      </c>
      <c r="K275" s="10"/>
      <c r="L275" s="19"/>
      <c r="M275" s="12"/>
      <c r="N275" s="10"/>
      <c r="O275" s="25" t="str">
        <f aca="true">IF(OR(B275="",K275="Sold",K275="Donated"),"",TODAY()-B275)</f>
        <v/>
      </c>
      <c r="P275" s="25" t="str">
        <f aca="true">IF(OR(L275="",K275="Sold",K275="Donated"),"",TODAY()-L275)</f>
        <v/>
      </c>
      <c r="Q275" s="26" t="str">
        <f aca="false">IF(AND(K275="Listed",P275&lt;&gt;"",N(P275)&gt;Settings!$B$19),"STALE","")</f>
        <v/>
      </c>
      <c r="R275" s="27" t="str">
        <f aca="false">IF(Q275="STALE",COUNTIF($Q$4:Q275,"STALE"),"")</f>
        <v/>
      </c>
    </row>
    <row r="276" customFormat="false" ht="15" hidden="false" customHeight="false" outlineLevel="0" collapsed="false">
      <c r="A276" s="23" t="str">
        <f aca="false">IF(B276="","","SKU-"&amp;TEXT(ROW()-3,"0000"))</f>
        <v/>
      </c>
      <c r="B276" s="19"/>
      <c r="C276" s="10"/>
      <c r="D276" s="10"/>
      <c r="E276" s="10"/>
      <c r="F276" s="10"/>
      <c r="G276" s="10"/>
      <c r="H276" s="12"/>
      <c r="I276" s="12"/>
      <c r="J276" s="24" t="str">
        <f aca="false">IF(B276="","",N(H276)+N(I276))</f>
        <v/>
      </c>
      <c r="K276" s="10"/>
      <c r="L276" s="19"/>
      <c r="M276" s="12"/>
      <c r="N276" s="10"/>
      <c r="O276" s="25" t="str">
        <f aca="true">IF(OR(B276="",K276="Sold",K276="Donated"),"",TODAY()-B276)</f>
        <v/>
      </c>
      <c r="P276" s="25" t="str">
        <f aca="true">IF(OR(L276="",K276="Sold",K276="Donated"),"",TODAY()-L276)</f>
        <v/>
      </c>
      <c r="Q276" s="26" t="str">
        <f aca="false">IF(AND(K276="Listed",P276&lt;&gt;"",N(P276)&gt;Settings!$B$19),"STALE","")</f>
        <v/>
      </c>
      <c r="R276" s="27" t="str">
        <f aca="false">IF(Q276="STALE",COUNTIF($Q$4:Q276,"STALE"),"")</f>
        <v/>
      </c>
    </row>
    <row r="277" customFormat="false" ht="15" hidden="false" customHeight="false" outlineLevel="0" collapsed="false">
      <c r="A277" s="23" t="str">
        <f aca="false">IF(B277="","","SKU-"&amp;TEXT(ROW()-3,"0000"))</f>
        <v/>
      </c>
      <c r="B277" s="19"/>
      <c r="C277" s="10"/>
      <c r="D277" s="10"/>
      <c r="E277" s="10"/>
      <c r="F277" s="10"/>
      <c r="G277" s="10"/>
      <c r="H277" s="12"/>
      <c r="I277" s="12"/>
      <c r="J277" s="24" t="str">
        <f aca="false">IF(B277="","",N(H277)+N(I277))</f>
        <v/>
      </c>
      <c r="K277" s="10"/>
      <c r="L277" s="19"/>
      <c r="M277" s="12"/>
      <c r="N277" s="10"/>
      <c r="O277" s="25" t="str">
        <f aca="true">IF(OR(B277="",K277="Sold",K277="Donated"),"",TODAY()-B277)</f>
        <v/>
      </c>
      <c r="P277" s="25" t="str">
        <f aca="true">IF(OR(L277="",K277="Sold",K277="Donated"),"",TODAY()-L277)</f>
        <v/>
      </c>
      <c r="Q277" s="26" t="str">
        <f aca="false">IF(AND(K277="Listed",P277&lt;&gt;"",N(P277)&gt;Settings!$B$19),"STALE","")</f>
        <v/>
      </c>
      <c r="R277" s="27" t="str">
        <f aca="false">IF(Q277="STALE",COUNTIF($Q$4:Q277,"STALE"),"")</f>
        <v/>
      </c>
    </row>
    <row r="278" customFormat="false" ht="15" hidden="false" customHeight="false" outlineLevel="0" collapsed="false">
      <c r="A278" s="23" t="str">
        <f aca="false">IF(B278="","","SKU-"&amp;TEXT(ROW()-3,"0000"))</f>
        <v/>
      </c>
      <c r="B278" s="19"/>
      <c r="C278" s="10"/>
      <c r="D278" s="10"/>
      <c r="E278" s="10"/>
      <c r="F278" s="10"/>
      <c r="G278" s="10"/>
      <c r="H278" s="12"/>
      <c r="I278" s="12"/>
      <c r="J278" s="24" t="str">
        <f aca="false">IF(B278="","",N(H278)+N(I278))</f>
        <v/>
      </c>
      <c r="K278" s="10"/>
      <c r="L278" s="19"/>
      <c r="M278" s="12"/>
      <c r="N278" s="10"/>
      <c r="O278" s="25" t="str">
        <f aca="true">IF(OR(B278="",K278="Sold",K278="Donated"),"",TODAY()-B278)</f>
        <v/>
      </c>
      <c r="P278" s="25" t="str">
        <f aca="true">IF(OR(L278="",K278="Sold",K278="Donated"),"",TODAY()-L278)</f>
        <v/>
      </c>
      <c r="Q278" s="26" t="str">
        <f aca="false">IF(AND(K278="Listed",P278&lt;&gt;"",N(P278)&gt;Settings!$B$19),"STALE","")</f>
        <v/>
      </c>
      <c r="R278" s="27" t="str">
        <f aca="false">IF(Q278="STALE",COUNTIF($Q$4:Q278,"STALE"),"")</f>
        <v/>
      </c>
    </row>
    <row r="279" customFormat="false" ht="15" hidden="false" customHeight="false" outlineLevel="0" collapsed="false">
      <c r="A279" s="23" t="str">
        <f aca="false">IF(B279="","","SKU-"&amp;TEXT(ROW()-3,"0000"))</f>
        <v/>
      </c>
      <c r="B279" s="19"/>
      <c r="C279" s="10"/>
      <c r="D279" s="10"/>
      <c r="E279" s="10"/>
      <c r="F279" s="10"/>
      <c r="G279" s="10"/>
      <c r="H279" s="12"/>
      <c r="I279" s="12"/>
      <c r="J279" s="24" t="str">
        <f aca="false">IF(B279="","",N(H279)+N(I279))</f>
        <v/>
      </c>
      <c r="K279" s="10"/>
      <c r="L279" s="19"/>
      <c r="M279" s="12"/>
      <c r="N279" s="10"/>
      <c r="O279" s="25" t="str">
        <f aca="true">IF(OR(B279="",K279="Sold",K279="Donated"),"",TODAY()-B279)</f>
        <v/>
      </c>
      <c r="P279" s="25" t="str">
        <f aca="true">IF(OR(L279="",K279="Sold",K279="Donated"),"",TODAY()-L279)</f>
        <v/>
      </c>
      <c r="Q279" s="26" t="str">
        <f aca="false">IF(AND(K279="Listed",P279&lt;&gt;"",N(P279)&gt;Settings!$B$19),"STALE","")</f>
        <v/>
      </c>
      <c r="R279" s="27" t="str">
        <f aca="false">IF(Q279="STALE",COUNTIF($Q$4:Q279,"STALE"),"")</f>
        <v/>
      </c>
    </row>
    <row r="280" customFormat="false" ht="15" hidden="false" customHeight="false" outlineLevel="0" collapsed="false">
      <c r="A280" s="23" t="str">
        <f aca="false">IF(B280="","","SKU-"&amp;TEXT(ROW()-3,"0000"))</f>
        <v/>
      </c>
      <c r="B280" s="19"/>
      <c r="C280" s="10"/>
      <c r="D280" s="10"/>
      <c r="E280" s="10"/>
      <c r="F280" s="10"/>
      <c r="G280" s="10"/>
      <c r="H280" s="12"/>
      <c r="I280" s="12"/>
      <c r="J280" s="24" t="str">
        <f aca="false">IF(B280="","",N(H280)+N(I280))</f>
        <v/>
      </c>
      <c r="K280" s="10"/>
      <c r="L280" s="19"/>
      <c r="M280" s="12"/>
      <c r="N280" s="10"/>
      <c r="O280" s="25" t="str">
        <f aca="true">IF(OR(B280="",K280="Sold",K280="Donated"),"",TODAY()-B280)</f>
        <v/>
      </c>
      <c r="P280" s="25" t="str">
        <f aca="true">IF(OR(L280="",K280="Sold",K280="Donated"),"",TODAY()-L280)</f>
        <v/>
      </c>
      <c r="Q280" s="26" t="str">
        <f aca="false">IF(AND(K280="Listed",P280&lt;&gt;"",N(P280)&gt;Settings!$B$19),"STALE","")</f>
        <v/>
      </c>
      <c r="R280" s="27" t="str">
        <f aca="false">IF(Q280="STALE",COUNTIF($Q$4:Q280,"STALE"),"")</f>
        <v/>
      </c>
    </row>
    <row r="281" customFormat="false" ht="15" hidden="false" customHeight="false" outlineLevel="0" collapsed="false">
      <c r="A281" s="23" t="str">
        <f aca="false">IF(B281="","","SKU-"&amp;TEXT(ROW()-3,"0000"))</f>
        <v/>
      </c>
      <c r="B281" s="19"/>
      <c r="C281" s="10"/>
      <c r="D281" s="10"/>
      <c r="E281" s="10"/>
      <c r="F281" s="10"/>
      <c r="G281" s="10"/>
      <c r="H281" s="12"/>
      <c r="I281" s="12"/>
      <c r="J281" s="24" t="str">
        <f aca="false">IF(B281="","",N(H281)+N(I281))</f>
        <v/>
      </c>
      <c r="K281" s="10"/>
      <c r="L281" s="19"/>
      <c r="M281" s="12"/>
      <c r="N281" s="10"/>
      <c r="O281" s="25" t="str">
        <f aca="true">IF(OR(B281="",K281="Sold",K281="Donated"),"",TODAY()-B281)</f>
        <v/>
      </c>
      <c r="P281" s="25" t="str">
        <f aca="true">IF(OR(L281="",K281="Sold",K281="Donated"),"",TODAY()-L281)</f>
        <v/>
      </c>
      <c r="Q281" s="26" t="str">
        <f aca="false">IF(AND(K281="Listed",P281&lt;&gt;"",N(P281)&gt;Settings!$B$19),"STALE","")</f>
        <v/>
      </c>
      <c r="R281" s="27" t="str">
        <f aca="false">IF(Q281="STALE",COUNTIF($Q$4:Q281,"STALE"),"")</f>
        <v/>
      </c>
    </row>
    <row r="282" customFormat="false" ht="15" hidden="false" customHeight="false" outlineLevel="0" collapsed="false">
      <c r="A282" s="23" t="str">
        <f aca="false">IF(B282="","","SKU-"&amp;TEXT(ROW()-3,"0000"))</f>
        <v/>
      </c>
      <c r="B282" s="19"/>
      <c r="C282" s="10"/>
      <c r="D282" s="10"/>
      <c r="E282" s="10"/>
      <c r="F282" s="10"/>
      <c r="G282" s="10"/>
      <c r="H282" s="12"/>
      <c r="I282" s="12"/>
      <c r="J282" s="24" t="str">
        <f aca="false">IF(B282="","",N(H282)+N(I282))</f>
        <v/>
      </c>
      <c r="K282" s="10"/>
      <c r="L282" s="19"/>
      <c r="M282" s="12"/>
      <c r="N282" s="10"/>
      <c r="O282" s="25" t="str">
        <f aca="true">IF(OR(B282="",K282="Sold",K282="Donated"),"",TODAY()-B282)</f>
        <v/>
      </c>
      <c r="P282" s="25" t="str">
        <f aca="true">IF(OR(L282="",K282="Sold",K282="Donated"),"",TODAY()-L282)</f>
        <v/>
      </c>
      <c r="Q282" s="26" t="str">
        <f aca="false">IF(AND(K282="Listed",P282&lt;&gt;"",N(P282)&gt;Settings!$B$19),"STALE","")</f>
        <v/>
      </c>
      <c r="R282" s="27" t="str">
        <f aca="false">IF(Q282="STALE",COUNTIF($Q$4:Q282,"STALE"),"")</f>
        <v/>
      </c>
    </row>
    <row r="283" customFormat="false" ht="15" hidden="false" customHeight="false" outlineLevel="0" collapsed="false">
      <c r="A283" s="23" t="str">
        <f aca="false">IF(B283="","","SKU-"&amp;TEXT(ROW()-3,"0000"))</f>
        <v/>
      </c>
      <c r="B283" s="19"/>
      <c r="C283" s="10"/>
      <c r="D283" s="10"/>
      <c r="E283" s="10"/>
      <c r="F283" s="10"/>
      <c r="G283" s="10"/>
      <c r="H283" s="12"/>
      <c r="I283" s="12"/>
      <c r="J283" s="24" t="str">
        <f aca="false">IF(B283="","",N(H283)+N(I283))</f>
        <v/>
      </c>
      <c r="K283" s="10"/>
      <c r="L283" s="19"/>
      <c r="M283" s="12"/>
      <c r="N283" s="10"/>
      <c r="O283" s="25" t="str">
        <f aca="true">IF(OR(B283="",K283="Sold",K283="Donated"),"",TODAY()-B283)</f>
        <v/>
      </c>
      <c r="P283" s="25" t="str">
        <f aca="true">IF(OR(L283="",K283="Sold",K283="Donated"),"",TODAY()-L283)</f>
        <v/>
      </c>
      <c r="Q283" s="26" t="str">
        <f aca="false">IF(AND(K283="Listed",P283&lt;&gt;"",N(P283)&gt;Settings!$B$19),"STALE","")</f>
        <v/>
      </c>
      <c r="R283" s="27" t="str">
        <f aca="false">IF(Q283="STALE",COUNTIF($Q$4:Q283,"STALE"),"")</f>
        <v/>
      </c>
    </row>
    <row r="284" customFormat="false" ht="15" hidden="false" customHeight="false" outlineLevel="0" collapsed="false">
      <c r="A284" s="23" t="str">
        <f aca="false">IF(B284="","","SKU-"&amp;TEXT(ROW()-3,"0000"))</f>
        <v/>
      </c>
      <c r="B284" s="19"/>
      <c r="C284" s="10"/>
      <c r="D284" s="10"/>
      <c r="E284" s="10"/>
      <c r="F284" s="10"/>
      <c r="G284" s="10"/>
      <c r="H284" s="12"/>
      <c r="I284" s="12"/>
      <c r="J284" s="24" t="str">
        <f aca="false">IF(B284="","",N(H284)+N(I284))</f>
        <v/>
      </c>
      <c r="K284" s="10"/>
      <c r="L284" s="19"/>
      <c r="M284" s="12"/>
      <c r="N284" s="10"/>
      <c r="O284" s="25" t="str">
        <f aca="true">IF(OR(B284="",K284="Sold",K284="Donated"),"",TODAY()-B284)</f>
        <v/>
      </c>
      <c r="P284" s="25" t="str">
        <f aca="true">IF(OR(L284="",K284="Sold",K284="Donated"),"",TODAY()-L284)</f>
        <v/>
      </c>
      <c r="Q284" s="26" t="str">
        <f aca="false">IF(AND(K284="Listed",P284&lt;&gt;"",N(P284)&gt;Settings!$B$19),"STALE","")</f>
        <v/>
      </c>
      <c r="R284" s="27" t="str">
        <f aca="false">IF(Q284="STALE",COUNTIF($Q$4:Q284,"STALE"),"")</f>
        <v/>
      </c>
    </row>
    <row r="285" customFormat="false" ht="15" hidden="false" customHeight="false" outlineLevel="0" collapsed="false">
      <c r="A285" s="23" t="str">
        <f aca="false">IF(B285="","","SKU-"&amp;TEXT(ROW()-3,"0000"))</f>
        <v/>
      </c>
      <c r="B285" s="19"/>
      <c r="C285" s="10"/>
      <c r="D285" s="10"/>
      <c r="E285" s="10"/>
      <c r="F285" s="10"/>
      <c r="G285" s="10"/>
      <c r="H285" s="12"/>
      <c r="I285" s="12"/>
      <c r="J285" s="24" t="str">
        <f aca="false">IF(B285="","",N(H285)+N(I285))</f>
        <v/>
      </c>
      <c r="K285" s="10"/>
      <c r="L285" s="19"/>
      <c r="M285" s="12"/>
      <c r="N285" s="10"/>
      <c r="O285" s="25" t="str">
        <f aca="true">IF(OR(B285="",K285="Sold",K285="Donated"),"",TODAY()-B285)</f>
        <v/>
      </c>
      <c r="P285" s="25" t="str">
        <f aca="true">IF(OR(L285="",K285="Sold",K285="Donated"),"",TODAY()-L285)</f>
        <v/>
      </c>
      <c r="Q285" s="26" t="str">
        <f aca="false">IF(AND(K285="Listed",P285&lt;&gt;"",N(P285)&gt;Settings!$B$19),"STALE","")</f>
        <v/>
      </c>
      <c r="R285" s="27" t="str">
        <f aca="false">IF(Q285="STALE",COUNTIF($Q$4:Q285,"STALE"),"")</f>
        <v/>
      </c>
    </row>
    <row r="286" customFormat="false" ht="15" hidden="false" customHeight="false" outlineLevel="0" collapsed="false">
      <c r="A286" s="23" t="str">
        <f aca="false">IF(B286="","","SKU-"&amp;TEXT(ROW()-3,"0000"))</f>
        <v/>
      </c>
      <c r="B286" s="19"/>
      <c r="C286" s="10"/>
      <c r="D286" s="10"/>
      <c r="E286" s="10"/>
      <c r="F286" s="10"/>
      <c r="G286" s="10"/>
      <c r="H286" s="12"/>
      <c r="I286" s="12"/>
      <c r="J286" s="24" t="str">
        <f aca="false">IF(B286="","",N(H286)+N(I286))</f>
        <v/>
      </c>
      <c r="K286" s="10"/>
      <c r="L286" s="19"/>
      <c r="M286" s="12"/>
      <c r="N286" s="10"/>
      <c r="O286" s="25" t="str">
        <f aca="true">IF(OR(B286="",K286="Sold",K286="Donated"),"",TODAY()-B286)</f>
        <v/>
      </c>
      <c r="P286" s="25" t="str">
        <f aca="true">IF(OR(L286="",K286="Sold",K286="Donated"),"",TODAY()-L286)</f>
        <v/>
      </c>
      <c r="Q286" s="26" t="str">
        <f aca="false">IF(AND(K286="Listed",P286&lt;&gt;"",N(P286)&gt;Settings!$B$19),"STALE","")</f>
        <v/>
      </c>
      <c r="R286" s="27" t="str">
        <f aca="false">IF(Q286="STALE",COUNTIF($Q$4:Q286,"STALE"),"")</f>
        <v/>
      </c>
    </row>
    <row r="287" customFormat="false" ht="15" hidden="false" customHeight="false" outlineLevel="0" collapsed="false">
      <c r="A287" s="23" t="str">
        <f aca="false">IF(B287="","","SKU-"&amp;TEXT(ROW()-3,"0000"))</f>
        <v/>
      </c>
      <c r="B287" s="19"/>
      <c r="C287" s="10"/>
      <c r="D287" s="10"/>
      <c r="E287" s="10"/>
      <c r="F287" s="10"/>
      <c r="G287" s="10"/>
      <c r="H287" s="12"/>
      <c r="I287" s="12"/>
      <c r="J287" s="24" t="str">
        <f aca="false">IF(B287="","",N(H287)+N(I287))</f>
        <v/>
      </c>
      <c r="K287" s="10"/>
      <c r="L287" s="19"/>
      <c r="M287" s="12"/>
      <c r="N287" s="10"/>
      <c r="O287" s="25" t="str">
        <f aca="true">IF(OR(B287="",K287="Sold",K287="Donated"),"",TODAY()-B287)</f>
        <v/>
      </c>
      <c r="P287" s="25" t="str">
        <f aca="true">IF(OR(L287="",K287="Sold",K287="Donated"),"",TODAY()-L287)</f>
        <v/>
      </c>
      <c r="Q287" s="26" t="str">
        <f aca="false">IF(AND(K287="Listed",P287&lt;&gt;"",N(P287)&gt;Settings!$B$19),"STALE","")</f>
        <v/>
      </c>
      <c r="R287" s="27" t="str">
        <f aca="false">IF(Q287="STALE",COUNTIF($Q$4:Q287,"STALE"),"")</f>
        <v/>
      </c>
    </row>
    <row r="288" customFormat="false" ht="15" hidden="false" customHeight="false" outlineLevel="0" collapsed="false">
      <c r="A288" s="23" t="str">
        <f aca="false">IF(B288="","","SKU-"&amp;TEXT(ROW()-3,"0000"))</f>
        <v/>
      </c>
      <c r="B288" s="19"/>
      <c r="C288" s="10"/>
      <c r="D288" s="10"/>
      <c r="E288" s="10"/>
      <c r="F288" s="10"/>
      <c r="G288" s="10"/>
      <c r="H288" s="12"/>
      <c r="I288" s="12"/>
      <c r="J288" s="24" t="str">
        <f aca="false">IF(B288="","",N(H288)+N(I288))</f>
        <v/>
      </c>
      <c r="K288" s="10"/>
      <c r="L288" s="19"/>
      <c r="M288" s="12"/>
      <c r="N288" s="10"/>
      <c r="O288" s="25" t="str">
        <f aca="true">IF(OR(B288="",K288="Sold",K288="Donated"),"",TODAY()-B288)</f>
        <v/>
      </c>
      <c r="P288" s="25" t="str">
        <f aca="true">IF(OR(L288="",K288="Sold",K288="Donated"),"",TODAY()-L288)</f>
        <v/>
      </c>
      <c r="Q288" s="26" t="str">
        <f aca="false">IF(AND(K288="Listed",P288&lt;&gt;"",N(P288)&gt;Settings!$B$19),"STALE","")</f>
        <v/>
      </c>
      <c r="R288" s="27" t="str">
        <f aca="false">IF(Q288="STALE",COUNTIF($Q$4:Q288,"STALE"),"")</f>
        <v/>
      </c>
    </row>
    <row r="289" customFormat="false" ht="15" hidden="false" customHeight="false" outlineLevel="0" collapsed="false">
      <c r="A289" s="23" t="str">
        <f aca="false">IF(B289="","","SKU-"&amp;TEXT(ROW()-3,"0000"))</f>
        <v/>
      </c>
      <c r="B289" s="19"/>
      <c r="C289" s="10"/>
      <c r="D289" s="10"/>
      <c r="E289" s="10"/>
      <c r="F289" s="10"/>
      <c r="G289" s="10"/>
      <c r="H289" s="12"/>
      <c r="I289" s="12"/>
      <c r="J289" s="24" t="str">
        <f aca="false">IF(B289="","",N(H289)+N(I289))</f>
        <v/>
      </c>
      <c r="K289" s="10"/>
      <c r="L289" s="19"/>
      <c r="M289" s="12"/>
      <c r="N289" s="10"/>
      <c r="O289" s="25" t="str">
        <f aca="true">IF(OR(B289="",K289="Sold",K289="Donated"),"",TODAY()-B289)</f>
        <v/>
      </c>
      <c r="P289" s="25" t="str">
        <f aca="true">IF(OR(L289="",K289="Sold",K289="Donated"),"",TODAY()-L289)</f>
        <v/>
      </c>
      <c r="Q289" s="26" t="str">
        <f aca="false">IF(AND(K289="Listed",P289&lt;&gt;"",N(P289)&gt;Settings!$B$19),"STALE","")</f>
        <v/>
      </c>
      <c r="R289" s="27" t="str">
        <f aca="false">IF(Q289="STALE",COUNTIF($Q$4:Q289,"STALE"),"")</f>
        <v/>
      </c>
    </row>
    <row r="290" customFormat="false" ht="15" hidden="false" customHeight="false" outlineLevel="0" collapsed="false">
      <c r="A290" s="23" t="str">
        <f aca="false">IF(B290="","","SKU-"&amp;TEXT(ROW()-3,"0000"))</f>
        <v/>
      </c>
      <c r="B290" s="19"/>
      <c r="C290" s="10"/>
      <c r="D290" s="10"/>
      <c r="E290" s="10"/>
      <c r="F290" s="10"/>
      <c r="G290" s="10"/>
      <c r="H290" s="12"/>
      <c r="I290" s="12"/>
      <c r="J290" s="24" t="str">
        <f aca="false">IF(B290="","",N(H290)+N(I290))</f>
        <v/>
      </c>
      <c r="K290" s="10"/>
      <c r="L290" s="19"/>
      <c r="M290" s="12"/>
      <c r="N290" s="10"/>
      <c r="O290" s="25" t="str">
        <f aca="true">IF(OR(B290="",K290="Sold",K290="Donated"),"",TODAY()-B290)</f>
        <v/>
      </c>
      <c r="P290" s="25" t="str">
        <f aca="true">IF(OR(L290="",K290="Sold",K290="Donated"),"",TODAY()-L290)</f>
        <v/>
      </c>
      <c r="Q290" s="26" t="str">
        <f aca="false">IF(AND(K290="Listed",P290&lt;&gt;"",N(P290)&gt;Settings!$B$19),"STALE","")</f>
        <v/>
      </c>
      <c r="R290" s="27" t="str">
        <f aca="false">IF(Q290="STALE",COUNTIF($Q$4:Q290,"STALE"),"")</f>
        <v/>
      </c>
    </row>
    <row r="291" customFormat="false" ht="15" hidden="false" customHeight="false" outlineLevel="0" collapsed="false">
      <c r="A291" s="23" t="str">
        <f aca="false">IF(B291="","","SKU-"&amp;TEXT(ROW()-3,"0000"))</f>
        <v/>
      </c>
      <c r="B291" s="19"/>
      <c r="C291" s="10"/>
      <c r="D291" s="10"/>
      <c r="E291" s="10"/>
      <c r="F291" s="10"/>
      <c r="G291" s="10"/>
      <c r="H291" s="12"/>
      <c r="I291" s="12"/>
      <c r="J291" s="24" t="str">
        <f aca="false">IF(B291="","",N(H291)+N(I291))</f>
        <v/>
      </c>
      <c r="K291" s="10"/>
      <c r="L291" s="19"/>
      <c r="M291" s="12"/>
      <c r="N291" s="10"/>
      <c r="O291" s="25" t="str">
        <f aca="true">IF(OR(B291="",K291="Sold",K291="Donated"),"",TODAY()-B291)</f>
        <v/>
      </c>
      <c r="P291" s="25" t="str">
        <f aca="true">IF(OR(L291="",K291="Sold",K291="Donated"),"",TODAY()-L291)</f>
        <v/>
      </c>
      <c r="Q291" s="26" t="str">
        <f aca="false">IF(AND(K291="Listed",P291&lt;&gt;"",N(P291)&gt;Settings!$B$19),"STALE","")</f>
        <v/>
      </c>
      <c r="R291" s="27" t="str">
        <f aca="false">IF(Q291="STALE",COUNTIF($Q$4:Q291,"STALE"),"")</f>
        <v/>
      </c>
    </row>
    <row r="292" customFormat="false" ht="15" hidden="false" customHeight="false" outlineLevel="0" collapsed="false">
      <c r="A292" s="23" t="str">
        <f aca="false">IF(B292="","","SKU-"&amp;TEXT(ROW()-3,"0000"))</f>
        <v/>
      </c>
      <c r="B292" s="19"/>
      <c r="C292" s="10"/>
      <c r="D292" s="10"/>
      <c r="E292" s="10"/>
      <c r="F292" s="10"/>
      <c r="G292" s="10"/>
      <c r="H292" s="12"/>
      <c r="I292" s="12"/>
      <c r="J292" s="24" t="str">
        <f aca="false">IF(B292="","",N(H292)+N(I292))</f>
        <v/>
      </c>
      <c r="K292" s="10"/>
      <c r="L292" s="19"/>
      <c r="M292" s="12"/>
      <c r="N292" s="10"/>
      <c r="O292" s="25" t="str">
        <f aca="true">IF(OR(B292="",K292="Sold",K292="Donated"),"",TODAY()-B292)</f>
        <v/>
      </c>
      <c r="P292" s="25" t="str">
        <f aca="true">IF(OR(L292="",K292="Sold",K292="Donated"),"",TODAY()-L292)</f>
        <v/>
      </c>
      <c r="Q292" s="26" t="str">
        <f aca="false">IF(AND(K292="Listed",P292&lt;&gt;"",N(P292)&gt;Settings!$B$19),"STALE","")</f>
        <v/>
      </c>
      <c r="R292" s="27" t="str">
        <f aca="false">IF(Q292="STALE",COUNTIF($Q$4:Q292,"STALE"),"")</f>
        <v/>
      </c>
    </row>
    <row r="293" customFormat="false" ht="15" hidden="false" customHeight="false" outlineLevel="0" collapsed="false">
      <c r="A293" s="23" t="str">
        <f aca="false">IF(B293="","","SKU-"&amp;TEXT(ROW()-3,"0000"))</f>
        <v/>
      </c>
      <c r="B293" s="19"/>
      <c r="C293" s="10"/>
      <c r="D293" s="10"/>
      <c r="E293" s="10"/>
      <c r="F293" s="10"/>
      <c r="G293" s="10"/>
      <c r="H293" s="12"/>
      <c r="I293" s="12"/>
      <c r="J293" s="24" t="str">
        <f aca="false">IF(B293="","",N(H293)+N(I293))</f>
        <v/>
      </c>
      <c r="K293" s="10"/>
      <c r="L293" s="19"/>
      <c r="M293" s="12"/>
      <c r="N293" s="10"/>
      <c r="O293" s="25" t="str">
        <f aca="true">IF(OR(B293="",K293="Sold",K293="Donated"),"",TODAY()-B293)</f>
        <v/>
      </c>
      <c r="P293" s="25" t="str">
        <f aca="true">IF(OR(L293="",K293="Sold",K293="Donated"),"",TODAY()-L293)</f>
        <v/>
      </c>
      <c r="Q293" s="26" t="str">
        <f aca="false">IF(AND(K293="Listed",P293&lt;&gt;"",N(P293)&gt;Settings!$B$19),"STALE","")</f>
        <v/>
      </c>
      <c r="R293" s="27" t="str">
        <f aca="false">IF(Q293="STALE",COUNTIF($Q$4:Q293,"STALE"),"")</f>
        <v/>
      </c>
    </row>
    <row r="294" customFormat="false" ht="15" hidden="false" customHeight="false" outlineLevel="0" collapsed="false">
      <c r="A294" s="23" t="str">
        <f aca="false">IF(B294="","","SKU-"&amp;TEXT(ROW()-3,"0000"))</f>
        <v/>
      </c>
      <c r="B294" s="19"/>
      <c r="C294" s="10"/>
      <c r="D294" s="10"/>
      <c r="E294" s="10"/>
      <c r="F294" s="10"/>
      <c r="G294" s="10"/>
      <c r="H294" s="12"/>
      <c r="I294" s="12"/>
      <c r="J294" s="24" t="str">
        <f aca="false">IF(B294="","",N(H294)+N(I294))</f>
        <v/>
      </c>
      <c r="K294" s="10"/>
      <c r="L294" s="19"/>
      <c r="M294" s="12"/>
      <c r="N294" s="10"/>
      <c r="O294" s="25" t="str">
        <f aca="true">IF(OR(B294="",K294="Sold",K294="Donated"),"",TODAY()-B294)</f>
        <v/>
      </c>
      <c r="P294" s="25" t="str">
        <f aca="true">IF(OR(L294="",K294="Sold",K294="Donated"),"",TODAY()-L294)</f>
        <v/>
      </c>
      <c r="Q294" s="26" t="str">
        <f aca="false">IF(AND(K294="Listed",P294&lt;&gt;"",N(P294)&gt;Settings!$B$19),"STALE","")</f>
        <v/>
      </c>
      <c r="R294" s="27" t="str">
        <f aca="false">IF(Q294="STALE",COUNTIF($Q$4:Q294,"STALE"),"")</f>
        <v/>
      </c>
    </row>
    <row r="295" customFormat="false" ht="15" hidden="false" customHeight="false" outlineLevel="0" collapsed="false">
      <c r="A295" s="23" t="str">
        <f aca="false">IF(B295="","","SKU-"&amp;TEXT(ROW()-3,"0000"))</f>
        <v/>
      </c>
      <c r="B295" s="19"/>
      <c r="C295" s="10"/>
      <c r="D295" s="10"/>
      <c r="E295" s="10"/>
      <c r="F295" s="10"/>
      <c r="G295" s="10"/>
      <c r="H295" s="12"/>
      <c r="I295" s="12"/>
      <c r="J295" s="24" t="str">
        <f aca="false">IF(B295="","",N(H295)+N(I295))</f>
        <v/>
      </c>
      <c r="K295" s="10"/>
      <c r="L295" s="19"/>
      <c r="M295" s="12"/>
      <c r="N295" s="10"/>
      <c r="O295" s="25" t="str">
        <f aca="true">IF(OR(B295="",K295="Sold",K295="Donated"),"",TODAY()-B295)</f>
        <v/>
      </c>
      <c r="P295" s="25" t="str">
        <f aca="true">IF(OR(L295="",K295="Sold",K295="Donated"),"",TODAY()-L295)</f>
        <v/>
      </c>
      <c r="Q295" s="26" t="str">
        <f aca="false">IF(AND(K295="Listed",P295&lt;&gt;"",N(P295)&gt;Settings!$B$19),"STALE","")</f>
        <v/>
      </c>
      <c r="R295" s="27" t="str">
        <f aca="false">IF(Q295="STALE",COUNTIF($Q$4:Q295,"STALE"),"")</f>
        <v/>
      </c>
    </row>
    <row r="296" customFormat="false" ht="15" hidden="false" customHeight="false" outlineLevel="0" collapsed="false">
      <c r="A296" s="23" t="str">
        <f aca="false">IF(B296="","","SKU-"&amp;TEXT(ROW()-3,"0000"))</f>
        <v/>
      </c>
      <c r="B296" s="19"/>
      <c r="C296" s="10"/>
      <c r="D296" s="10"/>
      <c r="E296" s="10"/>
      <c r="F296" s="10"/>
      <c r="G296" s="10"/>
      <c r="H296" s="12"/>
      <c r="I296" s="12"/>
      <c r="J296" s="24" t="str">
        <f aca="false">IF(B296="","",N(H296)+N(I296))</f>
        <v/>
      </c>
      <c r="K296" s="10"/>
      <c r="L296" s="19"/>
      <c r="M296" s="12"/>
      <c r="N296" s="10"/>
      <c r="O296" s="25" t="str">
        <f aca="true">IF(OR(B296="",K296="Sold",K296="Donated"),"",TODAY()-B296)</f>
        <v/>
      </c>
      <c r="P296" s="25" t="str">
        <f aca="true">IF(OR(L296="",K296="Sold",K296="Donated"),"",TODAY()-L296)</f>
        <v/>
      </c>
      <c r="Q296" s="26" t="str">
        <f aca="false">IF(AND(K296="Listed",P296&lt;&gt;"",N(P296)&gt;Settings!$B$19),"STALE","")</f>
        <v/>
      </c>
      <c r="R296" s="27" t="str">
        <f aca="false">IF(Q296="STALE",COUNTIF($Q$4:Q296,"STALE"),"")</f>
        <v/>
      </c>
    </row>
    <row r="297" customFormat="false" ht="15" hidden="false" customHeight="false" outlineLevel="0" collapsed="false">
      <c r="A297" s="23" t="str">
        <f aca="false">IF(B297="","","SKU-"&amp;TEXT(ROW()-3,"0000"))</f>
        <v/>
      </c>
      <c r="B297" s="19"/>
      <c r="C297" s="10"/>
      <c r="D297" s="10"/>
      <c r="E297" s="10"/>
      <c r="F297" s="10"/>
      <c r="G297" s="10"/>
      <c r="H297" s="12"/>
      <c r="I297" s="12"/>
      <c r="J297" s="24" t="str">
        <f aca="false">IF(B297="","",N(H297)+N(I297))</f>
        <v/>
      </c>
      <c r="K297" s="10"/>
      <c r="L297" s="19"/>
      <c r="M297" s="12"/>
      <c r="N297" s="10"/>
      <c r="O297" s="25" t="str">
        <f aca="true">IF(OR(B297="",K297="Sold",K297="Donated"),"",TODAY()-B297)</f>
        <v/>
      </c>
      <c r="P297" s="25" t="str">
        <f aca="true">IF(OR(L297="",K297="Sold",K297="Donated"),"",TODAY()-L297)</f>
        <v/>
      </c>
      <c r="Q297" s="26" t="str">
        <f aca="false">IF(AND(K297="Listed",P297&lt;&gt;"",N(P297)&gt;Settings!$B$19),"STALE","")</f>
        <v/>
      </c>
      <c r="R297" s="27" t="str">
        <f aca="false">IF(Q297="STALE",COUNTIF($Q$4:Q297,"STALE"),"")</f>
        <v/>
      </c>
    </row>
    <row r="298" customFormat="false" ht="15" hidden="false" customHeight="false" outlineLevel="0" collapsed="false">
      <c r="A298" s="23" t="str">
        <f aca="false">IF(B298="","","SKU-"&amp;TEXT(ROW()-3,"0000"))</f>
        <v/>
      </c>
      <c r="B298" s="19"/>
      <c r="C298" s="10"/>
      <c r="D298" s="10"/>
      <c r="E298" s="10"/>
      <c r="F298" s="10"/>
      <c r="G298" s="10"/>
      <c r="H298" s="12"/>
      <c r="I298" s="12"/>
      <c r="J298" s="24" t="str">
        <f aca="false">IF(B298="","",N(H298)+N(I298))</f>
        <v/>
      </c>
      <c r="K298" s="10"/>
      <c r="L298" s="19"/>
      <c r="M298" s="12"/>
      <c r="N298" s="10"/>
      <c r="O298" s="25" t="str">
        <f aca="true">IF(OR(B298="",K298="Sold",K298="Donated"),"",TODAY()-B298)</f>
        <v/>
      </c>
      <c r="P298" s="25" t="str">
        <f aca="true">IF(OR(L298="",K298="Sold",K298="Donated"),"",TODAY()-L298)</f>
        <v/>
      </c>
      <c r="Q298" s="26" t="str">
        <f aca="false">IF(AND(K298="Listed",P298&lt;&gt;"",N(P298)&gt;Settings!$B$19),"STALE","")</f>
        <v/>
      </c>
      <c r="R298" s="27" t="str">
        <f aca="false">IF(Q298="STALE",COUNTIF($Q$4:Q298,"STALE"),"")</f>
        <v/>
      </c>
    </row>
    <row r="299" customFormat="false" ht="15" hidden="false" customHeight="false" outlineLevel="0" collapsed="false">
      <c r="A299" s="23" t="str">
        <f aca="false">IF(B299="","","SKU-"&amp;TEXT(ROW()-3,"0000"))</f>
        <v/>
      </c>
      <c r="B299" s="19"/>
      <c r="C299" s="10"/>
      <c r="D299" s="10"/>
      <c r="E299" s="10"/>
      <c r="F299" s="10"/>
      <c r="G299" s="10"/>
      <c r="H299" s="12"/>
      <c r="I299" s="12"/>
      <c r="J299" s="24" t="str">
        <f aca="false">IF(B299="","",N(H299)+N(I299))</f>
        <v/>
      </c>
      <c r="K299" s="10"/>
      <c r="L299" s="19"/>
      <c r="M299" s="12"/>
      <c r="N299" s="10"/>
      <c r="O299" s="25" t="str">
        <f aca="true">IF(OR(B299="",K299="Sold",K299="Donated"),"",TODAY()-B299)</f>
        <v/>
      </c>
      <c r="P299" s="25" t="str">
        <f aca="true">IF(OR(L299="",K299="Sold",K299="Donated"),"",TODAY()-L299)</f>
        <v/>
      </c>
      <c r="Q299" s="26" t="str">
        <f aca="false">IF(AND(K299="Listed",P299&lt;&gt;"",N(P299)&gt;Settings!$B$19),"STALE","")</f>
        <v/>
      </c>
      <c r="R299" s="27" t="str">
        <f aca="false">IF(Q299="STALE",COUNTIF($Q$4:Q299,"STALE"),"")</f>
        <v/>
      </c>
    </row>
    <row r="300" customFormat="false" ht="15" hidden="false" customHeight="false" outlineLevel="0" collapsed="false">
      <c r="A300" s="23" t="str">
        <f aca="false">IF(B300="","","SKU-"&amp;TEXT(ROW()-3,"0000"))</f>
        <v/>
      </c>
      <c r="B300" s="19"/>
      <c r="C300" s="10"/>
      <c r="D300" s="10"/>
      <c r="E300" s="10"/>
      <c r="F300" s="10"/>
      <c r="G300" s="10"/>
      <c r="H300" s="12"/>
      <c r="I300" s="12"/>
      <c r="J300" s="24" t="str">
        <f aca="false">IF(B300="","",N(H300)+N(I300))</f>
        <v/>
      </c>
      <c r="K300" s="10"/>
      <c r="L300" s="19"/>
      <c r="M300" s="12"/>
      <c r="N300" s="10"/>
      <c r="O300" s="25" t="str">
        <f aca="true">IF(OR(B300="",K300="Sold",K300="Donated"),"",TODAY()-B300)</f>
        <v/>
      </c>
      <c r="P300" s="25" t="str">
        <f aca="true">IF(OR(L300="",K300="Sold",K300="Donated"),"",TODAY()-L300)</f>
        <v/>
      </c>
      <c r="Q300" s="26" t="str">
        <f aca="false">IF(AND(K300="Listed",P300&lt;&gt;"",N(P300)&gt;Settings!$B$19),"STALE","")</f>
        <v/>
      </c>
      <c r="R300" s="27" t="str">
        <f aca="false">IF(Q300="STALE",COUNTIF($Q$4:Q300,"STALE"),"")</f>
        <v/>
      </c>
    </row>
    <row r="301" customFormat="false" ht="15" hidden="false" customHeight="false" outlineLevel="0" collapsed="false">
      <c r="A301" s="23" t="str">
        <f aca="false">IF(B301="","","SKU-"&amp;TEXT(ROW()-3,"0000"))</f>
        <v/>
      </c>
      <c r="B301" s="19"/>
      <c r="C301" s="10"/>
      <c r="D301" s="10"/>
      <c r="E301" s="10"/>
      <c r="F301" s="10"/>
      <c r="G301" s="10"/>
      <c r="H301" s="12"/>
      <c r="I301" s="12"/>
      <c r="J301" s="24" t="str">
        <f aca="false">IF(B301="","",N(H301)+N(I301))</f>
        <v/>
      </c>
      <c r="K301" s="10"/>
      <c r="L301" s="19"/>
      <c r="M301" s="12"/>
      <c r="N301" s="10"/>
      <c r="O301" s="25" t="str">
        <f aca="true">IF(OR(B301="",K301="Sold",K301="Donated"),"",TODAY()-B301)</f>
        <v/>
      </c>
      <c r="P301" s="25" t="str">
        <f aca="true">IF(OR(L301="",K301="Sold",K301="Donated"),"",TODAY()-L301)</f>
        <v/>
      </c>
      <c r="Q301" s="26" t="str">
        <f aca="false">IF(AND(K301="Listed",P301&lt;&gt;"",N(P301)&gt;Settings!$B$19),"STALE","")</f>
        <v/>
      </c>
      <c r="R301" s="27" t="str">
        <f aca="false">IF(Q301="STALE",COUNTIF($Q$4:Q301,"STALE"),"")</f>
        <v/>
      </c>
    </row>
    <row r="302" customFormat="false" ht="15" hidden="false" customHeight="false" outlineLevel="0" collapsed="false">
      <c r="A302" s="23" t="str">
        <f aca="false">IF(B302="","","SKU-"&amp;TEXT(ROW()-3,"0000"))</f>
        <v/>
      </c>
      <c r="B302" s="19"/>
      <c r="C302" s="10"/>
      <c r="D302" s="10"/>
      <c r="E302" s="10"/>
      <c r="F302" s="10"/>
      <c r="G302" s="10"/>
      <c r="H302" s="12"/>
      <c r="I302" s="12"/>
      <c r="J302" s="24" t="str">
        <f aca="false">IF(B302="","",N(H302)+N(I302))</f>
        <v/>
      </c>
      <c r="K302" s="10"/>
      <c r="L302" s="19"/>
      <c r="M302" s="12"/>
      <c r="N302" s="10"/>
      <c r="O302" s="25" t="str">
        <f aca="true">IF(OR(B302="",K302="Sold",K302="Donated"),"",TODAY()-B302)</f>
        <v/>
      </c>
      <c r="P302" s="25" t="str">
        <f aca="true">IF(OR(L302="",K302="Sold",K302="Donated"),"",TODAY()-L302)</f>
        <v/>
      </c>
      <c r="Q302" s="26" t="str">
        <f aca="false">IF(AND(K302="Listed",P302&lt;&gt;"",N(P302)&gt;Settings!$B$19),"STALE","")</f>
        <v/>
      </c>
      <c r="R302" s="27" t="str">
        <f aca="false">IF(Q302="STALE",COUNTIF($Q$4:Q302,"STALE"),"")</f>
        <v/>
      </c>
    </row>
    <row r="303" customFormat="false" ht="15" hidden="false" customHeight="false" outlineLevel="0" collapsed="false">
      <c r="A303" s="23" t="str">
        <f aca="false">IF(B303="","","SKU-"&amp;TEXT(ROW()-3,"0000"))</f>
        <v/>
      </c>
      <c r="B303" s="19"/>
      <c r="C303" s="10"/>
      <c r="D303" s="10"/>
      <c r="E303" s="10"/>
      <c r="F303" s="10"/>
      <c r="G303" s="10"/>
      <c r="H303" s="12"/>
      <c r="I303" s="12"/>
      <c r="J303" s="24" t="str">
        <f aca="false">IF(B303="","",N(H303)+N(I303))</f>
        <v/>
      </c>
      <c r="K303" s="10"/>
      <c r="L303" s="19"/>
      <c r="M303" s="12"/>
      <c r="N303" s="10"/>
      <c r="O303" s="25" t="str">
        <f aca="true">IF(OR(B303="",K303="Sold",K303="Donated"),"",TODAY()-B303)</f>
        <v/>
      </c>
      <c r="P303" s="25" t="str">
        <f aca="true">IF(OR(L303="",K303="Sold",K303="Donated"),"",TODAY()-L303)</f>
        <v/>
      </c>
      <c r="Q303" s="26" t="str">
        <f aca="false">IF(AND(K303="Listed",P303&lt;&gt;"",N(P303)&gt;Settings!$B$19),"STALE","")</f>
        <v/>
      </c>
      <c r="R303" s="27" t="str">
        <f aca="false">IF(Q303="STALE",COUNTIF($Q$4:Q303,"STALE"),"")</f>
        <v/>
      </c>
    </row>
    <row r="304" customFormat="false" ht="15" hidden="false" customHeight="false" outlineLevel="0" collapsed="false">
      <c r="A304" s="23" t="str">
        <f aca="false">IF(B304="","","SKU-"&amp;TEXT(ROW()-3,"0000"))</f>
        <v/>
      </c>
      <c r="B304" s="19"/>
      <c r="C304" s="10"/>
      <c r="D304" s="10"/>
      <c r="E304" s="10"/>
      <c r="F304" s="10"/>
      <c r="G304" s="10"/>
      <c r="H304" s="12"/>
      <c r="I304" s="12"/>
      <c r="J304" s="24" t="str">
        <f aca="false">IF(B304="","",N(H304)+N(I304))</f>
        <v/>
      </c>
      <c r="K304" s="10"/>
      <c r="L304" s="19"/>
      <c r="M304" s="12"/>
      <c r="N304" s="10"/>
      <c r="O304" s="25" t="str">
        <f aca="true">IF(OR(B304="",K304="Sold",K304="Donated"),"",TODAY()-B304)</f>
        <v/>
      </c>
      <c r="P304" s="25" t="str">
        <f aca="true">IF(OR(L304="",K304="Sold",K304="Donated"),"",TODAY()-L304)</f>
        <v/>
      </c>
      <c r="Q304" s="26" t="str">
        <f aca="false">IF(AND(K304="Listed",P304&lt;&gt;"",N(P304)&gt;Settings!$B$19),"STALE","")</f>
        <v/>
      </c>
      <c r="R304" s="27" t="str">
        <f aca="false">IF(Q304="STALE",COUNTIF($Q$4:Q304,"STALE"),"")</f>
        <v/>
      </c>
    </row>
    <row r="305" customFormat="false" ht="15" hidden="false" customHeight="false" outlineLevel="0" collapsed="false">
      <c r="A305" s="23" t="str">
        <f aca="false">IF(B305="","","SKU-"&amp;TEXT(ROW()-3,"0000"))</f>
        <v/>
      </c>
      <c r="B305" s="19"/>
      <c r="C305" s="10"/>
      <c r="D305" s="10"/>
      <c r="E305" s="10"/>
      <c r="F305" s="10"/>
      <c r="G305" s="10"/>
      <c r="H305" s="12"/>
      <c r="I305" s="12"/>
      <c r="J305" s="24" t="str">
        <f aca="false">IF(B305="","",N(H305)+N(I305))</f>
        <v/>
      </c>
      <c r="K305" s="10"/>
      <c r="L305" s="19"/>
      <c r="M305" s="12"/>
      <c r="N305" s="10"/>
      <c r="O305" s="25" t="str">
        <f aca="true">IF(OR(B305="",K305="Sold",K305="Donated"),"",TODAY()-B305)</f>
        <v/>
      </c>
      <c r="P305" s="25" t="str">
        <f aca="true">IF(OR(L305="",K305="Sold",K305="Donated"),"",TODAY()-L305)</f>
        <v/>
      </c>
      <c r="Q305" s="26" t="str">
        <f aca="false">IF(AND(K305="Listed",P305&lt;&gt;"",N(P305)&gt;Settings!$B$19),"STALE","")</f>
        <v/>
      </c>
      <c r="R305" s="27" t="str">
        <f aca="false">IF(Q305="STALE",COUNTIF($Q$4:Q305,"STALE"),"")</f>
        <v/>
      </c>
    </row>
    <row r="306" customFormat="false" ht="15" hidden="false" customHeight="false" outlineLevel="0" collapsed="false">
      <c r="A306" s="23" t="str">
        <f aca="false">IF(B306="","","SKU-"&amp;TEXT(ROW()-3,"0000"))</f>
        <v/>
      </c>
      <c r="B306" s="19"/>
      <c r="C306" s="10"/>
      <c r="D306" s="10"/>
      <c r="E306" s="10"/>
      <c r="F306" s="10"/>
      <c r="G306" s="10"/>
      <c r="H306" s="12"/>
      <c r="I306" s="12"/>
      <c r="J306" s="24" t="str">
        <f aca="false">IF(B306="","",N(H306)+N(I306))</f>
        <v/>
      </c>
      <c r="K306" s="10"/>
      <c r="L306" s="19"/>
      <c r="M306" s="12"/>
      <c r="N306" s="10"/>
      <c r="O306" s="25" t="str">
        <f aca="true">IF(OR(B306="",K306="Sold",K306="Donated"),"",TODAY()-B306)</f>
        <v/>
      </c>
      <c r="P306" s="25" t="str">
        <f aca="true">IF(OR(L306="",K306="Sold",K306="Donated"),"",TODAY()-L306)</f>
        <v/>
      </c>
      <c r="Q306" s="26" t="str">
        <f aca="false">IF(AND(K306="Listed",P306&lt;&gt;"",N(P306)&gt;Settings!$B$19),"STALE","")</f>
        <v/>
      </c>
      <c r="R306" s="27" t="str">
        <f aca="false">IF(Q306="STALE",COUNTIF($Q$4:Q306,"STALE"),"")</f>
        <v/>
      </c>
    </row>
    <row r="307" customFormat="false" ht="15" hidden="false" customHeight="false" outlineLevel="0" collapsed="false">
      <c r="A307" s="23" t="str">
        <f aca="false">IF(B307="","","SKU-"&amp;TEXT(ROW()-3,"0000"))</f>
        <v/>
      </c>
      <c r="B307" s="19"/>
      <c r="C307" s="10"/>
      <c r="D307" s="10"/>
      <c r="E307" s="10"/>
      <c r="F307" s="10"/>
      <c r="G307" s="10"/>
      <c r="H307" s="12"/>
      <c r="I307" s="12"/>
      <c r="J307" s="24" t="str">
        <f aca="false">IF(B307="","",N(H307)+N(I307))</f>
        <v/>
      </c>
      <c r="K307" s="10"/>
      <c r="L307" s="19"/>
      <c r="M307" s="12"/>
      <c r="N307" s="10"/>
      <c r="O307" s="25" t="str">
        <f aca="true">IF(OR(B307="",K307="Sold",K307="Donated"),"",TODAY()-B307)</f>
        <v/>
      </c>
      <c r="P307" s="25" t="str">
        <f aca="true">IF(OR(L307="",K307="Sold",K307="Donated"),"",TODAY()-L307)</f>
        <v/>
      </c>
      <c r="Q307" s="26" t="str">
        <f aca="false">IF(AND(K307="Listed",P307&lt;&gt;"",N(P307)&gt;Settings!$B$19),"STALE","")</f>
        <v/>
      </c>
      <c r="R307" s="27" t="str">
        <f aca="false">IF(Q307="STALE",COUNTIF($Q$4:Q307,"STALE"),"")</f>
        <v/>
      </c>
    </row>
    <row r="308" customFormat="false" ht="15" hidden="false" customHeight="false" outlineLevel="0" collapsed="false">
      <c r="A308" s="23" t="str">
        <f aca="false">IF(B308="","","SKU-"&amp;TEXT(ROW()-3,"0000"))</f>
        <v/>
      </c>
      <c r="B308" s="19"/>
      <c r="C308" s="10"/>
      <c r="D308" s="10"/>
      <c r="E308" s="10"/>
      <c r="F308" s="10"/>
      <c r="G308" s="10"/>
      <c r="H308" s="12"/>
      <c r="I308" s="12"/>
      <c r="J308" s="24" t="str">
        <f aca="false">IF(B308="","",N(H308)+N(I308))</f>
        <v/>
      </c>
      <c r="K308" s="10"/>
      <c r="L308" s="19"/>
      <c r="M308" s="12"/>
      <c r="N308" s="10"/>
      <c r="O308" s="25" t="str">
        <f aca="true">IF(OR(B308="",K308="Sold",K308="Donated"),"",TODAY()-B308)</f>
        <v/>
      </c>
      <c r="P308" s="25" t="str">
        <f aca="true">IF(OR(L308="",K308="Sold",K308="Donated"),"",TODAY()-L308)</f>
        <v/>
      </c>
      <c r="Q308" s="26" t="str">
        <f aca="false">IF(AND(K308="Listed",P308&lt;&gt;"",N(P308)&gt;Settings!$B$19),"STALE","")</f>
        <v/>
      </c>
      <c r="R308" s="27" t="str">
        <f aca="false">IF(Q308="STALE",COUNTIF($Q$4:Q308,"STALE"),"")</f>
        <v/>
      </c>
    </row>
    <row r="309" customFormat="false" ht="15" hidden="false" customHeight="false" outlineLevel="0" collapsed="false">
      <c r="A309" s="23" t="str">
        <f aca="false">IF(B309="","","SKU-"&amp;TEXT(ROW()-3,"0000"))</f>
        <v/>
      </c>
      <c r="B309" s="19"/>
      <c r="C309" s="10"/>
      <c r="D309" s="10"/>
      <c r="E309" s="10"/>
      <c r="F309" s="10"/>
      <c r="G309" s="10"/>
      <c r="H309" s="12"/>
      <c r="I309" s="12"/>
      <c r="J309" s="24" t="str">
        <f aca="false">IF(B309="","",N(H309)+N(I309))</f>
        <v/>
      </c>
      <c r="K309" s="10"/>
      <c r="L309" s="19"/>
      <c r="M309" s="12"/>
      <c r="N309" s="10"/>
      <c r="O309" s="25" t="str">
        <f aca="true">IF(OR(B309="",K309="Sold",K309="Donated"),"",TODAY()-B309)</f>
        <v/>
      </c>
      <c r="P309" s="25" t="str">
        <f aca="true">IF(OR(L309="",K309="Sold",K309="Donated"),"",TODAY()-L309)</f>
        <v/>
      </c>
      <c r="Q309" s="26" t="str">
        <f aca="false">IF(AND(K309="Listed",P309&lt;&gt;"",N(P309)&gt;Settings!$B$19),"STALE","")</f>
        <v/>
      </c>
      <c r="R309" s="27" t="str">
        <f aca="false">IF(Q309="STALE",COUNTIF($Q$4:Q309,"STALE"),"")</f>
        <v/>
      </c>
    </row>
    <row r="310" customFormat="false" ht="15" hidden="false" customHeight="false" outlineLevel="0" collapsed="false">
      <c r="A310" s="23" t="str">
        <f aca="false">IF(B310="","","SKU-"&amp;TEXT(ROW()-3,"0000"))</f>
        <v/>
      </c>
      <c r="B310" s="19"/>
      <c r="C310" s="10"/>
      <c r="D310" s="10"/>
      <c r="E310" s="10"/>
      <c r="F310" s="10"/>
      <c r="G310" s="10"/>
      <c r="H310" s="12"/>
      <c r="I310" s="12"/>
      <c r="J310" s="24" t="str">
        <f aca="false">IF(B310="","",N(H310)+N(I310))</f>
        <v/>
      </c>
      <c r="K310" s="10"/>
      <c r="L310" s="19"/>
      <c r="M310" s="12"/>
      <c r="N310" s="10"/>
      <c r="O310" s="25" t="str">
        <f aca="true">IF(OR(B310="",K310="Sold",K310="Donated"),"",TODAY()-B310)</f>
        <v/>
      </c>
      <c r="P310" s="25" t="str">
        <f aca="true">IF(OR(L310="",K310="Sold",K310="Donated"),"",TODAY()-L310)</f>
        <v/>
      </c>
      <c r="Q310" s="26" t="str">
        <f aca="false">IF(AND(K310="Listed",P310&lt;&gt;"",N(P310)&gt;Settings!$B$19),"STALE","")</f>
        <v/>
      </c>
      <c r="R310" s="27" t="str">
        <f aca="false">IF(Q310="STALE",COUNTIF($Q$4:Q310,"STALE"),"")</f>
        <v/>
      </c>
    </row>
    <row r="311" customFormat="false" ht="15" hidden="false" customHeight="false" outlineLevel="0" collapsed="false">
      <c r="A311" s="23" t="str">
        <f aca="false">IF(B311="","","SKU-"&amp;TEXT(ROW()-3,"0000"))</f>
        <v/>
      </c>
      <c r="B311" s="19"/>
      <c r="C311" s="10"/>
      <c r="D311" s="10"/>
      <c r="E311" s="10"/>
      <c r="F311" s="10"/>
      <c r="G311" s="10"/>
      <c r="H311" s="12"/>
      <c r="I311" s="12"/>
      <c r="J311" s="24" t="str">
        <f aca="false">IF(B311="","",N(H311)+N(I311))</f>
        <v/>
      </c>
      <c r="K311" s="10"/>
      <c r="L311" s="19"/>
      <c r="M311" s="12"/>
      <c r="N311" s="10"/>
      <c r="O311" s="25" t="str">
        <f aca="true">IF(OR(B311="",K311="Sold",K311="Donated"),"",TODAY()-B311)</f>
        <v/>
      </c>
      <c r="P311" s="25" t="str">
        <f aca="true">IF(OR(L311="",K311="Sold",K311="Donated"),"",TODAY()-L311)</f>
        <v/>
      </c>
      <c r="Q311" s="26" t="str">
        <f aca="false">IF(AND(K311="Listed",P311&lt;&gt;"",N(P311)&gt;Settings!$B$19),"STALE","")</f>
        <v/>
      </c>
      <c r="R311" s="27" t="str">
        <f aca="false">IF(Q311="STALE",COUNTIF($Q$4:Q311,"STALE"),"")</f>
        <v/>
      </c>
    </row>
    <row r="312" customFormat="false" ht="15" hidden="false" customHeight="false" outlineLevel="0" collapsed="false">
      <c r="A312" s="23" t="str">
        <f aca="false">IF(B312="","","SKU-"&amp;TEXT(ROW()-3,"0000"))</f>
        <v/>
      </c>
      <c r="B312" s="19"/>
      <c r="C312" s="10"/>
      <c r="D312" s="10"/>
      <c r="E312" s="10"/>
      <c r="F312" s="10"/>
      <c r="G312" s="10"/>
      <c r="H312" s="12"/>
      <c r="I312" s="12"/>
      <c r="J312" s="24" t="str">
        <f aca="false">IF(B312="","",N(H312)+N(I312))</f>
        <v/>
      </c>
      <c r="K312" s="10"/>
      <c r="L312" s="19"/>
      <c r="M312" s="12"/>
      <c r="N312" s="10"/>
      <c r="O312" s="25" t="str">
        <f aca="true">IF(OR(B312="",K312="Sold",K312="Donated"),"",TODAY()-B312)</f>
        <v/>
      </c>
      <c r="P312" s="25" t="str">
        <f aca="true">IF(OR(L312="",K312="Sold",K312="Donated"),"",TODAY()-L312)</f>
        <v/>
      </c>
      <c r="Q312" s="26" t="str">
        <f aca="false">IF(AND(K312="Listed",P312&lt;&gt;"",N(P312)&gt;Settings!$B$19),"STALE","")</f>
        <v/>
      </c>
      <c r="R312" s="27" t="str">
        <f aca="false">IF(Q312="STALE",COUNTIF($Q$4:Q312,"STALE"),"")</f>
        <v/>
      </c>
    </row>
    <row r="313" customFormat="false" ht="15" hidden="false" customHeight="false" outlineLevel="0" collapsed="false">
      <c r="A313" s="23" t="str">
        <f aca="false">IF(B313="","","SKU-"&amp;TEXT(ROW()-3,"0000"))</f>
        <v/>
      </c>
      <c r="B313" s="19"/>
      <c r="C313" s="10"/>
      <c r="D313" s="10"/>
      <c r="E313" s="10"/>
      <c r="F313" s="10"/>
      <c r="G313" s="10"/>
      <c r="H313" s="12"/>
      <c r="I313" s="12"/>
      <c r="J313" s="24" t="str">
        <f aca="false">IF(B313="","",N(H313)+N(I313))</f>
        <v/>
      </c>
      <c r="K313" s="10"/>
      <c r="L313" s="19"/>
      <c r="M313" s="12"/>
      <c r="N313" s="10"/>
      <c r="O313" s="25" t="str">
        <f aca="true">IF(OR(B313="",K313="Sold",K313="Donated"),"",TODAY()-B313)</f>
        <v/>
      </c>
      <c r="P313" s="25" t="str">
        <f aca="true">IF(OR(L313="",K313="Sold",K313="Donated"),"",TODAY()-L313)</f>
        <v/>
      </c>
      <c r="Q313" s="26" t="str">
        <f aca="false">IF(AND(K313="Listed",P313&lt;&gt;"",N(P313)&gt;Settings!$B$19),"STALE","")</f>
        <v/>
      </c>
      <c r="R313" s="27" t="str">
        <f aca="false">IF(Q313="STALE",COUNTIF($Q$4:Q313,"STALE"),"")</f>
        <v/>
      </c>
    </row>
    <row r="314" customFormat="false" ht="15" hidden="false" customHeight="false" outlineLevel="0" collapsed="false">
      <c r="A314" s="23" t="str">
        <f aca="false">IF(B314="","","SKU-"&amp;TEXT(ROW()-3,"0000"))</f>
        <v/>
      </c>
      <c r="B314" s="19"/>
      <c r="C314" s="10"/>
      <c r="D314" s="10"/>
      <c r="E314" s="10"/>
      <c r="F314" s="10"/>
      <c r="G314" s="10"/>
      <c r="H314" s="12"/>
      <c r="I314" s="12"/>
      <c r="J314" s="24" t="str">
        <f aca="false">IF(B314="","",N(H314)+N(I314))</f>
        <v/>
      </c>
      <c r="K314" s="10"/>
      <c r="L314" s="19"/>
      <c r="M314" s="12"/>
      <c r="N314" s="10"/>
      <c r="O314" s="25" t="str">
        <f aca="true">IF(OR(B314="",K314="Sold",K314="Donated"),"",TODAY()-B314)</f>
        <v/>
      </c>
      <c r="P314" s="25" t="str">
        <f aca="true">IF(OR(L314="",K314="Sold",K314="Donated"),"",TODAY()-L314)</f>
        <v/>
      </c>
      <c r="Q314" s="26" t="str">
        <f aca="false">IF(AND(K314="Listed",P314&lt;&gt;"",N(P314)&gt;Settings!$B$19),"STALE","")</f>
        <v/>
      </c>
      <c r="R314" s="27" t="str">
        <f aca="false">IF(Q314="STALE",COUNTIF($Q$4:Q314,"STALE"),"")</f>
        <v/>
      </c>
    </row>
    <row r="315" customFormat="false" ht="15" hidden="false" customHeight="false" outlineLevel="0" collapsed="false">
      <c r="A315" s="23" t="str">
        <f aca="false">IF(B315="","","SKU-"&amp;TEXT(ROW()-3,"0000"))</f>
        <v/>
      </c>
      <c r="B315" s="19"/>
      <c r="C315" s="10"/>
      <c r="D315" s="10"/>
      <c r="E315" s="10"/>
      <c r="F315" s="10"/>
      <c r="G315" s="10"/>
      <c r="H315" s="12"/>
      <c r="I315" s="12"/>
      <c r="J315" s="24" t="str">
        <f aca="false">IF(B315="","",N(H315)+N(I315))</f>
        <v/>
      </c>
      <c r="K315" s="10"/>
      <c r="L315" s="19"/>
      <c r="M315" s="12"/>
      <c r="N315" s="10"/>
      <c r="O315" s="25" t="str">
        <f aca="true">IF(OR(B315="",K315="Sold",K315="Donated"),"",TODAY()-B315)</f>
        <v/>
      </c>
      <c r="P315" s="25" t="str">
        <f aca="true">IF(OR(L315="",K315="Sold",K315="Donated"),"",TODAY()-L315)</f>
        <v/>
      </c>
      <c r="Q315" s="26" t="str">
        <f aca="false">IF(AND(K315="Listed",P315&lt;&gt;"",N(P315)&gt;Settings!$B$19),"STALE","")</f>
        <v/>
      </c>
      <c r="R315" s="27" t="str">
        <f aca="false">IF(Q315="STALE",COUNTIF($Q$4:Q315,"STALE"),"")</f>
        <v/>
      </c>
    </row>
    <row r="316" customFormat="false" ht="15" hidden="false" customHeight="false" outlineLevel="0" collapsed="false">
      <c r="A316" s="23" t="str">
        <f aca="false">IF(B316="","","SKU-"&amp;TEXT(ROW()-3,"0000"))</f>
        <v/>
      </c>
      <c r="B316" s="19"/>
      <c r="C316" s="10"/>
      <c r="D316" s="10"/>
      <c r="E316" s="10"/>
      <c r="F316" s="10"/>
      <c r="G316" s="10"/>
      <c r="H316" s="12"/>
      <c r="I316" s="12"/>
      <c r="J316" s="24" t="str">
        <f aca="false">IF(B316="","",N(H316)+N(I316))</f>
        <v/>
      </c>
      <c r="K316" s="10"/>
      <c r="L316" s="19"/>
      <c r="M316" s="12"/>
      <c r="N316" s="10"/>
      <c r="O316" s="25" t="str">
        <f aca="true">IF(OR(B316="",K316="Sold",K316="Donated"),"",TODAY()-B316)</f>
        <v/>
      </c>
      <c r="P316" s="25" t="str">
        <f aca="true">IF(OR(L316="",K316="Sold",K316="Donated"),"",TODAY()-L316)</f>
        <v/>
      </c>
      <c r="Q316" s="26" t="str">
        <f aca="false">IF(AND(K316="Listed",P316&lt;&gt;"",N(P316)&gt;Settings!$B$19),"STALE","")</f>
        <v/>
      </c>
      <c r="R316" s="27" t="str">
        <f aca="false">IF(Q316="STALE",COUNTIF($Q$4:Q316,"STALE"),"")</f>
        <v/>
      </c>
    </row>
    <row r="317" customFormat="false" ht="15" hidden="false" customHeight="false" outlineLevel="0" collapsed="false">
      <c r="A317" s="23" t="str">
        <f aca="false">IF(B317="","","SKU-"&amp;TEXT(ROW()-3,"0000"))</f>
        <v/>
      </c>
      <c r="B317" s="19"/>
      <c r="C317" s="10"/>
      <c r="D317" s="10"/>
      <c r="E317" s="10"/>
      <c r="F317" s="10"/>
      <c r="G317" s="10"/>
      <c r="H317" s="12"/>
      <c r="I317" s="12"/>
      <c r="J317" s="24" t="str">
        <f aca="false">IF(B317="","",N(H317)+N(I317))</f>
        <v/>
      </c>
      <c r="K317" s="10"/>
      <c r="L317" s="19"/>
      <c r="M317" s="12"/>
      <c r="N317" s="10"/>
      <c r="O317" s="25" t="str">
        <f aca="true">IF(OR(B317="",K317="Sold",K317="Donated"),"",TODAY()-B317)</f>
        <v/>
      </c>
      <c r="P317" s="25" t="str">
        <f aca="true">IF(OR(L317="",K317="Sold",K317="Donated"),"",TODAY()-L317)</f>
        <v/>
      </c>
      <c r="Q317" s="26" t="str">
        <f aca="false">IF(AND(K317="Listed",P317&lt;&gt;"",N(P317)&gt;Settings!$B$19),"STALE","")</f>
        <v/>
      </c>
      <c r="R317" s="27" t="str">
        <f aca="false">IF(Q317="STALE",COUNTIF($Q$4:Q317,"STALE"),"")</f>
        <v/>
      </c>
    </row>
    <row r="318" customFormat="false" ht="15" hidden="false" customHeight="false" outlineLevel="0" collapsed="false">
      <c r="A318" s="23" t="str">
        <f aca="false">IF(B318="","","SKU-"&amp;TEXT(ROW()-3,"0000"))</f>
        <v/>
      </c>
      <c r="B318" s="19"/>
      <c r="C318" s="10"/>
      <c r="D318" s="10"/>
      <c r="E318" s="10"/>
      <c r="F318" s="10"/>
      <c r="G318" s="10"/>
      <c r="H318" s="12"/>
      <c r="I318" s="12"/>
      <c r="J318" s="24" t="str">
        <f aca="false">IF(B318="","",N(H318)+N(I318))</f>
        <v/>
      </c>
      <c r="K318" s="10"/>
      <c r="L318" s="19"/>
      <c r="M318" s="12"/>
      <c r="N318" s="10"/>
      <c r="O318" s="25" t="str">
        <f aca="true">IF(OR(B318="",K318="Sold",K318="Donated"),"",TODAY()-B318)</f>
        <v/>
      </c>
      <c r="P318" s="25" t="str">
        <f aca="true">IF(OR(L318="",K318="Sold",K318="Donated"),"",TODAY()-L318)</f>
        <v/>
      </c>
      <c r="Q318" s="26" t="str">
        <f aca="false">IF(AND(K318="Listed",P318&lt;&gt;"",N(P318)&gt;Settings!$B$19),"STALE","")</f>
        <v/>
      </c>
      <c r="R318" s="27" t="str">
        <f aca="false">IF(Q318="STALE",COUNTIF($Q$4:Q318,"STALE"),"")</f>
        <v/>
      </c>
    </row>
    <row r="319" customFormat="false" ht="15" hidden="false" customHeight="false" outlineLevel="0" collapsed="false">
      <c r="A319" s="23" t="str">
        <f aca="false">IF(B319="","","SKU-"&amp;TEXT(ROW()-3,"0000"))</f>
        <v/>
      </c>
      <c r="B319" s="19"/>
      <c r="C319" s="10"/>
      <c r="D319" s="10"/>
      <c r="E319" s="10"/>
      <c r="F319" s="10"/>
      <c r="G319" s="10"/>
      <c r="H319" s="12"/>
      <c r="I319" s="12"/>
      <c r="J319" s="24" t="str">
        <f aca="false">IF(B319="","",N(H319)+N(I319))</f>
        <v/>
      </c>
      <c r="K319" s="10"/>
      <c r="L319" s="19"/>
      <c r="M319" s="12"/>
      <c r="N319" s="10"/>
      <c r="O319" s="25" t="str">
        <f aca="true">IF(OR(B319="",K319="Sold",K319="Donated"),"",TODAY()-B319)</f>
        <v/>
      </c>
      <c r="P319" s="25" t="str">
        <f aca="true">IF(OR(L319="",K319="Sold",K319="Donated"),"",TODAY()-L319)</f>
        <v/>
      </c>
      <c r="Q319" s="26" t="str">
        <f aca="false">IF(AND(K319="Listed",P319&lt;&gt;"",N(P319)&gt;Settings!$B$19),"STALE","")</f>
        <v/>
      </c>
      <c r="R319" s="27" t="str">
        <f aca="false">IF(Q319="STALE",COUNTIF($Q$4:Q319,"STALE"),"")</f>
        <v/>
      </c>
    </row>
    <row r="320" customFormat="false" ht="15" hidden="false" customHeight="false" outlineLevel="0" collapsed="false">
      <c r="A320" s="23" t="str">
        <f aca="false">IF(B320="","","SKU-"&amp;TEXT(ROW()-3,"0000"))</f>
        <v/>
      </c>
      <c r="B320" s="19"/>
      <c r="C320" s="10"/>
      <c r="D320" s="10"/>
      <c r="E320" s="10"/>
      <c r="F320" s="10"/>
      <c r="G320" s="10"/>
      <c r="H320" s="12"/>
      <c r="I320" s="12"/>
      <c r="J320" s="24" t="str">
        <f aca="false">IF(B320="","",N(H320)+N(I320))</f>
        <v/>
      </c>
      <c r="K320" s="10"/>
      <c r="L320" s="19"/>
      <c r="M320" s="12"/>
      <c r="N320" s="10"/>
      <c r="O320" s="25" t="str">
        <f aca="true">IF(OR(B320="",K320="Sold",K320="Donated"),"",TODAY()-B320)</f>
        <v/>
      </c>
      <c r="P320" s="25" t="str">
        <f aca="true">IF(OR(L320="",K320="Sold",K320="Donated"),"",TODAY()-L320)</f>
        <v/>
      </c>
      <c r="Q320" s="26" t="str">
        <f aca="false">IF(AND(K320="Listed",P320&lt;&gt;"",N(P320)&gt;Settings!$B$19),"STALE","")</f>
        <v/>
      </c>
      <c r="R320" s="27" t="str">
        <f aca="false">IF(Q320="STALE",COUNTIF($Q$4:Q320,"STALE"),"")</f>
        <v/>
      </c>
    </row>
    <row r="321" customFormat="false" ht="15" hidden="false" customHeight="false" outlineLevel="0" collapsed="false">
      <c r="A321" s="23" t="str">
        <f aca="false">IF(B321="","","SKU-"&amp;TEXT(ROW()-3,"0000"))</f>
        <v/>
      </c>
      <c r="B321" s="19"/>
      <c r="C321" s="10"/>
      <c r="D321" s="10"/>
      <c r="E321" s="10"/>
      <c r="F321" s="10"/>
      <c r="G321" s="10"/>
      <c r="H321" s="12"/>
      <c r="I321" s="12"/>
      <c r="J321" s="24" t="str">
        <f aca="false">IF(B321="","",N(H321)+N(I321))</f>
        <v/>
      </c>
      <c r="K321" s="10"/>
      <c r="L321" s="19"/>
      <c r="M321" s="12"/>
      <c r="N321" s="10"/>
      <c r="O321" s="25" t="str">
        <f aca="true">IF(OR(B321="",K321="Sold",K321="Donated"),"",TODAY()-B321)</f>
        <v/>
      </c>
      <c r="P321" s="25" t="str">
        <f aca="true">IF(OR(L321="",K321="Sold",K321="Donated"),"",TODAY()-L321)</f>
        <v/>
      </c>
      <c r="Q321" s="26" t="str">
        <f aca="false">IF(AND(K321="Listed",P321&lt;&gt;"",N(P321)&gt;Settings!$B$19),"STALE","")</f>
        <v/>
      </c>
      <c r="R321" s="27" t="str">
        <f aca="false">IF(Q321="STALE",COUNTIF($Q$4:Q321,"STALE"),"")</f>
        <v/>
      </c>
    </row>
    <row r="322" customFormat="false" ht="15" hidden="false" customHeight="false" outlineLevel="0" collapsed="false">
      <c r="A322" s="23" t="str">
        <f aca="false">IF(B322="","","SKU-"&amp;TEXT(ROW()-3,"0000"))</f>
        <v/>
      </c>
      <c r="B322" s="19"/>
      <c r="C322" s="10"/>
      <c r="D322" s="10"/>
      <c r="E322" s="10"/>
      <c r="F322" s="10"/>
      <c r="G322" s="10"/>
      <c r="H322" s="12"/>
      <c r="I322" s="12"/>
      <c r="J322" s="24" t="str">
        <f aca="false">IF(B322="","",N(H322)+N(I322))</f>
        <v/>
      </c>
      <c r="K322" s="10"/>
      <c r="L322" s="19"/>
      <c r="M322" s="12"/>
      <c r="N322" s="10"/>
      <c r="O322" s="25" t="str">
        <f aca="true">IF(OR(B322="",K322="Sold",K322="Donated"),"",TODAY()-B322)</f>
        <v/>
      </c>
      <c r="P322" s="25" t="str">
        <f aca="true">IF(OR(L322="",K322="Sold",K322="Donated"),"",TODAY()-L322)</f>
        <v/>
      </c>
      <c r="Q322" s="26" t="str">
        <f aca="false">IF(AND(K322="Listed",P322&lt;&gt;"",N(P322)&gt;Settings!$B$19),"STALE","")</f>
        <v/>
      </c>
      <c r="R322" s="27" t="str">
        <f aca="false">IF(Q322="STALE",COUNTIF($Q$4:Q322,"STALE"),"")</f>
        <v/>
      </c>
    </row>
    <row r="323" customFormat="false" ht="15" hidden="false" customHeight="false" outlineLevel="0" collapsed="false">
      <c r="A323" s="23" t="str">
        <f aca="false">IF(B323="","","SKU-"&amp;TEXT(ROW()-3,"0000"))</f>
        <v/>
      </c>
      <c r="B323" s="19"/>
      <c r="C323" s="10"/>
      <c r="D323" s="10"/>
      <c r="E323" s="10"/>
      <c r="F323" s="10"/>
      <c r="G323" s="10"/>
      <c r="H323" s="12"/>
      <c r="I323" s="12"/>
      <c r="J323" s="24" t="str">
        <f aca="false">IF(B323="","",N(H323)+N(I323))</f>
        <v/>
      </c>
      <c r="K323" s="10"/>
      <c r="L323" s="19"/>
      <c r="M323" s="12"/>
      <c r="N323" s="10"/>
      <c r="O323" s="25" t="str">
        <f aca="true">IF(OR(B323="",K323="Sold",K323="Donated"),"",TODAY()-B323)</f>
        <v/>
      </c>
      <c r="P323" s="25" t="str">
        <f aca="true">IF(OR(L323="",K323="Sold",K323="Donated"),"",TODAY()-L323)</f>
        <v/>
      </c>
      <c r="Q323" s="26" t="str">
        <f aca="false">IF(AND(K323="Listed",P323&lt;&gt;"",N(P323)&gt;Settings!$B$19),"STALE","")</f>
        <v/>
      </c>
      <c r="R323" s="27" t="str">
        <f aca="false">IF(Q323="STALE",COUNTIF($Q$4:Q323,"STALE"),"")</f>
        <v/>
      </c>
    </row>
    <row r="324" customFormat="false" ht="15" hidden="false" customHeight="false" outlineLevel="0" collapsed="false">
      <c r="A324" s="23" t="str">
        <f aca="false">IF(B324="","","SKU-"&amp;TEXT(ROW()-3,"0000"))</f>
        <v/>
      </c>
      <c r="B324" s="19"/>
      <c r="C324" s="10"/>
      <c r="D324" s="10"/>
      <c r="E324" s="10"/>
      <c r="F324" s="10"/>
      <c r="G324" s="10"/>
      <c r="H324" s="12"/>
      <c r="I324" s="12"/>
      <c r="J324" s="24" t="str">
        <f aca="false">IF(B324="","",N(H324)+N(I324))</f>
        <v/>
      </c>
      <c r="K324" s="10"/>
      <c r="L324" s="19"/>
      <c r="M324" s="12"/>
      <c r="N324" s="10"/>
      <c r="O324" s="25" t="str">
        <f aca="true">IF(OR(B324="",K324="Sold",K324="Donated"),"",TODAY()-B324)</f>
        <v/>
      </c>
      <c r="P324" s="25" t="str">
        <f aca="true">IF(OR(L324="",K324="Sold",K324="Donated"),"",TODAY()-L324)</f>
        <v/>
      </c>
      <c r="Q324" s="26" t="str">
        <f aca="false">IF(AND(K324="Listed",P324&lt;&gt;"",N(P324)&gt;Settings!$B$19),"STALE","")</f>
        <v/>
      </c>
      <c r="R324" s="27" t="str">
        <f aca="false">IF(Q324="STALE",COUNTIF($Q$4:Q324,"STALE"),"")</f>
        <v/>
      </c>
    </row>
    <row r="325" customFormat="false" ht="15" hidden="false" customHeight="false" outlineLevel="0" collapsed="false">
      <c r="A325" s="23" t="str">
        <f aca="false">IF(B325="","","SKU-"&amp;TEXT(ROW()-3,"0000"))</f>
        <v/>
      </c>
      <c r="B325" s="19"/>
      <c r="C325" s="10"/>
      <c r="D325" s="10"/>
      <c r="E325" s="10"/>
      <c r="F325" s="10"/>
      <c r="G325" s="10"/>
      <c r="H325" s="12"/>
      <c r="I325" s="12"/>
      <c r="J325" s="24" t="str">
        <f aca="false">IF(B325="","",N(H325)+N(I325))</f>
        <v/>
      </c>
      <c r="K325" s="10"/>
      <c r="L325" s="19"/>
      <c r="M325" s="12"/>
      <c r="N325" s="10"/>
      <c r="O325" s="25" t="str">
        <f aca="true">IF(OR(B325="",K325="Sold",K325="Donated"),"",TODAY()-B325)</f>
        <v/>
      </c>
      <c r="P325" s="25" t="str">
        <f aca="true">IF(OR(L325="",K325="Sold",K325="Donated"),"",TODAY()-L325)</f>
        <v/>
      </c>
      <c r="Q325" s="26" t="str">
        <f aca="false">IF(AND(K325="Listed",P325&lt;&gt;"",N(P325)&gt;Settings!$B$19),"STALE","")</f>
        <v/>
      </c>
      <c r="R325" s="27" t="str">
        <f aca="false">IF(Q325="STALE",COUNTIF($Q$4:Q325,"STALE"),"")</f>
        <v/>
      </c>
    </row>
    <row r="326" customFormat="false" ht="15" hidden="false" customHeight="false" outlineLevel="0" collapsed="false">
      <c r="A326" s="23" t="str">
        <f aca="false">IF(B326="","","SKU-"&amp;TEXT(ROW()-3,"0000"))</f>
        <v/>
      </c>
      <c r="B326" s="19"/>
      <c r="C326" s="10"/>
      <c r="D326" s="10"/>
      <c r="E326" s="10"/>
      <c r="F326" s="10"/>
      <c r="G326" s="10"/>
      <c r="H326" s="12"/>
      <c r="I326" s="12"/>
      <c r="J326" s="24" t="str">
        <f aca="false">IF(B326="","",N(H326)+N(I326))</f>
        <v/>
      </c>
      <c r="K326" s="10"/>
      <c r="L326" s="19"/>
      <c r="M326" s="12"/>
      <c r="N326" s="10"/>
      <c r="O326" s="25" t="str">
        <f aca="true">IF(OR(B326="",K326="Sold",K326="Donated"),"",TODAY()-B326)</f>
        <v/>
      </c>
      <c r="P326" s="25" t="str">
        <f aca="true">IF(OR(L326="",K326="Sold",K326="Donated"),"",TODAY()-L326)</f>
        <v/>
      </c>
      <c r="Q326" s="26" t="str">
        <f aca="false">IF(AND(K326="Listed",P326&lt;&gt;"",N(P326)&gt;Settings!$B$19),"STALE","")</f>
        <v/>
      </c>
      <c r="R326" s="27" t="str">
        <f aca="false">IF(Q326="STALE",COUNTIF($Q$4:Q326,"STALE"),"")</f>
        <v/>
      </c>
    </row>
    <row r="327" customFormat="false" ht="15" hidden="false" customHeight="false" outlineLevel="0" collapsed="false">
      <c r="A327" s="23" t="str">
        <f aca="false">IF(B327="","","SKU-"&amp;TEXT(ROW()-3,"0000"))</f>
        <v/>
      </c>
      <c r="B327" s="19"/>
      <c r="C327" s="10"/>
      <c r="D327" s="10"/>
      <c r="E327" s="10"/>
      <c r="F327" s="10"/>
      <c r="G327" s="10"/>
      <c r="H327" s="12"/>
      <c r="I327" s="12"/>
      <c r="J327" s="24" t="str">
        <f aca="false">IF(B327="","",N(H327)+N(I327))</f>
        <v/>
      </c>
      <c r="K327" s="10"/>
      <c r="L327" s="19"/>
      <c r="M327" s="12"/>
      <c r="N327" s="10"/>
      <c r="O327" s="25" t="str">
        <f aca="true">IF(OR(B327="",K327="Sold",K327="Donated"),"",TODAY()-B327)</f>
        <v/>
      </c>
      <c r="P327" s="25" t="str">
        <f aca="true">IF(OR(L327="",K327="Sold",K327="Donated"),"",TODAY()-L327)</f>
        <v/>
      </c>
      <c r="Q327" s="26" t="str">
        <f aca="false">IF(AND(K327="Listed",P327&lt;&gt;"",N(P327)&gt;Settings!$B$19),"STALE","")</f>
        <v/>
      </c>
      <c r="R327" s="27" t="str">
        <f aca="false">IF(Q327="STALE",COUNTIF($Q$4:Q327,"STALE"),"")</f>
        <v/>
      </c>
    </row>
    <row r="328" customFormat="false" ht="15" hidden="false" customHeight="false" outlineLevel="0" collapsed="false">
      <c r="A328" s="23" t="str">
        <f aca="false">IF(B328="","","SKU-"&amp;TEXT(ROW()-3,"0000"))</f>
        <v/>
      </c>
      <c r="B328" s="19"/>
      <c r="C328" s="10"/>
      <c r="D328" s="10"/>
      <c r="E328" s="10"/>
      <c r="F328" s="10"/>
      <c r="G328" s="10"/>
      <c r="H328" s="12"/>
      <c r="I328" s="12"/>
      <c r="J328" s="24" t="str">
        <f aca="false">IF(B328="","",N(H328)+N(I328))</f>
        <v/>
      </c>
      <c r="K328" s="10"/>
      <c r="L328" s="19"/>
      <c r="M328" s="12"/>
      <c r="N328" s="10"/>
      <c r="O328" s="25" t="str">
        <f aca="true">IF(OR(B328="",K328="Sold",K328="Donated"),"",TODAY()-B328)</f>
        <v/>
      </c>
      <c r="P328" s="25" t="str">
        <f aca="true">IF(OR(L328="",K328="Sold",K328="Donated"),"",TODAY()-L328)</f>
        <v/>
      </c>
      <c r="Q328" s="26" t="str">
        <f aca="false">IF(AND(K328="Listed",P328&lt;&gt;"",N(P328)&gt;Settings!$B$19),"STALE","")</f>
        <v/>
      </c>
      <c r="R328" s="27" t="str">
        <f aca="false">IF(Q328="STALE",COUNTIF($Q$4:Q328,"STALE"),"")</f>
        <v/>
      </c>
    </row>
    <row r="329" customFormat="false" ht="15" hidden="false" customHeight="false" outlineLevel="0" collapsed="false">
      <c r="A329" s="23" t="str">
        <f aca="false">IF(B329="","","SKU-"&amp;TEXT(ROW()-3,"0000"))</f>
        <v/>
      </c>
      <c r="B329" s="19"/>
      <c r="C329" s="10"/>
      <c r="D329" s="10"/>
      <c r="E329" s="10"/>
      <c r="F329" s="10"/>
      <c r="G329" s="10"/>
      <c r="H329" s="12"/>
      <c r="I329" s="12"/>
      <c r="J329" s="24" t="str">
        <f aca="false">IF(B329="","",N(H329)+N(I329))</f>
        <v/>
      </c>
      <c r="K329" s="10"/>
      <c r="L329" s="19"/>
      <c r="M329" s="12"/>
      <c r="N329" s="10"/>
      <c r="O329" s="25" t="str">
        <f aca="true">IF(OR(B329="",K329="Sold",K329="Donated"),"",TODAY()-B329)</f>
        <v/>
      </c>
      <c r="P329" s="25" t="str">
        <f aca="true">IF(OR(L329="",K329="Sold",K329="Donated"),"",TODAY()-L329)</f>
        <v/>
      </c>
      <c r="Q329" s="26" t="str">
        <f aca="false">IF(AND(K329="Listed",P329&lt;&gt;"",N(P329)&gt;Settings!$B$19),"STALE","")</f>
        <v/>
      </c>
      <c r="R329" s="27" t="str">
        <f aca="false">IF(Q329="STALE",COUNTIF($Q$4:Q329,"STALE"),"")</f>
        <v/>
      </c>
    </row>
    <row r="330" customFormat="false" ht="15" hidden="false" customHeight="false" outlineLevel="0" collapsed="false">
      <c r="A330" s="23" t="str">
        <f aca="false">IF(B330="","","SKU-"&amp;TEXT(ROW()-3,"0000"))</f>
        <v/>
      </c>
      <c r="B330" s="19"/>
      <c r="C330" s="10"/>
      <c r="D330" s="10"/>
      <c r="E330" s="10"/>
      <c r="F330" s="10"/>
      <c r="G330" s="10"/>
      <c r="H330" s="12"/>
      <c r="I330" s="12"/>
      <c r="J330" s="24" t="str">
        <f aca="false">IF(B330="","",N(H330)+N(I330))</f>
        <v/>
      </c>
      <c r="K330" s="10"/>
      <c r="L330" s="19"/>
      <c r="M330" s="12"/>
      <c r="N330" s="10"/>
      <c r="O330" s="25" t="str">
        <f aca="true">IF(OR(B330="",K330="Sold",K330="Donated"),"",TODAY()-B330)</f>
        <v/>
      </c>
      <c r="P330" s="25" t="str">
        <f aca="true">IF(OR(L330="",K330="Sold",K330="Donated"),"",TODAY()-L330)</f>
        <v/>
      </c>
      <c r="Q330" s="26" t="str">
        <f aca="false">IF(AND(K330="Listed",P330&lt;&gt;"",N(P330)&gt;Settings!$B$19),"STALE","")</f>
        <v/>
      </c>
      <c r="R330" s="27" t="str">
        <f aca="false">IF(Q330="STALE",COUNTIF($Q$4:Q330,"STALE"),"")</f>
        <v/>
      </c>
    </row>
    <row r="331" customFormat="false" ht="15" hidden="false" customHeight="false" outlineLevel="0" collapsed="false">
      <c r="A331" s="23" t="str">
        <f aca="false">IF(B331="","","SKU-"&amp;TEXT(ROW()-3,"0000"))</f>
        <v/>
      </c>
      <c r="B331" s="19"/>
      <c r="C331" s="10"/>
      <c r="D331" s="10"/>
      <c r="E331" s="10"/>
      <c r="F331" s="10"/>
      <c r="G331" s="10"/>
      <c r="H331" s="12"/>
      <c r="I331" s="12"/>
      <c r="J331" s="24" t="str">
        <f aca="false">IF(B331="","",N(H331)+N(I331))</f>
        <v/>
      </c>
      <c r="K331" s="10"/>
      <c r="L331" s="19"/>
      <c r="M331" s="12"/>
      <c r="N331" s="10"/>
      <c r="O331" s="25" t="str">
        <f aca="true">IF(OR(B331="",K331="Sold",K331="Donated"),"",TODAY()-B331)</f>
        <v/>
      </c>
      <c r="P331" s="25" t="str">
        <f aca="true">IF(OR(L331="",K331="Sold",K331="Donated"),"",TODAY()-L331)</f>
        <v/>
      </c>
      <c r="Q331" s="26" t="str">
        <f aca="false">IF(AND(K331="Listed",P331&lt;&gt;"",N(P331)&gt;Settings!$B$19),"STALE","")</f>
        <v/>
      </c>
      <c r="R331" s="27" t="str">
        <f aca="false">IF(Q331="STALE",COUNTIF($Q$4:Q331,"STALE"),"")</f>
        <v/>
      </c>
    </row>
    <row r="332" customFormat="false" ht="15" hidden="false" customHeight="false" outlineLevel="0" collapsed="false">
      <c r="A332" s="23" t="str">
        <f aca="false">IF(B332="","","SKU-"&amp;TEXT(ROW()-3,"0000"))</f>
        <v/>
      </c>
      <c r="B332" s="19"/>
      <c r="C332" s="10"/>
      <c r="D332" s="10"/>
      <c r="E332" s="10"/>
      <c r="F332" s="10"/>
      <c r="G332" s="10"/>
      <c r="H332" s="12"/>
      <c r="I332" s="12"/>
      <c r="J332" s="24" t="str">
        <f aca="false">IF(B332="","",N(H332)+N(I332))</f>
        <v/>
      </c>
      <c r="K332" s="10"/>
      <c r="L332" s="19"/>
      <c r="M332" s="12"/>
      <c r="N332" s="10"/>
      <c r="O332" s="25" t="str">
        <f aca="true">IF(OR(B332="",K332="Sold",K332="Donated"),"",TODAY()-B332)</f>
        <v/>
      </c>
      <c r="P332" s="25" t="str">
        <f aca="true">IF(OR(L332="",K332="Sold",K332="Donated"),"",TODAY()-L332)</f>
        <v/>
      </c>
      <c r="Q332" s="26" t="str">
        <f aca="false">IF(AND(K332="Listed",P332&lt;&gt;"",N(P332)&gt;Settings!$B$19),"STALE","")</f>
        <v/>
      </c>
      <c r="R332" s="27" t="str">
        <f aca="false">IF(Q332="STALE",COUNTIF($Q$4:Q332,"STALE"),"")</f>
        <v/>
      </c>
    </row>
    <row r="333" customFormat="false" ht="15" hidden="false" customHeight="false" outlineLevel="0" collapsed="false">
      <c r="A333" s="23" t="str">
        <f aca="false">IF(B333="","","SKU-"&amp;TEXT(ROW()-3,"0000"))</f>
        <v/>
      </c>
      <c r="B333" s="19"/>
      <c r="C333" s="10"/>
      <c r="D333" s="10"/>
      <c r="E333" s="10"/>
      <c r="F333" s="10"/>
      <c r="G333" s="10"/>
      <c r="H333" s="12"/>
      <c r="I333" s="12"/>
      <c r="J333" s="24" t="str">
        <f aca="false">IF(B333="","",N(H333)+N(I333))</f>
        <v/>
      </c>
      <c r="K333" s="10"/>
      <c r="L333" s="19"/>
      <c r="M333" s="12"/>
      <c r="N333" s="10"/>
      <c r="O333" s="25" t="str">
        <f aca="true">IF(OR(B333="",K333="Sold",K333="Donated"),"",TODAY()-B333)</f>
        <v/>
      </c>
      <c r="P333" s="25" t="str">
        <f aca="true">IF(OR(L333="",K333="Sold",K333="Donated"),"",TODAY()-L333)</f>
        <v/>
      </c>
      <c r="Q333" s="26" t="str">
        <f aca="false">IF(AND(K333="Listed",P333&lt;&gt;"",N(P333)&gt;Settings!$B$19),"STALE","")</f>
        <v/>
      </c>
      <c r="R333" s="27" t="str">
        <f aca="false">IF(Q333="STALE",COUNTIF($Q$4:Q333,"STALE"),"")</f>
        <v/>
      </c>
    </row>
    <row r="334" customFormat="false" ht="15" hidden="false" customHeight="false" outlineLevel="0" collapsed="false">
      <c r="A334" s="23" t="str">
        <f aca="false">IF(B334="","","SKU-"&amp;TEXT(ROW()-3,"0000"))</f>
        <v/>
      </c>
      <c r="B334" s="19"/>
      <c r="C334" s="10"/>
      <c r="D334" s="10"/>
      <c r="E334" s="10"/>
      <c r="F334" s="10"/>
      <c r="G334" s="10"/>
      <c r="H334" s="12"/>
      <c r="I334" s="12"/>
      <c r="J334" s="24" t="str">
        <f aca="false">IF(B334="","",N(H334)+N(I334))</f>
        <v/>
      </c>
      <c r="K334" s="10"/>
      <c r="L334" s="19"/>
      <c r="M334" s="12"/>
      <c r="N334" s="10"/>
      <c r="O334" s="25" t="str">
        <f aca="true">IF(OR(B334="",K334="Sold",K334="Donated"),"",TODAY()-B334)</f>
        <v/>
      </c>
      <c r="P334" s="25" t="str">
        <f aca="true">IF(OR(L334="",K334="Sold",K334="Donated"),"",TODAY()-L334)</f>
        <v/>
      </c>
      <c r="Q334" s="26" t="str">
        <f aca="false">IF(AND(K334="Listed",P334&lt;&gt;"",N(P334)&gt;Settings!$B$19),"STALE","")</f>
        <v/>
      </c>
      <c r="R334" s="27" t="str">
        <f aca="false">IF(Q334="STALE",COUNTIF($Q$4:Q334,"STALE"),"")</f>
        <v/>
      </c>
    </row>
    <row r="335" customFormat="false" ht="15" hidden="false" customHeight="false" outlineLevel="0" collapsed="false">
      <c r="A335" s="23" t="str">
        <f aca="false">IF(B335="","","SKU-"&amp;TEXT(ROW()-3,"0000"))</f>
        <v/>
      </c>
      <c r="B335" s="19"/>
      <c r="C335" s="10"/>
      <c r="D335" s="10"/>
      <c r="E335" s="10"/>
      <c r="F335" s="10"/>
      <c r="G335" s="10"/>
      <c r="H335" s="12"/>
      <c r="I335" s="12"/>
      <c r="J335" s="24" t="str">
        <f aca="false">IF(B335="","",N(H335)+N(I335))</f>
        <v/>
      </c>
      <c r="K335" s="10"/>
      <c r="L335" s="19"/>
      <c r="M335" s="12"/>
      <c r="N335" s="10"/>
      <c r="O335" s="25" t="str">
        <f aca="true">IF(OR(B335="",K335="Sold",K335="Donated"),"",TODAY()-B335)</f>
        <v/>
      </c>
      <c r="P335" s="25" t="str">
        <f aca="true">IF(OR(L335="",K335="Sold",K335="Donated"),"",TODAY()-L335)</f>
        <v/>
      </c>
      <c r="Q335" s="26" t="str">
        <f aca="false">IF(AND(K335="Listed",P335&lt;&gt;"",N(P335)&gt;Settings!$B$19),"STALE","")</f>
        <v/>
      </c>
      <c r="R335" s="27" t="str">
        <f aca="false">IF(Q335="STALE",COUNTIF($Q$4:Q335,"STALE"),"")</f>
        <v/>
      </c>
    </row>
    <row r="336" customFormat="false" ht="15" hidden="false" customHeight="false" outlineLevel="0" collapsed="false">
      <c r="A336" s="23" t="str">
        <f aca="false">IF(B336="","","SKU-"&amp;TEXT(ROW()-3,"0000"))</f>
        <v/>
      </c>
      <c r="B336" s="19"/>
      <c r="C336" s="10"/>
      <c r="D336" s="10"/>
      <c r="E336" s="10"/>
      <c r="F336" s="10"/>
      <c r="G336" s="10"/>
      <c r="H336" s="12"/>
      <c r="I336" s="12"/>
      <c r="J336" s="24" t="str">
        <f aca="false">IF(B336="","",N(H336)+N(I336))</f>
        <v/>
      </c>
      <c r="K336" s="10"/>
      <c r="L336" s="19"/>
      <c r="M336" s="12"/>
      <c r="N336" s="10"/>
      <c r="O336" s="25" t="str">
        <f aca="true">IF(OR(B336="",K336="Sold",K336="Donated"),"",TODAY()-B336)</f>
        <v/>
      </c>
      <c r="P336" s="25" t="str">
        <f aca="true">IF(OR(L336="",K336="Sold",K336="Donated"),"",TODAY()-L336)</f>
        <v/>
      </c>
      <c r="Q336" s="26" t="str">
        <f aca="false">IF(AND(K336="Listed",P336&lt;&gt;"",N(P336)&gt;Settings!$B$19),"STALE","")</f>
        <v/>
      </c>
      <c r="R336" s="27" t="str">
        <f aca="false">IF(Q336="STALE",COUNTIF($Q$4:Q336,"STALE"),"")</f>
        <v/>
      </c>
    </row>
    <row r="337" customFormat="false" ht="15" hidden="false" customHeight="false" outlineLevel="0" collapsed="false">
      <c r="A337" s="23" t="str">
        <f aca="false">IF(B337="","","SKU-"&amp;TEXT(ROW()-3,"0000"))</f>
        <v/>
      </c>
      <c r="B337" s="19"/>
      <c r="C337" s="10"/>
      <c r="D337" s="10"/>
      <c r="E337" s="10"/>
      <c r="F337" s="10"/>
      <c r="G337" s="10"/>
      <c r="H337" s="12"/>
      <c r="I337" s="12"/>
      <c r="J337" s="24" t="str">
        <f aca="false">IF(B337="","",N(H337)+N(I337))</f>
        <v/>
      </c>
      <c r="K337" s="10"/>
      <c r="L337" s="19"/>
      <c r="M337" s="12"/>
      <c r="N337" s="10"/>
      <c r="O337" s="25" t="str">
        <f aca="true">IF(OR(B337="",K337="Sold",K337="Donated"),"",TODAY()-B337)</f>
        <v/>
      </c>
      <c r="P337" s="25" t="str">
        <f aca="true">IF(OR(L337="",K337="Sold",K337="Donated"),"",TODAY()-L337)</f>
        <v/>
      </c>
      <c r="Q337" s="26" t="str">
        <f aca="false">IF(AND(K337="Listed",P337&lt;&gt;"",N(P337)&gt;Settings!$B$19),"STALE","")</f>
        <v/>
      </c>
      <c r="R337" s="27" t="str">
        <f aca="false">IF(Q337="STALE",COUNTIF($Q$4:Q337,"STALE"),"")</f>
        <v/>
      </c>
    </row>
    <row r="338" customFormat="false" ht="15" hidden="false" customHeight="false" outlineLevel="0" collapsed="false">
      <c r="A338" s="23" t="str">
        <f aca="false">IF(B338="","","SKU-"&amp;TEXT(ROW()-3,"0000"))</f>
        <v/>
      </c>
      <c r="B338" s="19"/>
      <c r="C338" s="10"/>
      <c r="D338" s="10"/>
      <c r="E338" s="10"/>
      <c r="F338" s="10"/>
      <c r="G338" s="10"/>
      <c r="H338" s="12"/>
      <c r="I338" s="12"/>
      <c r="J338" s="24" t="str">
        <f aca="false">IF(B338="","",N(H338)+N(I338))</f>
        <v/>
      </c>
      <c r="K338" s="10"/>
      <c r="L338" s="19"/>
      <c r="M338" s="12"/>
      <c r="N338" s="10"/>
      <c r="O338" s="25" t="str">
        <f aca="true">IF(OR(B338="",K338="Sold",K338="Donated"),"",TODAY()-B338)</f>
        <v/>
      </c>
      <c r="P338" s="25" t="str">
        <f aca="true">IF(OR(L338="",K338="Sold",K338="Donated"),"",TODAY()-L338)</f>
        <v/>
      </c>
      <c r="Q338" s="26" t="str">
        <f aca="false">IF(AND(K338="Listed",P338&lt;&gt;"",N(P338)&gt;Settings!$B$19),"STALE","")</f>
        <v/>
      </c>
      <c r="R338" s="27" t="str">
        <f aca="false">IF(Q338="STALE",COUNTIF($Q$4:Q338,"STALE"),"")</f>
        <v/>
      </c>
    </row>
    <row r="339" customFormat="false" ht="15" hidden="false" customHeight="false" outlineLevel="0" collapsed="false">
      <c r="A339" s="23" t="str">
        <f aca="false">IF(B339="","","SKU-"&amp;TEXT(ROW()-3,"0000"))</f>
        <v/>
      </c>
      <c r="B339" s="19"/>
      <c r="C339" s="10"/>
      <c r="D339" s="10"/>
      <c r="E339" s="10"/>
      <c r="F339" s="10"/>
      <c r="G339" s="10"/>
      <c r="H339" s="12"/>
      <c r="I339" s="12"/>
      <c r="J339" s="24" t="str">
        <f aca="false">IF(B339="","",N(H339)+N(I339))</f>
        <v/>
      </c>
      <c r="K339" s="10"/>
      <c r="L339" s="19"/>
      <c r="M339" s="12"/>
      <c r="N339" s="10"/>
      <c r="O339" s="25" t="str">
        <f aca="true">IF(OR(B339="",K339="Sold",K339="Donated"),"",TODAY()-B339)</f>
        <v/>
      </c>
      <c r="P339" s="25" t="str">
        <f aca="true">IF(OR(L339="",K339="Sold",K339="Donated"),"",TODAY()-L339)</f>
        <v/>
      </c>
      <c r="Q339" s="26" t="str">
        <f aca="false">IF(AND(K339="Listed",P339&lt;&gt;"",N(P339)&gt;Settings!$B$19),"STALE","")</f>
        <v/>
      </c>
      <c r="R339" s="27" t="str">
        <f aca="false">IF(Q339="STALE",COUNTIF($Q$4:Q339,"STALE"),"")</f>
        <v/>
      </c>
    </row>
    <row r="340" customFormat="false" ht="15" hidden="false" customHeight="false" outlineLevel="0" collapsed="false">
      <c r="A340" s="23" t="str">
        <f aca="false">IF(B340="","","SKU-"&amp;TEXT(ROW()-3,"0000"))</f>
        <v/>
      </c>
      <c r="B340" s="19"/>
      <c r="C340" s="10"/>
      <c r="D340" s="10"/>
      <c r="E340" s="10"/>
      <c r="F340" s="10"/>
      <c r="G340" s="10"/>
      <c r="H340" s="12"/>
      <c r="I340" s="12"/>
      <c r="J340" s="24" t="str">
        <f aca="false">IF(B340="","",N(H340)+N(I340))</f>
        <v/>
      </c>
      <c r="K340" s="10"/>
      <c r="L340" s="19"/>
      <c r="M340" s="12"/>
      <c r="N340" s="10"/>
      <c r="O340" s="25" t="str">
        <f aca="true">IF(OR(B340="",K340="Sold",K340="Donated"),"",TODAY()-B340)</f>
        <v/>
      </c>
      <c r="P340" s="25" t="str">
        <f aca="true">IF(OR(L340="",K340="Sold",K340="Donated"),"",TODAY()-L340)</f>
        <v/>
      </c>
      <c r="Q340" s="26" t="str">
        <f aca="false">IF(AND(K340="Listed",P340&lt;&gt;"",N(P340)&gt;Settings!$B$19),"STALE","")</f>
        <v/>
      </c>
      <c r="R340" s="27" t="str">
        <f aca="false">IF(Q340="STALE",COUNTIF($Q$4:Q340,"STALE"),"")</f>
        <v/>
      </c>
    </row>
    <row r="341" customFormat="false" ht="15" hidden="false" customHeight="false" outlineLevel="0" collapsed="false">
      <c r="A341" s="23" t="str">
        <f aca="false">IF(B341="","","SKU-"&amp;TEXT(ROW()-3,"0000"))</f>
        <v/>
      </c>
      <c r="B341" s="19"/>
      <c r="C341" s="10"/>
      <c r="D341" s="10"/>
      <c r="E341" s="10"/>
      <c r="F341" s="10"/>
      <c r="G341" s="10"/>
      <c r="H341" s="12"/>
      <c r="I341" s="12"/>
      <c r="J341" s="24" t="str">
        <f aca="false">IF(B341="","",N(H341)+N(I341))</f>
        <v/>
      </c>
      <c r="K341" s="10"/>
      <c r="L341" s="19"/>
      <c r="M341" s="12"/>
      <c r="N341" s="10"/>
      <c r="O341" s="25" t="str">
        <f aca="true">IF(OR(B341="",K341="Sold",K341="Donated"),"",TODAY()-B341)</f>
        <v/>
      </c>
      <c r="P341" s="25" t="str">
        <f aca="true">IF(OR(L341="",K341="Sold",K341="Donated"),"",TODAY()-L341)</f>
        <v/>
      </c>
      <c r="Q341" s="26" t="str">
        <f aca="false">IF(AND(K341="Listed",P341&lt;&gt;"",N(P341)&gt;Settings!$B$19),"STALE","")</f>
        <v/>
      </c>
      <c r="R341" s="27" t="str">
        <f aca="false">IF(Q341="STALE",COUNTIF($Q$4:Q341,"STALE"),"")</f>
        <v/>
      </c>
    </row>
    <row r="342" customFormat="false" ht="15" hidden="false" customHeight="false" outlineLevel="0" collapsed="false">
      <c r="A342" s="23" t="str">
        <f aca="false">IF(B342="","","SKU-"&amp;TEXT(ROW()-3,"0000"))</f>
        <v/>
      </c>
      <c r="B342" s="19"/>
      <c r="C342" s="10"/>
      <c r="D342" s="10"/>
      <c r="E342" s="10"/>
      <c r="F342" s="10"/>
      <c r="G342" s="10"/>
      <c r="H342" s="12"/>
      <c r="I342" s="12"/>
      <c r="J342" s="24" t="str">
        <f aca="false">IF(B342="","",N(H342)+N(I342))</f>
        <v/>
      </c>
      <c r="K342" s="10"/>
      <c r="L342" s="19"/>
      <c r="M342" s="12"/>
      <c r="N342" s="10"/>
      <c r="O342" s="25" t="str">
        <f aca="true">IF(OR(B342="",K342="Sold",K342="Donated"),"",TODAY()-B342)</f>
        <v/>
      </c>
      <c r="P342" s="25" t="str">
        <f aca="true">IF(OR(L342="",K342="Sold",K342="Donated"),"",TODAY()-L342)</f>
        <v/>
      </c>
      <c r="Q342" s="26" t="str">
        <f aca="false">IF(AND(K342="Listed",P342&lt;&gt;"",N(P342)&gt;Settings!$B$19),"STALE","")</f>
        <v/>
      </c>
      <c r="R342" s="27" t="str">
        <f aca="false">IF(Q342="STALE",COUNTIF($Q$4:Q342,"STALE"),"")</f>
        <v/>
      </c>
    </row>
    <row r="343" customFormat="false" ht="15" hidden="false" customHeight="false" outlineLevel="0" collapsed="false">
      <c r="A343" s="23" t="str">
        <f aca="false">IF(B343="","","SKU-"&amp;TEXT(ROW()-3,"0000"))</f>
        <v/>
      </c>
      <c r="B343" s="19"/>
      <c r="C343" s="10"/>
      <c r="D343" s="10"/>
      <c r="E343" s="10"/>
      <c r="F343" s="10"/>
      <c r="G343" s="10"/>
      <c r="H343" s="12"/>
      <c r="I343" s="12"/>
      <c r="J343" s="24" t="str">
        <f aca="false">IF(B343="","",N(H343)+N(I343))</f>
        <v/>
      </c>
      <c r="K343" s="10"/>
      <c r="L343" s="19"/>
      <c r="M343" s="12"/>
      <c r="N343" s="10"/>
      <c r="O343" s="25" t="str">
        <f aca="true">IF(OR(B343="",K343="Sold",K343="Donated"),"",TODAY()-B343)</f>
        <v/>
      </c>
      <c r="P343" s="25" t="str">
        <f aca="true">IF(OR(L343="",K343="Sold",K343="Donated"),"",TODAY()-L343)</f>
        <v/>
      </c>
      <c r="Q343" s="26" t="str">
        <f aca="false">IF(AND(K343="Listed",P343&lt;&gt;"",N(P343)&gt;Settings!$B$19),"STALE","")</f>
        <v/>
      </c>
      <c r="R343" s="27" t="str">
        <f aca="false">IF(Q343="STALE",COUNTIF($Q$4:Q343,"STALE"),"")</f>
        <v/>
      </c>
    </row>
    <row r="344" customFormat="false" ht="15" hidden="false" customHeight="false" outlineLevel="0" collapsed="false">
      <c r="A344" s="23" t="str">
        <f aca="false">IF(B344="","","SKU-"&amp;TEXT(ROW()-3,"0000"))</f>
        <v/>
      </c>
      <c r="B344" s="19"/>
      <c r="C344" s="10"/>
      <c r="D344" s="10"/>
      <c r="E344" s="10"/>
      <c r="F344" s="10"/>
      <c r="G344" s="10"/>
      <c r="H344" s="12"/>
      <c r="I344" s="12"/>
      <c r="J344" s="24" t="str">
        <f aca="false">IF(B344="","",N(H344)+N(I344))</f>
        <v/>
      </c>
      <c r="K344" s="10"/>
      <c r="L344" s="19"/>
      <c r="M344" s="12"/>
      <c r="N344" s="10"/>
      <c r="O344" s="25" t="str">
        <f aca="true">IF(OR(B344="",K344="Sold",K344="Donated"),"",TODAY()-B344)</f>
        <v/>
      </c>
      <c r="P344" s="25" t="str">
        <f aca="true">IF(OR(L344="",K344="Sold",K344="Donated"),"",TODAY()-L344)</f>
        <v/>
      </c>
      <c r="Q344" s="26" t="str">
        <f aca="false">IF(AND(K344="Listed",P344&lt;&gt;"",N(P344)&gt;Settings!$B$19),"STALE","")</f>
        <v/>
      </c>
      <c r="R344" s="27" t="str">
        <f aca="false">IF(Q344="STALE",COUNTIF($Q$4:Q344,"STALE"),"")</f>
        <v/>
      </c>
    </row>
    <row r="345" customFormat="false" ht="15" hidden="false" customHeight="false" outlineLevel="0" collapsed="false">
      <c r="A345" s="23" t="str">
        <f aca="false">IF(B345="","","SKU-"&amp;TEXT(ROW()-3,"0000"))</f>
        <v/>
      </c>
      <c r="B345" s="19"/>
      <c r="C345" s="10"/>
      <c r="D345" s="10"/>
      <c r="E345" s="10"/>
      <c r="F345" s="10"/>
      <c r="G345" s="10"/>
      <c r="H345" s="12"/>
      <c r="I345" s="12"/>
      <c r="J345" s="24" t="str">
        <f aca="false">IF(B345="","",N(H345)+N(I345))</f>
        <v/>
      </c>
      <c r="K345" s="10"/>
      <c r="L345" s="19"/>
      <c r="M345" s="12"/>
      <c r="N345" s="10"/>
      <c r="O345" s="25" t="str">
        <f aca="true">IF(OR(B345="",K345="Sold",K345="Donated"),"",TODAY()-B345)</f>
        <v/>
      </c>
      <c r="P345" s="25" t="str">
        <f aca="true">IF(OR(L345="",K345="Sold",K345="Donated"),"",TODAY()-L345)</f>
        <v/>
      </c>
      <c r="Q345" s="26" t="str">
        <f aca="false">IF(AND(K345="Listed",P345&lt;&gt;"",N(P345)&gt;Settings!$B$19),"STALE","")</f>
        <v/>
      </c>
      <c r="R345" s="27" t="str">
        <f aca="false">IF(Q345="STALE",COUNTIF($Q$4:Q345,"STALE"),"")</f>
        <v/>
      </c>
    </row>
    <row r="346" customFormat="false" ht="15" hidden="false" customHeight="false" outlineLevel="0" collapsed="false">
      <c r="A346" s="23" t="str">
        <f aca="false">IF(B346="","","SKU-"&amp;TEXT(ROW()-3,"0000"))</f>
        <v/>
      </c>
      <c r="B346" s="19"/>
      <c r="C346" s="10"/>
      <c r="D346" s="10"/>
      <c r="E346" s="10"/>
      <c r="F346" s="10"/>
      <c r="G346" s="10"/>
      <c r="H346" s="12"/>
      <c r="I346" s="12"/>
      <c r="J346" s="24" t="str">
        <f aca="false">IF(B346="","",N(H346)+N(I346))</f>
        <v/>
      </c>
      <c r="K346" s="10"/>
      <c r="L346" s="19"/>
      <c r="M346" s="12"/>
      <c r="N346" s="10"/>
      <c r="O346" s="25" t="str">
        <f aca="true">IF(OR(B346="",K346="Sold",K346="Donated"),"",TODAY()-B346)</f>
        <v/>
      </c>
      <c r="P346" s="25" t="str">
        <f aca="true">IF(OR(L346="",K346="Sold",K346="Donated"),"",TODAY()-L346)</f>
        <v/>
      </c>
      <c r="Q346" s="26" t="str">
        <f aca="false">IF(AND(K346="Listed",P346&lt;&gt;"",N(P346)&gt;Settings!$B$19),"STALE","")</f>
        <v/>
      </c>
      <c r="R346" s="27" t="str">
        <f aca="false">IF(Q346="STALE",COUNTIF($Q$4:Q346,"STALE"),"")</f>
        <v/>
      </c>
    </row>
    <row r="347" customFormat="false" ht="15" hidden="false" customHeight="false" outlineLevel="0" collapsed="false">
      <c r="A347" s="23" t="str">
        <f aca="false">IF(B347="","","SKU-"&amp;TEXT(ROW()-3,"0000"))</f>
        <v/>
      </c>
      <c r="B347" s="19"/>
      <c r="C347" s="10"/>
      <c r="D347" s="10"/>
      <c r="E347" s="10"/>
      <c r="F347" s="10"/>
      <c r="G347" s="10"/>
      <c r="H347" s="12"/>
      <c r="I347" s="12"/>
      <c r="J347" s="24" t="str">
        <f aca="false">IF(B347="","",N(H347)+N(I347))</f>
        <v/>
      </c>
      <c r="K347" s="10"/>
      <c r="L347" s="19"/>
      <c r="M347" s="12"/>
      <c r="N347" s="10"/>
      <c r="O347" s="25" t="str">
        <f aca="true">IF(OR(B347="",K347="Sold",K347="Donated"),"",TODAY()-B347)</f>
        <v/>
      </c>
      <c r="P347" s="25" t="str">
        <f aca="true">IF(OR(L347="",K347="Sold",K347="Donated"),"",TODAY()-L347)</f>
        <v/>
      </c>
      <c r="Q347" s="26" t="str">
        <f aca="false">IF(AND(K347="Listed",P347&lt;&gt;"",N(P347)&gt;Settings!$B$19),"STALE","")</f>
        <v/>
      </c>
      <c r="R347" s="27" t="str">
        <f aca="false">IF(Q347="STALE",COUNTIF($Q$4:Q347,"STALE"),"")</f>
        <v/>
      </c>
    </row>
    <row r="348" customFormat="false" ht="15" hidden="false" customHeight="false" outlineLevel="0" collapsed="false">
      <c r="A348" s="23" t="str">
        <f aca="false">IF(B348="","","SKU-"&amp;TEXT(ROW()-3,"0000"))</f>
        <v/>
      </c>
      <c r="B348" s="19"/>
      <c r="C348" s="10"/>
      <c r="D348" s="10"/>
      <c r="E348" s="10"/>
      <c r="F348" s="10"/>
      <c r="G348" s="10"/>
      <c r="H348" s="12"/>
      <c r="I348" s="12"/>
      <c r="J348" s="24" t="str">
        <f aca="false">IF(B348="","",N(H348)+N(I348))</f>
        <v/>
      </c>
      <c r="K348" s="10"/>
      <c r="L348" s="19"/>
      <c r="M348" s="12"/>
      <c r="N348" s="10"/>
      <c r="O348" s="25" t="str">
        <f aca="true">IF(OR(B348="",K348="Sold",K348="Donated"),"",TODAY()-B348)</f>
        <v/>
      </c>
      <c r="P348" s="25" t="str">
        <f aca="true">IF(OR(L348="",K348="Sold",K348="Donated"),"",TODAY()-L348)</f>
        <v/>
      </c>
      <c r="Q348" s="26" t="str">
        <f aca="false">IF(AND(K348="Listed",P348&lt;&gt;"",N(P348)&gt;Settings!$B$19),"STALE","")</f>
        <v/>
      </c>
      <c r="R348" s="27" t="str">
        <f aca="false">IF(Q348="STALE",COUNTIF($Q$4:Q348,"STALE"),"")</f>
        <v/>
      </c>
    </row>
    <row r="349" customFormat="false" ht="15" hidden="false" customHeight="false" outlineLevel="0" collapsed="false">
      <c r="A349" s="23" t="str">
        <f aca="false">IF(B349="","","SKU-"&amp;TEXT(ROW()-3,"0000"))</f>
        <v/>
      </c>
      <c r="B349" s="19"/>
      <c r="C349" s="10"/>
      <c r="D349" s="10"/>
      <c r="E349" s="10"/>
      <c r="F349" s="10"/>
      <c r="G349" s="10"/>
      <c r="H349" s="12"/>
      <c r="I349" s="12"/>
      <c r="J349" s="24" t="str">
        <f aca="false">IF(B349="","",N(H349)+N(I349))</f>
        <v/>
      </c>
      <c r="K349" s="10"/>
      <c r="L349" s="19"/>
      <c r="M349" s="12"/>
      <c r="N349" s="10"/>
      <c r="O349" s="25" t="str">
        <f aca="true">IF(OR(B349="",K349="Sold",K349="Donated"),"",TODAY()-B349)</f>
        <v/>
      </c>
      <c r="P349" s="25" t="str">
        <f aca="true">IF(OR(L349="",K349="Sold",K349="Donated"),"",TODAY()-L349)</f>
        <v/>
      </c>
      <c r="Q349" s="26" t="str">
        <f aca="false">IF(AND(K349="Listed",P349&lt;&gt;"",N(P349)&gt;Settings!$B$19),"STALE","")</f>
        <v/>
      </c>
      <c r="R349" s="27" t="str">
        <f aca="false">IF(Q349="STALE",COUNTIF($Q$4:Q349,"STALE"),"")</f>
        <v/>
      </c>
    </row>
    <row r="350" customFormat="false" ht="15" hidden="false" customHeight="false" outlineLevel="0" collapsed="false">
      <c r="A350" s="23" t="str">
        <f aca="false">IF(B350="","","SKU-"&amp;TEXT(ROW()-3,"0000"))</f>
        <v/>
      </c>
      <c r="B350" s="19"/>
      <c r="C350" s="10"/>
      <c r="D350" s="10"/>
      <c r="E350" s="10"/>
      <c r="F350" s="10"/>
      <c r="G350" s="10"/>
      <c r="H350" s="12"/>
      <c r="I350" s="12"/>
      <c r="J350" s="24" t="str">
        <f aca="false">IF(B350="","",N(H350)+N(I350))</f>
        <v/>
      </c>
      <c r="K350" s="10"/>
      <c r="L350" s="19"/>
      <c r="M350" s="12"/>
      <c r="N350" s="10"/>
      <c r="O350" s="25" t="str">
        <f aca="true">IF(OR(B350="",K350="Sold",K350="Donated"),"",TODAY()-B350)</f>
        <v/>
      </c>
      <c r="P350" s="25" t="str">
        <f aca="true">IF(OR(L350="",K350="Sold",K350="Donated"),"",TODAY()-L350)</f>
        <v/>
      </c>
      <c r="Q350" s="26" t="str">
        <f aca="false">IF(AND(K350="Listed",P350&lt;&gt;"",N(P350)&gt;Settings!$B$19),"STALE","")</f>
        <v/>
      </c>
      <c r="R350" s="27" t="str">
        <f aca="false">IF(Q350="STALE",COUNTIF($Q$4:Q350,"STALE"),"")</f>
        <v/>
      </c>
    </row>
    <row r="351" customFormat="false" ht="15" hidden="false" customHeight="false" outlineLevel="0" collapsed="false">
      <c r="A351" s="23" t="str">
        <f aca="false">IF(B351="","","SKU-"&amp;TEXT(ROW()-3,"0000"))</f>
        <v/>
      </c>
      <c r="B351" s="19"/>
      <c r="C351" s="10"/>
      <c r="D351" s="10"/>
      <c r="E351" s="10"/>
      <c r="F351" s="10"/>
      <c r="G351" s="10"/>
      <c r="H351" s="12"/>
      <c r="I351" s="12"/>
      <c r="J351" s="24" t="str">
        <f aca="false">IF(B351="","",N(H351)+N(I351))</f>
        <v/>
      </c>
      <c r="K351" s="10"/>
      <c r="L351" s="19"/>
      <c r="M351" s="12"/>
      <c r="N351" s="10"/>
      <c r="O351" s="25" t="str">
        <f aca="true">IF(OR(B351="",K351="Sold",K351="Donated"),"",TODAY()-B351)</f>
        <v/>
      </c>
      <c r="P351" s="25" t="str">
        <f aca="true">IF(OR(L351="",K351="Sold",K351="Donated"),"",TODAY()-L351)</f>
        <v/>
      </c>
      <c r="Q351" s="26" t="str">
        <f aca="false">IF(AND(K351="Listed",P351&lt;&gt;"",N(P351)&gt;Settings!$B$19),"STALE","")</f>
        <v/>
      </c>
      <c r="R351" s="27" t="str">
        <f aca="false">IF(Q351="STALE",COUNTIF($Q$4:Q351,"STALE"),"")</f>
        <v/>
      </c>
    </row>
    <row r="352" customFormat="false" ht="15" hidden="false" customHeight="false" outlineLevel="0" collapsed="false">
      <c r="A352" s="23" t="str">
        <f aca="false">IF(B352="","","SKU-"&amp;TEXT(ROW()-3,"0000"))</f>
        <v/>
      </c>
      <c r="B352" s="19"/>
      <c r="C352" s="10"/>
      <c r="D352" s="10"/>
      <c r="E352" s="10"/>
      <c r="F352" s="10"/>
      <c r="G352" s="10"/>
      <c r="H352" s="12"/>
      <c r="I352" s="12"/>
      <c r="J352" s="24" t="str">
        <f aca="false">IF(B352="","",N(H352)+N(I352))</f>
        <v/>
      </c>
      <c r="K352" s="10"/>
      <c r="L352" s="19"/>
      <c r="M352" s="12"/>
      <c r="N352" s="10"/>
      <c r="O352" s="25" t="str">
        <f aca="true">IF(OR(B352="",K352="Sold",K352="Donated"),"",TODAY()-B352)</f>
        <v/>
      </c>
      <c r="P352" s="25" t="str">
        <f aca="true">IF(OR(L352="",K352="Sold",K352="Donated"),"",TODAY()-L352)</f>
        <v/>
      </c>
      <c r="Q352" s="26" t="str">
        <f aca="false">IF(AND(K352="Listed",P352&lt;&gt;"",N(P352)&gt;Settings!$B$19),"STALE","")</f>
        <v/>
      </c>
      <c r="R352" s="27" t="str">
        <f aca="false">IF(Q352="STALE",COUNTIF($Q$4:Q352,"STALE"),"")</f>
        <v/>
      </c>
    </row>
    <row r="353" customFormat="false" ht="15" hidden="false" customHeight="false" outlineLevel="0" collapsed="false">
      <c r="A353" s="23" t="str">
        <f aca="false">IF(B353="","","SKU-"&amp;TEXT(ROW()-3,"0000"))</f>
        <v/>
      </c>
      <c r="B353" s="19"/>
      <c r="C353" s="10"/>
      <c r="D353" s="10"/>
      <c r="E353" s="10"/>
      <c r="F353" s="10"/>
      <c r="G353" s="10"/>
      <c r="H353" s="12"/>
      <c r="I353" s="12"/>
      <c r="J353" s="24" t="str">
        <f aca="false">IF(B353="","",N(H353)+N(I353))</f>
        <v/>
      </c>
      <c r="K353" s="10"/>
      <c r="L353" s="19"/>
      <c r="M353" s="12"/>
      <c r="N353" s="10"/>
      <c r="O353" s="25" t="str">
        <f aca="true">IF(OR(B353="",K353="Sold",K353="Donated"),"",TODAY()-B353)</f>
        <v/>
      </c>
      <c r="P353" s="25" t="str">
        <f aca="true">IF(OR(L353="",K353="Sold",K353="Donated"),"",TODAY()-L353)</f>
        <v/>
      </c>
      <c r="Q353" s="26" t="str">
        <f aca="false">IF(AND(K353="Listed",P353&lt;&gt;"",N(P353)&gt;Settings!$B$19),"STALE","")</f>
        <v/>
      </c>
      <c r="R353" s="27" t="str">
        <f aca="false">IF(Q353="STALE",COUNTIF($Q$4:Q353,"STALE"),"")</f>
        <v/>
      </c>
    </row>
    <row r="354" customFormat="false" ht="15" hidden="false" customHeight="false" outlineLevel="0" collapsed="false">
      <c r="A354" s="23" t="str">
        <f aca="false">IF(B354="","","SKU-"&amp;TEXT(ROW()-3,"0000"))</f>
        <v/>
      </c>
      <c r="B354" s="19"/>
      <c r="C354" s="10"/>
      <c r="D354" s="10"/>
      <c r="E354" s="10"/>
      <c r="F354" s="10"/>
      <c r="G354" s="10"/>
      <c r="H354" s="12"/>
      <c r="I354" s="12"/>
      <c r="J354" s="24" t="str">
        <f aca="false">IF(B354="","",N(H354)+N(I354))</f>
        <v/>
      </c>
      <c r="K354" s="10"/>
      <c r="L354" s="19"/>
      <c r="M354" s="12"/>
      <c r="N354" s="10"/>
      <c r="O354" s="25" t="str">
        <f aca="true">IF(OR(B354="",K354="Sold",K354="Donated"),"",TODAY()-B354)</f>
        <v/>
      </c>
      <c r="P354" s="25" t="str">
        <f aca="true">IF(OR(L354="",K354="Sold",K354="Donated"),"",TODAY()-L354)</f>
        <v/>
      </c>
      <c r="Q354" s="26" t="str">
        <f aca="false">IF(AND(K354="Listed",P354&lt;&gt;"",N(P354)&gt;Settings!$B$19),"STALE","")</f>
        <v/>
      </c>
      <c r="R354" s="27" t="str">
        <f aca="false">IF(Q354="STALE",COUNTIF($Q$4:Q354,"STALE"),"")</f>
        <v/>
      </c>
    </row>
    <row r="355" customFormat="false" ht="15" hidden="false" customHeight="false" outlineLevel="0" collapsed="false">
      <c r="A355" s="23" t="str">
        <f aca="false">IF(B355="","","SKU-"&amp;TEXT(ROW()-3,"0000"))</f>
        <v/>
      </c>
      <c r="B355" s="19"/>
      <c r="C355" s="10"/>
      <c r="D355" s="10"/>
      <c r="E355" s="10"/>
      <c r="F355" s="10"/>
      <c r="G355" s="10"/>
      <c r="H355" s="12"/>
      <c r="I355" s="12"/>
      <c r="J355" s="24" t="str">
        <f aca="false">IF(B355="","",N(H355)+N(I355))</f>
        <v/>
      </c>
      <c r="K355" s="10"/>
      <c r="L355" s="19"/>
      <c r="M355" s="12"/>
      <c r="N355" s="10"/>
      <c r="O355" s="25" t="str">
        <f aca="true">IF(OR(B355="",K355="Sold",K355="Donated"),"",TODAY()-B355)</f>
        <v/>
      </c>
      <c r="P355" s="25" t="str">
        <f aca="true">IF(OR(L355="",K355="Sold",K355="Donated"),"",TODAY()-L355)</f>
        <v/>
      </c>
      <c r="Q355" s="26" t="str">
        <f aca="false">IF(AND(K355="Listed",P355&lt;&gt;"",N(P355)&gt;Settings!$B$19),"STALE","")</f>
        <v/>
      </c>
      <c r="R355" s="27" t="str">
        <f aca="false">IF(Q355="STALE",COUNTIF($Q$4:Q355,"STALE"),"")</f>
        <v/>
      </c>
    </row>
    <row r="356" customFormat="false" ht="15" hidden="false" customHeight="false" outlineLevel="0" collapsed="false">
      <c r="A356" s="23" t="str">
        <f aca="false">IF(B356="","","SKU-"&amp;TEXT(ROW()-3,"0000"))</f>
        <v/>
      </c>
      <c r="B356" s="19"/>
      <c r="C356" s="10"/>
      <c r="D356" s="10"/>
      <c r="E356" s="10"/>
      <c r="F356" s="10"/>
      <c r="G356" s="10"/>
      <c r="H356" s="12"/>
      <c r="I356" s="12"/>
      <c r="J356" s="24" t="str">
        <f aca="false">IF(B356="","",N(H356)+N(I356))</f>
        <v/>
      </c>
      <c r="K356" s="10"/>
      <c r="L356" s="19"/>
      <c r="M356" s="12"/>
      <c r="N356" s="10"/>
      <c r="O356" s="25" t="str">
        <f aca="true">IF(OR(B356="",K356="Sold",K356="Donated"),"",TODAY()-B356)</f>
        <v/>
      </c>
      <c r="P356" s="25" t="str">
        <f aca="true">IF(OR(L356="",K356="Sold",K356="Donated"),"",TODAY()-L356)</f>
        <v/>
      </c>
      <c r="Q356" s="26" t="str">
        <f aca="false">IF(AND(K356="Listed",P356&lt;&gt;"",N(P356)&gt;Settings!$B$19),"STALE","")</f>
        <v/>
      </c>
      <c r="R356" s="27" t="str">
        <f aca="false">IF(Q356="STALE",COUNTIF($Q$4:Q356,"STALE"),"")</f>
        <v/>
      </c>
    </row>
    <row r="357" customFormat="false" ht="15" hidden="false" customHeight="false" outlineLevel="0" collapsed="false">
      <c r="A357" s="23" t="str">
        <f aca="false">IF(B357="","","SKU-"&amp;TEXT(ROW()-3,"0000"))</f>
        <v/>
      </c>
      <c r="B357" s="19"/>
      <c r="C357" s="10"/>
      <c r="D357" s="10"/>
      <c r="E357" s="10"/>
      <c r="F357" s="10"/>
      <c r="G357" s="10"/>
      <c r="H357" s="12"/>
      <c r="I357" s="12"/>
      <c r="J357" s="24" t="str">
        <f aca="false">IF(B357="","",N(H357)+N(I357))</f>
        <v/>
      </c>
      <c r="K357" s="10"/>
      <c r="L357" s="19"/>
      <c r="M357" s="12"/>
      <c r="N357" s="10"/>
      <c r="O357" s="25" t="str">
        <f aca="true">IF(OR(B357="",K357="Sold",K357="Donated"),"",TODAY()-B357)</f>
        <v/>
      </c>
      <c r="P357" s="25" t="str">
        <f aca="true">IF(OR(L357="",K357="Sold",K357="Donated"),"",TODAY()-L357)</f>
        <v/>
      </c>
      <c r="Q357" s="26" t="str">
        <f aca="false">IF(AND(K357="Listed",P357&lt;&gt;"",N(P357)&gt;Settings!$B$19),"STALE","")</f>
        <v/>
      </c>
      <c r="R357" s="27" t="str">
        <f aca="false">IF(Q357="STALE",COUNTIF($Q$4:Q357,"STALE"),"")</f>
        <v/>
      </c>
    </row>
    <row r="358" customFormat="false" ht="15" hidden="false" customHeight="false" outlineLevel="0" collapsed="false">
      <c r="A358" s="23" t="str">
        <f aca="false">IF(B358="","","SKU-"&amp;TEXT(ROW()-3,"0000"))</f>
        <v/>
      </c>
      <c r="B358" s="19"/>
      <c r="C358" s="10"/>
      <c r="D358" s="10"/>
      <c r="E358" s="10"/>
      <c r="F358" s="10"/>
      <c r="G358" s="10"/>
      <c r="H358" s="12"/>
      <c r="I358" s="12"/>
      <c r="J358" s="24" t="str">
        <f aca="false">IF(B358="","",N(H358)+N(I358))</f>
        <v/>
      </c>
      <c r="K358" s="10"/>
      <c r="L358" s="19"/>
      <c r="M358" s="12"/>
      <c r="N358" s="10"/>
      <c r="O358" s="25" t="str">
        <f aca="true">IF(OR(B358="",K358="Sold",K358="Donated"),"",TODAY()-B358)</f>
        <v/>
      </c>
      <c r="P358" s="25" t="str">
        <f aca="true">IF(OR(L358="",K358="Sold",K358="Donated"),"",TODAY()-L358)</f>
        <v/>
      </c>
      <c r="Q358" s="26" t="str">
        <f aca="false">IF(AND(K358="Listed",P358&lt;&gt;"",N(P358)&gt;Settings!$B$19),"STALE","")</f>
        <v/>
      </c>
      <c r="R358" s="27" t="str">
        <f aca="false">IF(Q358="STALE",COUNTIF($Q$4:Q358,"STALE"),"")</f>
        <v/>
      </c>
    </row>
    <row r="359" customFormat="false" ht="15" hidden="false" customHeight="false" outlineLevel="0" collapsed="false">
      <c r="A359" s="23" t="str">
        <f aca="false">IF(B359="","","SKU-"&amp;TEXT(ROW()-3,"0000"))</f>
        <v/>
      </c>
      <c r="B359" s="19"/>
      <c r="C359" s="10"/>
      <c r="D359" s="10"/>
      <c r="E359" s="10"/>
      <c r="F359" s="10"/>
      <c r="G359" s="10"/>
      <c r="H359" s="12"/>
      <c r="I359" s="12"/>
      <c r="J359" s="24" t="str">
        <f aca="false">IF(B359="","",N(H359)+N(I359))</f>
        <v/>
      </c>
      <c r="K359" s="10"/>
      <c r="L359" s="19"/>
      <c r="M359" s="12"/>
      <c r="N359" s="10"/>
      <c r="O359" s="25" t="str">
        <f aca="true">IF(OR(B359="",K359="Sold",K359="Donated"),"",TODAY()-B359)</f>
        <v/>
      </c>
      <c r="P359" s="25" t="str">
        <f aca="true">IF(OR(L359="",K359="Sold",K359="Donated"),"",TODAY()-L359)</f>
        <v/>
      </c>
      <c r="Q359" s="26" t="str">
        <f aca="false">IF(AND(K359="Listed",P359&lt;&gt;"",N(P359)&gt;Settings!$B$19),"STALE","")</f>
        <v/>
      </c>
      <c r="R359" s="27" t="str">
        <f aca="false">IF(Q359="STALE",COUNTIF($Q$4:Q359,"STALE"),"")</f>
        <v/>
      </c>
    </row>
    <row r="360" customFormat="false" ht="15" hidden="false" customHeight="false" outlineLevel="0" collapsed="false">
      <c r="A360" s="23" t="str">
        <f aca="false">IF(B360="","","SKU-"&amp;TEXT(ROW()-3,"0000"))</f>
        <v/>
      </c>
      <c r="B360" s="19"/>
      <c r="C360" s="10"/>
      <c r="D360" s="10"/>
      <c r="E360" s="10"/>
      <c r="F360" s="10"/>
      <c r="G360" s="10"/>
      <c r="H360" s="12"/>
      <c r="I360" s="12"/>
      <c r="J360" s="24" t="str">
        <f aca="false">IF(B360="","",N(H360)+N(I360))</f>
        <v/>
      </c>
      <c r="K360" s="10"/>
      <c r="L360" s="19"/>
      <c r="M360" s="12"/>
      <c r="N360" s="10"/>
      <c r="O360" s="25" t="str">
        <f aca="true">IF(OR(B360="",K360="Sold",K360="Donated"),"",TODAY()-B360)</f>
        <v/>
      </c>
      <c r="P360" s="25" t="str">
        <f aca="true">IF(OR(L360="",K360="Sold",K360="Donated"),"",TODAY()-L360)</f>
        <v/>
      </c>
      <c r="Q360" s="26" t="str">
        <f aca="false">IF(AND(K360="Listed",P360&lt;&gt;"",N(P360)&gt;Settings!$B$19),"STALE","")</f>
        <v/>
      </c>
      <c r="R360" s="27" t="str">
        <f aca="false">IF(Q360="STALE",COUNTIF($Q$4:Q360,"STALE"),"")</f>
        <v/>
      </c>
    </row>
    <row r="361" customFormat="false" ht="15" hidden="false" customHeight="false" outlineLevel="0" collapsed="false">
      <c r="A361" s="23" t="str">
        <f aca="false">IF(B361="","","SKU-"&amp;TEXT(ROW()-3,"0000"))</f>
        <v/>
      </c>
      <c r="B361" s="19"/>
      <c r="C361" s="10"/>
      <c r="D361" s="10"/>
      <c r="E361" s="10"/>
      <c r="F361" s="10"/>
      <c r="G361" s="10"/>
      <c r="H361" s="12"/>
      <c r="I361" s="12"/>
      <c r="J361" s="24" t="str">
        <f aca="false">IF(B361="","",N(H361)+N(I361))</f>
        <v/>
      </c>
      <c r="K361" s="10"/>
      <c r="L361" s="19"/>
      <c r="M361" s="12"/>
      <c r="N361" s="10"/>
      <c r="O361" s="25" t="str">
        <f aca="true">IF(OR(B361="",K361="Sold",K361="Donated"),"",TODAY()-B361)</f>
        <v/>
      </c>
      <c r="P361" s="25" t="str">
        <f aca="true">IF(OR(L361="",K361="Sold",K361="Donated"),"",TODAY()-L361)</f>
        <v/>
      </c>
      <c r="Q361" s="26" t="str">
        <f aca="false">IF(AND(K361="Listed",P361&lt;&gt;"",N(P361)&gt;Settings!$B$19),"STALE","")</f>
        <v/>
      </c>
      <c r="R361" s="27" t="str">
        <f aca="false">IF(Q361="STALE",COUNTIF($Q$4:Q361,"STALE"),"")</f>
        <v/>
      </c>
    </row>
    <row r="362" customFormat="false" ht="15" hidden="false" customHeight="false" outlineLevel="0" collapsed="false">
      <c r="A362" s="23" t="str">
        <f aca="false">IF(B362="","","SKU-"&amp;TEXT(ROW()-3,"0000"))</f>
        <v/>
      </c>
      <c r="B362" s="19"/>
      <c r="C362" s="10"/>
      <c r="D362" s="10"/>
      <c r="E362" s="10"/>
      <c r="F362" s="10"/>
      <c r="G362" s="10"/>
      <c r="H362" s="12"/>
      <c r="I362" s="12"/>
      <c r="J362" s="24" t="str">
        <f aca="false">IF(B362="","",N(H362)+N(I362))</f>
        <v/>
      </c>
      <c r="K362" s="10"/>
      <c r="L362" s="19"/>
      <c r="M362" s="12"/>
      <c r="N362" s="10"/>
      <c r="O362" s="25" t="str">
        <f aca="true">IF(OR(B362="",K362="Sold",K362="Donated"),"",TODAY()-B362)</f>
        <v/>
      </c>
      <c r="P362" s="25" t="str">
        <f aca="true">IF(OR(L362="",K362="Sold",K362="Donated"),"",TODAY()-L362)</f>
        <v/>
      </c>
      <c r="Q362" s="26" t="str">
        <f aca="false">IF(AND(K362="Listed",P362&lt;&gt;"",N(P362)&gt;Settings!$B$19),"STALE","")</f>
        <v/>
      </c>
      <c r="R362" s="27" t="str">
        <f aca="false">IF(Q362="STALE",COUNTIF($Q$4:Q362,"STALE"),"")</f>
        <v/>
      </c>
    </row>
    <row r="363" customFormat="false" ht="15" hidden="false" customHeight="false" outlineLevel="0" collapsed="false">
      <c r="A363" s="23" t="str">
        <f aca="false">IF(B363="","","SKU-"&amp;TEXT(ROW()-3,"0000"))</f>
        <v/>
      </c>
      <c r="B363" s="19"/>
      <c r="C363" s="10"/>
      <c r="D363" s="10"/>
      <c r="E363" s="10"/>
      <c r="F363" s="10"/>
      <c r="G363" s="10"/>
      <c r="H363" s="12"/>
      <c r="I363" s="12"/>
      <c r="J363" s="24" t="str">
        <f aca="false">IF(B363="","",N(H363)+N(I363))</f>
        <v/>
      </c>
      <c r="K363" s="10"/>
      <c r="L363" s="19"/>
      <c r="M363" s="12"/>
      <c r="N363" s="10"/>
      <c r="O363" s="25" t="str">
        <f aca="true">IF(OR(B363="",K363="Sold",K363="Donated"),"",TODAY()-B363)</f>
        <v/>
      </c>
      <c r="P363" s="25" t="str">
        <f aca="true">IF(OR(L363="",K363="Sold",K363="Donated"),"",TODAY()-L363)</f>
        <v/>
      </c>
      <c r="Q363" s="26" t="str">
        <f aca="false">IF(AND(K363="Listed",P363&lt;&gt;"",N(P363)&gt;Settings!$B$19),"STALE","")</f>
        <v/>
      </c>
      <c r="R363" s="27" t="str">
        <f aca="false">IF(Q363="STALE",COUNTIF($Q$4:Q363,"STALE"),"")</f>
        <v/>
      </c>
    </row>
    <row r="364" customFormat="false" ht="15" hidden="false" customHeight="false" outlineLevel="0" collapsed="false">
      <c r="A364" s="23" t="str">
        <f aca="false">IF(B364="","","SKU-"&amp;TEXT(ROW()-3,"0000"))</f>
        <v/>
      </c>
      <c r="B364" s="19"/>
      <c r="C364" s="10"/>
      <c r="D364" s="10"/>
      <c r="E364" s="10"/>
      <c r="F364" s="10"/>
      <c r="G364" s="10"/>
      <c r="H364" s="12"/>
      <c r="I364" s="12"/>
      <c r="J364" s="24" t="str">
        <f aca="false">IF(B364="","",N(H364)+N(I364))</f>
        <v/>
      </c>
      <c r="K364" s="10"/>
      <c r="L364" s="19"/>
      <c r="M364" s="12"/>
      <c r="N364" s="10"/>
      <c r="O364" s="25" t="str">
        <f aca="true">IF(OR(B364="",K364="Sold",K364="Donated"),"",TODAY()-B364)</f>
        <v/>
      </c>
      <c r="P364" s="25" t="str">
        <f aca="true">IF(OR(L364="",K364="Sold",K364="Donated"),"",TODAY()-L364)</f>
        <v/>
      </c>
      <c r="Q364" s="26" t="str">
        <f aca="false">IF(AND(K364="Listed",P364&lt;&gt;"",N(P364)&gt;Settings!$B$19),"STALE","")</f>
        <v/>
      </c>
      <c r="R364" s="27" t="str">
        <f aca="false">IF(Q364="STALE",COUNTIF($Q$4:Q364,"STALE"),"")</f>
        <v/>
      </c>
    </row>
    <row r="365" customFormat="false" ht="15" hidden="false" customHeight="false" outlineLevel="0" collapsed="false">
      <c r="A365" s="23" t="str">
        <f aca="false">IF(B365="","","SKU-"&amp;TEXT(ROW()-3,"0000"))</f>
        <v/>
      </c>
      <c r="B365" s="19"/>
      <c r="C365" s="10"/>
      <c r="D365" s="10"/>
      <c r="E365" s="10"/>
      <c r="F365" s="10"/>
      <c r="G365" s="10"/>
      <c r="H365" s="12"/>
      <c r="I365" s="12"/>
      <c r="J365" s="24" t="str">
        <f aca="false">IF(B365="","",N(H365)+N(I365))</f>
        <v/>
      </c>
      <c r="K365" s="10"/>
      <c r="L365" s="19"/>
      <c r="M365" s="12"/>
      <c r="N365" s="10"/>
      <c r="O365" s="25" t="str">
        <f aca="true">IF(OR(B365="",K365="Sold",K365="Donated"),"",TODAY()-B365)</f>
        <v/>
      </c>
      <c r="P365" s="25" t="str">
        <f aca="true">IF(OR(L365="",K365="Sold",K365="Donated"),"",TODAY()-L365)</f>
        <v/>
      </c>
      <c r="Q365" s="26" t="str">
        <f aca="false">IF(AND(K365="Listed",P365&lt;&gt;"",N(P365)&gt;Settings!$B$19),"STALE","")</f>
        <v/>
      </c>
      <c r="R365" s="27" t="str">
        <f aca="false">IF(Q365="STALE",COUNTIF($Q$4:Q365,"STALE"),"")</f>
        <v/>
      </c>
    </row>
    <row r="366" customFormat="false" ht="15" hidden="false" customHeight="false" outlineLevel="0" collapsed="false">
      <c r="A366" s="23" t="str">
        <f aca="false">IF(B366="","","SKU-"&amp;TEXT(ROW()-3,"0000"))</f>
        <v/>
      </c>
      <c r="B366" s="19"/>
      <c r="C366" s="10"/>
      <c r="D366" s="10"/>
      <c r="E366" s="10"/>
      <c r="F366" s="10"/>
      <c r="G366" s="10"/>
      <c r="H366" s="12"/>
      <c r="I366" s="12"/>
      <c r="J366" s="24" t="str">
        <f aca="false">IF(B366="","",N(H366)+N(I366))</f>
        <v/>
      </c>
      <c r="K366" s="10"/>
      <c r="L366" s="19"/>
      <c r="M366" s="12"/>
      <c r="N366" s="10"/>
      <c r="O366" s="25" t="str">
        <f aca="true">IF(OR(B366="",K366="Sold",K366="Donated"),"",TODAY()-B366)</f>
        <v/>
      </c>
      <c r="P366" s="25" t="str">
        <f aca="true">IF(OR(L366="",K366="Sold",K366="Donated"),"",TODAY()-L366)</f>
        <v/>
      </c>
      <c r="Q366" s="26" t="str">
        <f aca="false">IF(AND(K366="Listed",P366&lt;&gt;"",N(P366)&gt;Settings!$B$19),"STALE","")</f>
        <v/>
      </c>
      <c r="R366" s="27" t="str">
        <f aca="false">IF(Q366="STALE",COUNTIF($Q$4:Q366,"STALE"),"")</f>
        <v/>
      </c>
    </row>
    <row r="367" customFormat="false" ht="15" hidden="false" customHeight="false" outlineLevel="0" collapsed="false">
      <c r="A367" s="23" t="str">
        <f aca="false">IF(B367="","","SKU-"&amp;TEXT(ROW()-3,"0000"))</f>
        <v/>
      </c>
      <c r="B367" s="19"/>
      <c r="C367" s="10"/>
      <c r="D367" s="10"/>
      <c r="E367" s="10"/>
      <c r="F367" s="10"/>
      <c r="G367" s="10"/>
      <c r="H367" s="12"/>
      <c r="I367" s="12"/>
      <c r="J367" s="24" t="str">
        <f aca="false">IF(B367="","",N(H367)+N(I367))</f>
        <v/>
      </c>
      <c r="K367" s="10"/>
      <c r="L367" s="19"/>
      <c r="M367" s="12"/>
      <c r="N367" s="10"/>
      <c r="O367" s="25" t="str">
        <f aca="true">IF(OR(B367="",K367="Sold",K367="Donated"),"",TODAY()-B367)</f>
        <v/>
      </c>
      <c r="P367" s="25" t="str">
        <f aca="true">IF(OR(L367="",K367="Sold",K367="Donated"),"",TODAY()-L367)</f>
        <v/>
      </c>
      <c r="Q367" s="26" t="str">
        <f aca="false">IF(AND(K367="Listed",P367&lt;&gt;"",N(P367)&gt;Settings!$B$19),"STALE","")</f>
        <v/>
      </c>
      <c r="R367" s="27" t="str">
        <f aca="false">IF(Q367="STALE",COUNTIF($Q$4:Q367,"STALE"),"")</f>
        <v/>
      </c>
    </row>
    <row r="368" customFormat="false" ht="15" hidden="false" customHeight="false" outlineLevel="0" collapsed="false">
      <c r="A368" s="23" t="str">
        <f aca="false">IF(B368="","","SKU-"&amp;TEXT(ROW()-3,"0000"))</f>
        <v/>
      </c>
      <c r="B368" s="19"/>
      <c r="C368" s="10"/>
      <c r="D368" s="10"/>
      <c r="E368" s="10"/>
      <c r="F368" s="10"/>
      <c r="G368" s="10"/>
      <c r="H368" s="12"/>
      <c r="I368" s="12"/>
      <c r="J368" s="24" t="str">
        <f aca="false">IF(B368="","",N(H368)+N(I368))</f>
        <v/>
      </c>
      <c r="K368" s="10"/>
      <c r="L368" s="19"/>
      <c r="M368" s="12"/>
      <c r="N368" s="10"/>
      <c r="O368" s="25" t="str">
        <f aca="true">IF(OR(B368="",K368="Sold",K368="Donated"),"",TODAY()-B368)</f>
        <v/>
      </c>
      <c r="P368" s="25" t="str">
        <f aca="true">IF(OR(L368="",K368="Sold",K368="Donated"),"",TODAY()-L368)</f>
        <v/>
      </c>
      <c r="Q368" s="26" t="str">
        <f aca="false">IF(AND(K368="Listed",P368&lt;&gt;"",N(P368)&gt;Settings!$B$19),"STALE","")</f>
        <v/>
      </c>
      <c r="R368" s="27" t="str">
        <f aca="false">IF(Q368="STALE",COUNTIF($Q$4:Q368,"STALE"),"")</f>
        <v/>
      </c>
    </row>
    <row r="369" customFormat="false" ht="15" hidden="false" customHeight="false" outlineLevel="0" collapsed="false">
      <c r="A369" s="23" t="str">
        <f aca="false">IF(B369="","","SKU-"&amp;TEXT(ROW()-3,"0000"))</f>
        <v/>
      </c>
      <c r="B369" s="19"/>
      <c r="C369" s="10"/>
      <c r="D369" s="10"/>
      <c r="E369" s="10"/>
      <c r="F369" s="10"/>
      <c r="G369" s="10"/>
      <c r="H369" s="12"/>
      <c r="I369" s="12"/>
      <c r="J369" s="24" t="str">
        <f aca="false">IF(B369="","",N(H369)+N(I369))</f>
        <v/>
      </c>
      <c r="K369" s="10"/>
      <c r="L369" s="19"/>
      <c r="M369" s="12"/>
      <c r="N369" s="10"/>
      <c r="O369" s="25" t="str">
        <f aca="true">IF(OR(B369="",K369="Sold",K369="Donated"),"",TODAY()-B369)</f>
        <v/>
      </c>
      <c r="P369" s="25" t="str">
        <f aca="true">IF(OR(L369="",K369="Sold",K369="Donated"),"",TODAY()-L369)</f>
        <v/>
      </c>
      <c r="Q369" s="26" t="str">
        <f aca="false">IF(AND(K369="Listed",P369&lt;&gt;"",N(P369)&gt;Settings!$B$19),"STALE","")</f>
        <v/>
      </c>
      <c r="R369" s="27" t="str">
        <f aca="false">IF(Q369="STALE",COUNTIF($Q$4:Q369,"STALE"),"")</f>
        <v/>
      </c>
    </row>
    <row r="370" customFormat="false" ht="15" hidden="false" customHeight="false" outlineLevel="0" collapsed="false">
      <c r="A370" s="23" t="str">
        <f aca="false">IF(B370="","","SKU-"&amp;TEXT(ROW()-3,"0000"))</f>
        <v/>
      </c>
      <c r="B370" s="19"/>
      <c r="C370" s="10"/>
      <c r="D370" s="10"/>
      <c r="E370" s="10"/>
      <c r="F370" s="10"/>
      <c r="G370" s="10"/>
      <c r="H370" s="12"/>
      <c r="I370" s="12"/>
      <c r="J370" s="24" t="str">
        <f aca="false">IF(B370="","",N(H370)+N(I370))</f>
        <v/>
      </c>
      <c r="K370" s="10"/>
      <c r="L370" s="19"/>
      <c r="M370" s="12"/>
      <c r="N370" s="10"/>
      <c r="O370" s="25" t="str">
        <f aca="true">IF(OR(B370="",K370="Sold",K370="Donated"),"",TODAY()-B370)</f>
        <v/>
      </c>
      <c r="P370" s="25" t="str">
        <f aca="true">IF(OR(L370="",K370="Sold",K370="Donated"),"",TODAY()-L370)</f>
        <v/>
      </c>
      <c r="Q370" s="26" t="str">
        <f aca="false">IF(AND(K370="Listed",P370&lt;&gt;"",N(P370)&gt;Settings!$B$19),"STALE","")</f>
        <v/>
      </c>
      <c r="R370" s="27" t="str">
        <f aca="false">IF(Q370="STALE",COUNTIF($Q$4:Q370,"STALE"),"")</f>
        <v/>
      </c>
    </row>
    <row r="371" customFormat="false" ht="15" hidden="false" customHeight="false" outlineLevel="0" collapsed="false">
      <c r="A371" s="23" t="str">
        <f aca="false">IF(B371="","","SKU-"&amp;TEXT(ROW()-3,"0000"))</f>
        <v/>
      </c>
      <c r="B371" s="19"/>
      <c r="C371" s="10"/>
      <c r="D371" s="10"/>
      <c r="E371" s="10"/>
      <c r="F371" s="10"/>
      <c r="G371" s="10"/>
      <c r="H371" s="12"/>
      <c r="I371" s="12"/>
      <c r="J371" s="24" t="str">
        <f aca="false">IF(B371="","",N(H371)+N(I371))</f>
        <v/>
      </c>
      <c r="K371" s="10"/>
      <c r="L371" s="19"/>
      <c r="M371" s="12"/>
      <c r="N371" s="10"/>
      <c r="O371" s="25" t="str">
        <f aca="true">IF(OR(B371="",K371="Sold",K371="Donated"),"",TODAY()-B371)</f>
        <v/>
      </c>
      <c r="P371" s="25" t="str">
        <f aca="true">IF(OR(L371="",K371="Sold",K371="Donated"),"",TODAY()-L371)</f>
        <v/>
      </c>
      <c r="Q371" s="26" t="str">
        <f aca="false">IF(AND(K371="Listed",P371&lt;&gt;"",N(P371)&gt;Settings!$B$19),"STALE","")</f>
        <v/>
      </c>
      <c r="R371" s="27" t="str">
        <f aca="false">IF(Q371="STALE",COUNTIF($Q$4:Q371,"STALE"),"")</f>
        <v/>
      </c>
    </row>
    <row r="372" customFormat="false" ht="15" hidden="false" customHeight="false" outlineLevel="0" collapsed="false">
      <c r="A372" s="23" t="str">
        <f aca="false">IF(B372="","","SKU-"&amp;TEXT(ROW()-3,"0000"))</f>
        <v/>
      </c>
      <c r="B372" s="19"/>
      <c r="C372" s="10"/>
      <c r="D372" s="10"/>
      <c r="E372" s="10"/>
      <c r="F372" s="10"/>
      <c r="G372" s="10"/>
      <c r="H372" s="12"/>
      <c r="I372" s="12"/>
      <c r="J372" s="24" t="str">
        <f aca="false">IF(B372="","",N(H372)+N(I372))</f>
        <v/>
      </c>
      <c r="K372" s="10"/>
      <c r="L372" s="19"/>
      <c r="M372" s="12"/>
      <c r="N372" s="10"/>
      <c r="O372" s="25" t="str">
        <f aca="true">IF(OR(B372="",K372="Sold",K372="Donated"),"",TODAY()-B372)</f>
        <v/>
      </c>
      <c r="P372" s="25" t="str">
        <f aca="true">IF(OR(L372="",K372="Sold",K372="Donated"),"",TODAY()-L372)</f>
        <v/>
      </c>
      <c r="Q372" s="26" t="str">
        <f aca="false">IF(AND(K372="Listed",P372&lt;&gt;"",N(P372)&gt;Settings!$B$19),"STALE","")</f>
        <v/>
      </c>
      <c r="R372" s="27" t="str">
        <f aca="false">IF(Q372="STALE",COUNTIF($Q$4:Q372,"STALE"),"")</f>
        <v/>
      </c>
    </row>
    <row r="373" customFormat="false" ht="15" hidden="false" customHeight="false" outlineLevel="0" collapsed="false">
      <c r="A373" s="23" t="str">
        <f aca="false">IF(B373="","","SKU-"&amp;TEXT(ROW()-3,"0000"))</f>
        <v/>
      </c>
      <c r="B373" s="19"/>
      <c r="C373" s="10"/>
      <c r="D373" s="10"/>
      <c r="E373" s="10"/>
      <c r="F373" s="10"/>
      <c r="G373" s="10"/>
      <c r="H373" s="12"/>
      <c r="I373" s="12"/>
      <c r="J373" s="24" t="str">
        <f aca="false">IF(B373="","",N(H373)+N(I373))</f>
        <v/>
      </c>
      <c r="K373" s="10"/>
      <c r="L373" s="19"/>
      <c r="M373" s="12"/>
      <c r="N373" s="10"/>
      <c r="O373" s="25" t="str">
        <f aca="true">IF(OR(B373="",K373="Sold",K373="Donated"),"",TODAY()-B373)</f>
        <v/>
      </c>
      <c r="P373" s="25" t="str">
        <f aca="true">IF(OR(L373="",K373="Sold",K373="Donated"),"",TODAY()-L373)</f>
        <v/>
      </c>
      <c r="Q373" s="26" t="str">
        <f aca="false">IF(AND(K373="Listed",P373&lt;&gt;"",N(P373)&gt;Settings!$B$19),"STALE","")</f>
        <v/>
      </c>
      <c r="R373" s="27" t="str">
        <f aca="false">IF(Q373="STALE",COUNTIF($Q$4:Q373,"STALE"),"")</f>
        <v/>
      </c>
    </row>
    <row r="374" customFormat="false" ht="15" hidden="false" customHeight="false" outlineLevel="0" collapsed="false">
      <c r="A374" s="23" t="str">
        <f aca="false">IF(B374="","","SKU-"&amp;TEXT(ROW()-3,"0000"))</f>
        <v/>
      </c>
      <c r="B374" s="19"/>
      <c r="C374" s="10"/>
      <c r="D374" s="10"/>
      <c r="E374" s="10"/>
      <c r="F374" s="10"/>
      <c r="G374" s="10"/>
      <c r="H374" s="12"/>
      <c r="I374" s="12"/>
      <c r="J374" s="24" t="str">
        <f aca="false">IF(B374="","",N(H374)+N(I374))</f>
        <v/>
      </c>
      <c r="K374" s="10"/>
      <c r="L374" s="19"/>
      <c r="M374" s="12"/>
      <c r="N374" s="10"/>
      <c r="O374" s="25" t="str">
        <f aca="true">IF(OR(B374="",K374="Sold",K374="Donated"),"",TODAY()-B374)</f>
        <v/>
      </c>
      <c r="P374" s="25" t="str">
        <f aca="true">IF(OR(L374="",K374="Sold",K374="Donated"),"",TODAY()-L374)</f>
        <v/>
      </c>
      <c r="Q374" s="26" t="str">
        <f aca="false">IF(AND(K374="Listed",P374&lt;&gt;"",N(P374)&gt;Settings!$B$19),"STALE","")</f>
        <v/>
      </c>
      <c r="R374" s="27" t="str">
        <f aca="false">IF(Q374="STALE",COUNTIF($Q$4:Q374,"STALE"),"")</f>
        <v/>
      </c>
    </row>
    <row r="375" customFormat="false" ht="15" hidden="false" customHeight="false" outlineLevel="0" collapsed="false">
      <c r="A375" s="23" t="str">
        <f aca="false">IF(B375="","","SKU-"&amp;TEXT(ROW()-3,"0000"))</f>
        <v/>
      </c>
      <c r="B375" s="19"/>
      <c r="C375" s="10"/>
      <c r="D375" s="10"/>
      <c r="E375" s="10"/>
      <c r="F375" s="10"/>
      <c r="G375" s="10"/>
      <c r="H375" s="12"/>
      <c r="I375" s="12"/>
      <c r="J375" s="24" t="str">
        <f aca="false">IF(B375="","",N(H375)+N(I375))</f>
        <v/>
      </c>
      <c r="K375" s="10"/>
      <c r="L375" s="19"/>
      <c r="M375" s="12"/>
      <c r="N375" s="10"/>
      <c r="O375" s="25" t="str">
        <f aca="true">IF(OR(B375="",K375="Sold",K375="Donated"),"",TODAY()-B375)</f>
        <v/>
      </c>
      <c r="P375" s="25" t="str">
        <f aca="true">IF(OR(L375="",K375="Sold",K375="Donated"),"",TODAY()-L375)</f>
        <v/>
      </c>
      <c r="Q375" s="26" t="str">
        <f aca="false">IF(AND(K375="Listed",P375&lt;&gt;"",N(P375)&gt;Settings!$B$19),"STALE","")</f>
        <v/>
      </c>
      <c r="R375" s="27" t="str">
        <f aca="false">IF(Q375="STALE",COUNTIF($Q$4:Q375,"STALE"),"")</f>
        <v/>
      </c>
    </row>
    <row r="376" customFormat="false" ht="15" hidden="false" customHeight="false" outlineLevel="0" collapsed="false">
      <c r="A376" s="23" t="str">
        <f aca="false">IF(B376="","","SKU-"&amp;TEXT(ROW()-3,"0000"))</f>
        <v/>
      </c>
      <c r="B376" s="19"/>
      <c r="C376" s="10"/>
      <c r="D376" s="10"/>
      <c r="E376" s="10"/>
      <c r="F376" s="10"/>
      <c r="G376" s="10"/>
      <c r="H376" s="12"/>
      <c r="I376" s="12"/>
      <c r="J376" s="24" t="str">
        <f aca="false">IF(B376="","",N(H376)+N(I376))</f>
        <v/>
      </c>
      <c r="K376" s="10"/>
      <c r="L376" s="19"/>
      <c r="M376" s="12"/>
      <c r="N376" s="10"/>
      <c r="O376" s="25" t="str">
        <f aca="true">IF(OR(B376="",K376="Sold",K376="Donated"),"",TODAY()-B376)</f>
        <v/>
      </c>
      <c r="P376" s="25" t="str">
        <f aca="true">IF(OR(L376="",K376="Sold",K376="Donated"),"",TODAY()-L376)</f>
        <v/>
      </c>
      <c r="Q376" s="26" t="str">
        <f aca="false">IF(AND(K376="Listed",P376&lt;&gt;"",N(P376)&gt;Settings!$B$19),"STALE","")</f>
        <v/>
      </c>
      <c r="R376" s="27" t="str">
        <f aca="false">IF(Q376="STALE",COUNTIF($Q$4:Q376,"STALE"),"")</f>
        <v/>
      </c>
    </row>
    <row r="377" customFormat="false" ht="15" hidden="false" customHeight="false" outlineLevel="0" collapsed="false">
      <c r="A377" s="23" t="str">
        <f aca="false">IF(B377="","","SKU-"&amp;TEXT(ROW()-3,"0000"))</f>
        <v/>
      </c>
      <c r="B377" s="19"/>
      <c r="C377" s="10"/>
      <c r="D377" s="10"/>
      <c r="E377" s="10"/>
      <c r="F377" s="10"/>
      <c r="G377" s="10"/>
      <c r="H377" s="12"/>
      <c r="I377" s="12"/>
      <c r="J377" s="24" t="str">
        <f aca="false">IF(B377="","",N(H377)+N(I377))</f>
        <v/>
      </c>
      <c r="K377" s="10"/>
      <c r="L377" s="19"/>
      <c r="M377" s="12"/>
      <c r="N377" s="10"/>
      <c r="O377" s="25" t="str">
        <f aca="true">IF(OR(B377="",K377="Sold",K377="Donated"),"",TODAY()-B377)</f>
        <v/>
      </c>
      <c r="P377" s="25" t="str">
        <f aca="true">IF(OR(L377="",K377="Sold",K377="Donated"),"",TODAY()-L377)</f>
        <v/>
      </c>
      <c r="Q377" s="26" t="str">
        <f aca="false">IF(AND(K377="Listed",P377&lt;&gt;"",N(P377)&gt;Settings!$B$19),"STALE","")</f>
        <v/>
      </c>
      <c r="R377" s="27" t="str">
        <f aca="false">IF(Q377="STALE",COUNTIF($Q$4:Q377,"STALE"),"")</f>
        <v/>
      </c>
    </row>
    <row r="378" customFormat="false" ht="15" hidden="false" customHeight="false" outlineLevel="0" collapsed="false">
      <c r="A378" s="23" t="str">
        <f aca="false">IF(B378="","","SKU-"&amp;TEXT(ROW()-3,"0000"))</f>
        <v/>
      </c>
      <c r="B378" s="19"/>
      <c r="C378" s="10"/>
      <c r="D378" s="10"/>
      <c r="E378" s="10"/>
      <c r="F378" s="10"/>
      <c r="G378" s="10"/>
      <c r="H378" s="12"/>
      <c r="I378" s="12"/>
      <c r="J378" s="24" t="str">
        <f aca="false">IF(B378="","",N(H378)+N(I378))</f>
        <v/>
      </c>
      <c r="K378" s="10"/>
      <c r="L378" s="19"/>
      <c r="M378" s="12"/>
      <c r="N378" s="10"/>
      <c r="O378" s="25" t="str">
        <f aca="true">IF(OR(B378="",K378="Sold",K378="Donated"),"",TODAY()-B378)</f>
        <v/>
      </c>
      <c r="P378" s="25" t="str">
        <f aca="true">IF(OR(L378="",K378="Sold",K378="Donated"),"",TODAY()-L378)</f>
        <v/>
      </c>
      <c r="Q378" s="26" t="str">
        <f aca="false">IF(AND(K378="Listed",P378&lt;&gt;"",N(P378)&gt;Settings!$B$19),"STALE","")</f>
        <v/>
      </c>
      <c r="R378" s="27" t="str">
        <f aca="false">IF(Q378="STALE",COUNTIF($Q$4:Q378,"STALE"),"")</f>
        <v/>
      </c>
    </row>
    <row r="379" customFormat="false" ht="15" hidden="false" customHeight="false" outlineLevel="0" collapsed="false">
      <c r="A379" s="23" t="str">
        <f aca="false">IF(B379="","","SKU-"&amp;TEXT(ROW()-3,"0000"))</f>
        <v/>
      </c>
      <c r="B379" s="19"/>
      <c r="C379" s="10"/>
      <c r="D379" s="10"/>
      <c r="E379" s="10"/>
      <c r="F379" s="10"/>
      <c r="G379" s="10"/>
      <c r="H379" s="12"/>
      <c r="I379" s="12"/>
      <c r="J379" s="24" t="str">
        <f aca="false">IF(B379="","",N(H379)+N(I379))</f>
        <v/>
      </c>
      <c r="K379" s="10"/>
      <c r="L379" s="19"/>
      <c r="M379" s="12"/>
      <c r="N379" s="10"/>
      <c r="O379" s="25" t="str">
        <f aca="true">IF(OR(B379="",K379="Sold",K379="Donated"),"",TODAY()-B379)</f>
        <v/>
      </c>
      <c r="P379" s="25" t="str">
        <f aca="true">IF(OR(L379="",K379="Sold",K379="Donated"),"",TODAY()-L379)</f>
        <v/>
      </c>
      <c r="Q379" s="26" t="str">
        <f aca="false">IF(AND(K379="Listed",P379&lt;&gt;"",N(P379)&gt;Settings!$B$19),"STALE","")</f>
        <v/>
      </c>
      <c r="R379" s="27" t="str">
        <f aca="false">IF(Q379="STALE",COUNTIF($Q$4:Q379,"STALE"),"")</f>
        <v/>
      </c>
    </row>
    <row r="380" customFormat="false" ht="15" hidden="false" customHeight="false" outlineLevel="0" collapsed="false">
      <c r="A380" s="23" t="str">
        <f aca="false">IF(B380="","","SKU-"&amp;TEXT(ROW()-3,"0000"))</f>
        <v/>
      </c>
      <c r="B380" s="19"/>
      <c r="C380" s="10"/>
      <c r="D380" s="10"/>
      <c r="E380" s="10"/>
      <c r="F380" s="10"/>
      <c r="G380" s="10"/>
      <c r="H380" s="12"/>
      <c r="I380" s="12"/>
      <c r="J380" s="24" t="str">
        <f aca="false">IF(B380="","",N(H380)+N(I380))</f>
        <v/>
      </c>
      <c r="K380" s="10"/>
      <c r="L380" s="19"/>
      <c r="M380" s="12"/>
      <c r="N380" s="10"/>
      <c r="O380" s="25" t="str">
        <f aca="true">IF(OR(B380="",K380="Sold",K380="Donated"),"",TODAY()-B380)</f>
        <v/>
      </c>
      <c r="P380" s="25" t="str">
        <f aca="true">IF(OR(L380="",K380="Sold",K380="Donated"),"",TODAY()-L380)</f>
        <v/>
      </c>
      <c r="Q380" s="26" t="str">
        <f aca="false">IF(AND(K380="Listed",P380&lt;&gt;"",N(P380)&gt;Settings!$B$19),"STALE","")</f>
        <v/>
      </c>
      <c r="R380" s="27" t="str">
        <f aca="false">IF(Q380="STALE",COUNTIF($Q$4:Q380,"STALE"),"")</f>
        <v/>
      </c>
    </row>
    <row r="381" customFormat="false" ht="15" hidden="false" customHeight="false" outlineLevel="0" collapsed="false">
      <c r="A381" s="23" t="str">
        <f aca="false">IF(B381="","","SKU-"&amp;TEXT(ROW()-3,"0000"))</f>
        <v/>
      </c>
      <c r="B381" s="19"/>
      <c r="C381" s="10"/>
      <c r="D381" s="10"/>
      <c r="E381" s="10"/>
      <c r="F381" s="10"/>
      <c r="G381" s="10"/>
      <c r="H381" s="12"/>
      <c r="I381" s="12"/>
      <c r="J381" s="24" t="str">
        <f aca="false">IF(B381="","",N(H381)+N(I381))</f>
        <v/>
      </c>
      <c r="K381" s="10"/>
      <c r="L381" s="19"/>
      <c r="M381" s="12"/>
      <c r="N381" s="10"/>
      <c r="O381" s="25" t="str">
        <f aca="true">IF(OR(B381="",K381="Sold",K381="Donated"),"",TODAY()-B381)</f>
        <v/>
      </c>
      <c r="P381" s="25" t="str">
        <f aca="true">IF(OR(L381="",K381="Sold",K381="Donated"),"",TODAY()-L381)</f>
        <v/>
      </c>
      <c r="Q381" s="26" t="str">
        <f aca="false">IF(AND(K381="Listed",P381&lt;&gt;"",N(P381)&gt;Settings!$B$19),"STALE","")</f>
        <v/>
      </c>
      <c r="R381" s="27" t="str">
        <f aca="false">IF(Q381="STALE",COUNTIF($Q$4:Q381,"STALE"),"")</f>
        <v/>
      </c>
    </row>
    <row r="382" customFormat="false" ht="15" hidden="false" customHeight="false" outlineLevel="0" collapsed="false">
      <c r="A382" s="23" t="str">
        <f aca="false">IF(B382="","","SKU-"&amp;TEXT(ROW()-3,"0000"))</f>
        <v/>
      </c>
      <c r="B382" s="19"/>
      <c r="C382" s="10"/>
      <c r="D382" s="10"/>
      <c r="E382" s="10"/>
      <c r="F382" s="10"/>
      <c r="G382" s="10"/>
      <c r="H382" s="12"/>
      <c r="I382" s="12"/>
      <c r="J382" s="24" t="str">
        <f aca="false">IF(B382="","",N(H382)+N(I382))</f>
        <v/>
      </c>
      <c r="K382" s="10"/>
      <c r="L382" s="19"/>
      <c r="M382" s="12"/>
      <c r="N382" s="10"/>
      <c r="O382" s="25" t="str">
        <f aca="true">IF(OR(B382="",K382="Sold",K382="Donated"),"",TODAY()-B382)</f>
        <v/>
      </c>
      <c r="P382" s="25" t="str">
        <f aca="true">IF(OR(L382="",K382="Sold",K382="Donated"),"",TODAY()-L382)</f>
        <v/>
      </c>
      <c r="Q382" s="26" t="str">
        <f aca="false">IF(AND(K382="Listed",P382&lt;&gt;"",N(P382)&gt;Settings!$B$19),"STALE","")</f>
        <v/>
      </c>
      <c r="R382" s="27" t="str">
        <f aca="false">IF(Q382="STALE",COUNTIF($Q$4:Q382,"STALE"),"")</f>
        <v/>
      </c>
    </row>
    <row r="383" customFormat="false" ht="15" hidden="false" customHeight="false" outlineLevel="0" collapsed="false">
      <c r="A383" s="23" t="str">
        <f aca="false">IF(B383="","","SKU-"&amp;TEXT(ROW()-3,"0000"))</f>
        <v/>
      </c>
      <c r="B383" s="19"/>
      <c r="C383" s="10"/>
      <c r="D383" s="10"/>
      <c r="E383" s="10"/>
      <c r="F383" s="10"/>
      <c r="G383" s="10"/>
      <c r="H383" s="12"/>
      <c r="I383" s="12"/>
      <c r="J383" s="24" t="str">
        <f aca="false">IF(B383="","",N(H383)+N(I383))</f>
        <v/>
      </c>
      <c r="K383" s="10"/>
      <c r="L383" s="19"/>
      <c r="M383" s="12"/>
      <c r="N383" s="10"/>
      <c r="O383" s="25" t="str">
        <f aca="true">IF(OR(B383="",K383="Sold",K383="Donated"),"",TODAY()-B383)</f>
        <v/>
      </c>
      <c r="P383" s="25" t="str">
        <f aca="true">IF(OR(L383="",K383="Sold",K383="Donated"),"",TODAY()-L383)</f>
        <v/>
      </c>
      <c r="Q383" s="26" t="str">
        <f aca="false">IF(AND(K383="Listed",P383&lt;&gt;"",N(P383)&gt;Settings!$B$19),"STALE","")</f>
        <v/>
      </c>
      <c r="R383" s="27" t="str">
        <f aca="false">IF(Q383="STALE",COUNTIF($Q$4:Q383,"STALE"),"")</f>
        <v/>
      </c>
    </row>
    <row r="384" customFormat="false" ht="15" hidden="false" customHeight="false" outlineLevel="0" collapsed="false">
      <c r="A384" s="23" t="str">
        <f aca="false">IF(B384="","","SKU-"&amp;TEXT(ROW()-3,"0000"))</f>
        <v/>
      </c>
      <c r="B384" s="19"/>
      <c r="C384" s="10"/>
      <c r="D384" s="10"/>
      <c r="E384" s="10"/>
      <c r="F384" s="10"/>
      <c r="G384" s="10"/>
      <c r="H384" s="12"/>
      <c r="I384" s="12"/>
      <c r="J384" s="24" t="str">
        <f aca="false">IF(B384="","",N(H384)+N(I384))</f>
        <v/>
      </c>
      <c r="K384" s="10"/>
      <c r="L384" s="19"/>
      <c r="M384" s="12"/>
      <c r="N384" s="10"/>
      <c r="O384" s="25" t="str">
        <f aca="true">IF(OR(B384="",K384="Sold",K384="Donated"),"",TODAY()-B384)</f>
        <v/>
      </c>
      <c r="P384" s="25" t="str">
        <f aca="true">IF(OR(L384="",K384="Sold",K384="Donated"),"",TODAY()-L384)</f>
        <v/>
      </c>
      <c r="Q384" s="26" t="str">
        <f aca="false">IF(AND(K384="Listed",P384&lt;&gt;"",N(P384)&gt;Settings!$B$19),"STALE","")</f>
        <v/>
      </c>
      <c r="R384" s="27" t="str">
        <f aca="false">IF(Q384="STALE",COUNTIF($Q$4:Q384,"STALE"),"")</f>
        <v/>
      </c>
    </row>
    <row r="385" customFormat="false" ht="15" hidden="false" customHeight="false" outlineLevel="0" collapsed="false">
      <c r="A385" s="23" t="str">
        <f aca="false">IF(B385="","","SKU-"&amp;TEXT(ROW()-3,"0000"))</f>
        <v/>
      </c>
      <c r="B385" s="19"/>
      <c r="C385" s="10"/>
      <c r="D385" s="10"/>
      <c r="E385" s="10"/>
      <c r="F385" s="10"/>
      <c r="G385" s="10"/>
      <c r="H385" s="12"/>
      <c r="I385" s="12"/>
      <c r="J385" s="24" t="str">
        <f aca="false">IF(B385="","",N(H385)+N(I385))</f>
        <v/>
      </c>
      <c r="K385" s="10"/>
      <c r="L385" s="19"/>
      <c r="M385" s="12"/>
      <c r="N385" s="10"/>
      <c r="O385" s="25" t="str">
        <f aca="true">IF(OR(B385="",K385="Sold",K385="Donated"),"",TODAY()-B385)</f>
        <v/>
      </c>
      <c r="P385" s="25" t="str">
        <f aca="true">IF(OR(L385="",K385="Sold",K385="Donated"),"",TODAY()-L385)</f>
        <v/>
      </c>
      <c r="Q385" s="26" t="str">
        <f aca="false">IF(AND(K385="Listed",P385&lt;&gt;"",N(P385)&gt;Settings!$B$19),"STALE","")</f>
        <v/>
      </c>
      <c r="R385" s="27" t="str">
        <f aca="false">IF(Q385="STALE",COUNTIF($Q$4:Q385,"STALE"),"")</f>
        <v/>
      </c>
    </row>
    <row r="386" customFormat="false" ht="15" hidden="false" customHeight="false" outlineLevel="0" collapsed="false">
      <c r="A386" s="23" t="str">
        <f aca="false">IF(B386="","","SKU-"&amp;TEXT(ROW()-3,"0000"))</f>
        <v/>
      </c>
      <c r="B386" s="19"/>
      <c r="C386" s="10"/>
      <c r="D386" s="10"/>
      <c r="E386" s="10"/>
      <c r="F386" s="10"/>
      <c r="G386" s="10"/>
      <c r="H386" s="12"/>
      <c r="I386" s="12"/>
      <c r="J386" s="24" t="str">
        <f aca="false">IF(B386="","",N(H386)+N(I386))</f>
        <v/>
      </c>
      <c r="K386" s="10"/>
      <c r="L386" s="19"/>
      <c r="M386" s="12"/>
      <c r="N386" s="10"/>
      <c r="O386" s="25" t="str">
        <f aca="true">IF(OR(B386="",K386="Sold",K386="Donated"),"",TODAY()-B386)</f>
        <v/>
      </c>
      <c r="P386" s="25" t="str">
        <f aca="true">IF(OR(L386="",K386="Sold",K386="Donated"),"",TODAY()-L386)</f>
        <v/>
      </c>
      <c r="Q386" s="26" t="str">
        <f aca="false">IF(AND(K386="Listed",P386&lt;&gt;"",N(P386)&gt;Settings!$B$19),"STALE","")</f>
        <v/>
      </c>
      <c r="R386" s="27" t="str">
        <f aca="false">IF(Q386="STALE",COUNTIF($Q$4:Q386,"STALE"),"")</f>
        <v/>
      </c>
    </row>
    <row r="387" customFormat="false" ht="15" hidden="false" customHeight="false" outlineLevel="0" collapsed="false">
      <c r="A387" s="23" t="str">
        <f aca="false">IF(B387="","","SKU-"&amp;TEXT(ROW()-3,"0000"))</f>
        <v/>
      </c>
      <c r="B387" s="19"/>
      <c r="C387" s="10"/>
      <c r="D387" s="10"/>
      <c r="E387" s="10"/>
      <c r="F387" s="10"/>
      <c r="G387" s="10"/>
      <c r="H387" s="12"/>
      <c r="I387" s="12"/>
      <c r="J387" s="24" t="str">
        <f aca="false">IF(B387="","",N(H387)+N(I387))</f>
        <v/>
      </c>
      <c r="K387" s="10"/>
      <c r="L387" s="19"/>
      <c r="M387" s="12"/>
      <c r="N387" s="10"/>
      <c r="O387" s="25" t="str">
        <f aca="true">IF(OR(B387="",K387="Sold",K387="Donated"),"",TODAY()-B387)</f>
        <v/>
      </c>
      <c r="P387" s="25" t="str">
        <f aca="true">IF(OR(L387="",K387="Sold",K387="Donated"),"",TODAY()-L387)</f>
        <v/>
      </c>
      <c r="Q387" s="26" t="str">
        <f aca="false">IF(AND(K387="Listed",P387&lt;&gt;"",N(P387)&gt;Settings!$B$19),"STALE","")</f>
        <v/>
      </c>
      <c r="R387" s="27" t="str">
        <f aca="false">IF(Q387="STALE",COUNTIF($Q$4:Q387,"STALE"),"")</f>
        <v/>
      </c>
    </row>
    <row r="388" customFormat="false" ht="15" hidden="false" customHeight="false" outlineLevel="0" collapsed="false">
      <c r="A388" s="23" t="str">
        <f aca="false">IF(B388="","","SKU-"&amp;TEXT(ROW()-3,"0000"))</f>
        <v/>
      </c>
      <c r="B388" s="19"/>
      <c r="C388" s="10"/>
      <c r="D388" s="10"/>
      <c r="E388" s="10"/>
      <c r="F388" s="10"/>
      <c r="G388" s="10"/>
      <c r="H388" s="12"/>
      <c r="I388" s="12"/>
      <c r="J388" s="24" t="str">
        <f aca="false">IF(B388="","",N(H388)+N(I388))</f>
        <v/>
      </c>
      <c r="K388" s="10"/>
      <c r="L388" s="19"/>
      <c r="M388" s="12"/>
      <c r="N388" s="10"/>
      <c r="O388" s="25" t="str">
        <f aca="true">IF(OR(B388="",K388="Sold",K388="Donated"),"",TODAY()-B388)</f>
        <v/>
      </c>
      <c r="P388" s="25" t="str">
        <f aca="true">IF(OR(L388="",K388="Sold",K388="Donated"),"",TODAY()-L388)</f>
        <v/>
      </c>
      <c r="Q388" s="26" t="str">
        <f aca="false">IF(AND(K388="Listed",P388&lt;&gt;"",N(P388)&gt;Settings!$B$19),"STALE","")</f>
        <v/>
      </c>
      <c r="R388" s="27" t="str">
        <f aca="false">IF(Q388="STALE",COUNTIF($Q$4:Q388,"STALE"),"")</f>
        <v/>
      </c>
    </row>
    <row r="389" customFormat="false" ht="15" hidden="false" customHeight="false" outlineLevel="0" collapsed="false">
      <c r="A389" s="23" t="str">
        <f aca="false">IF(B389="","","SKU-"&amp;TEXT(ROW()-3,"0000"))</f>
        <v/>
      </c>
      <c r="B389" s="19"/>
      <c r="C389" s="10"/>
      <c r="D389" s="10"/>
      <c r="E389" s="10"/>
      <c r="F389" s="10"/>
      <c r="G389" s="10"/>
      <c r="H389" s="12"/>
      <c r="I389" s="12"/>
      <c r="J389" s="24" t="str">
        <f aca="false">IF(B389="","",N(H389)+N(I389))</f>
        <v/>
      </c>
      <c r="K389" s="10"/>
      <c r="L389" s="19"/>
      <c r="M389" s="12"/>
      <c r="N389" s="10"/>
      <c r="O389" s="25" t="str">
        <f aca="true">IF(OR(B389="",K389="Sold",K389="Donated"),"",TODAY()-B389)</f>
        <v/>
      </c>
      <c r="P389" s="25" t="str">
        <f aca="true">IF(OR(L389="",K389="Sold",K389="Donated"),"",TODAY()-L389)</f>
        <v/>
      </c>
      <c r="Q389" s="26" t="str">
        <f aca="false">IF(AND(K389="Listed",P389&lt;&gt;"",N(P389)&gt;Settings!$B$19),"STALE","")</f>
        <v/>
      </c>
      <c r="R389" s="27" t="str">
        <f aca="false">IF(Q389="STALE",COUNTIF($Q$4:Q389,"STALE"),"")</f>
        <v/>
      </c>
    </row>
    <row r="390" customFormat="false" ht="15" hidden="false" customHeight="false" outlineLevel="0" collapsed="false">
      <c r="A390" s="23" t="str">
        <f aca="false">IF(B390="","","SKU-"&amp;TEXT(ROW()-3,"0000"))</f>
        <v/>
      </c>
      <c r="B390" s="19"/>
      <c r="C390" s="10"/>
      <c r="D390" s="10"/>
      <c r="E390" s="10"/>
      <c r="F390" s="10"/>
      <c r="G390" s="10"/>
      <c r="H390" s="12"/>
      <c r="I390" s="12"/>
      <c r="J390" s="24" t="str">
        <f aca="false">IF(B390="","",N(H390)+N(I390))</f>
        <v/>
      </c>
      <c r="K390" s="10"/>
      <c r="L390" s="19"/>
      <c r="M390" s="12"/>
      <c r="N390" s="10"/>
      <c r="O390" s="25" t="str">
        <f aca="true">IF(OR(B390="",K390="Sold",K390="Donated"),"",TODAY()-B390)</f>
        <v/>
      </c>
      <c r="P390" s="25" t="str">
        <f aca="true">IF(OR(L390="",K390="Sold",K390="Donated"),"",TODAY()-L390)</f>
        <v/>
      </c>
      <c r="Q390" s="26" t="str">
        <f aca="false">IF(AND(K390="Listed",P390&lt;&gt;"",N(P390)&gt;Settings!$B$19),"STALE","")</f>
        <v/>
      </c>
      <c r="R390" s="27" t="str">
        <f aca="false">IF(Q390="STALE",COUNTIF($Q$4:Q390,"STALE"),"")</f>
        <v/>
      </c>
    </row>
    <row r="391" customFormat="false" ht="15" hidden="false" customHeight="false" outlineLevel="0" collapsed="false">
      <c r="A391" s="23" t="str">
        <f aca="false">IF(B391="","","SKU-"&amp;TEXT(ROW()-3,"0000"))</f>
        <v/>
      </c>
      <c r="B391" s="19"/>
      <c r="C391" s="10"/>
      <c r="D391" s="10"/>
      <c r="E391" s="10"/>
      <c r="F391" s="10"/>
      <c r="G391" s="10"/>
      <c r="H391" s="12"/>
      <c r="I391" s="12"/>
      <c r="J391" s="24" t="str">
        <f aca="false">IF(B391="","",N(H391)+N(I391))</f>
        <v/>
      </c>
      <c r="K391" s="10"/>
      <c r="L391" s="19"/>
      <c r="M391" s="12"/>
      <c r="N391" s="10"/>
      <c r="O391" s="25" t="str">
        <f aca="true">IF(OR(B391="",K391="Sold",K391="Donated"),"",TODAY()-B391)</f>
        <v/>
      </c>
      <c r="P391" s="25" t="str">
        <f aca="true">IF(OR(L391="",K391="Sold",K391="Donated"),"",TODAY()-L391)</f>
        <v/>
      </c>
      <c r="Q391" s="26" t="str">
        <f aca="false">IF(AND(K391="Listed",P391&lt;&gt;"",N(P391)&gt;Settings!$B$19),"STALE","")</f>
        <v/>
      </c>
      <c r="R391" s="27" t="str">
        <f aca="false">IF(Q391="STALE",COUNTIF($Q$4:Q391,"STALE"),"")</f>
        <v/>
      </c>
    </row>
    <row r="392" customFormat="false" ht="15" hidden="false" customHeight="false" outlineLevel="0" collapsed="false">
      <c r="A392" s="23" t="str">
        <f aca="false">IF(B392="","","SKU-"&amp;TEXT(ROW()-3,"0000"))</f>
        <v/>
      </c>
      <c r="B392" s="19"/>
      <c r="C392" s="10"/>
      <c r="D392" s="10"/>
      <c r="E392" s="10"/>
      <c r="F392" s="10"/>
      <c r="G392" s="10"/>
      <c r="H392" s="12"/>
      <c r="I392" s="12"/>
      <c r="J392" s="24" t="str">
        <f aca="false">IF(B392="","",N(H392)+N(I392))</f>
        <v/>
      </c>
      <c r="K392" s="10"/>
      <c r="L392" s="19"/>
      <c r="M392" s="12"/>
      <c r="N392" s="10"/>
      <c r="O392" s="25" t="str">
        <f aca="true">IF(OR(B392="",K392="Sold",K392="Donated"),"",TODAY()-B392)</f>
        <v/>
      </c>
      <c r="P392" s="25" t="str">
        <f aca="true">IF(OR(L392="",K392="Sold",K392="Donated"),"",TODAY()-L392)</f>
        <v/>
      </c>
      <c r="Q392" s="26" t="str">
        <f aca="false">IF(AND(K392="Listed",P392&lt;&gt;"",N(P392)&gt;Settings!$B$19),"STALE","")</f>
        <v/>
      </c>
      <c r="R392" s="27" t="str">
        <f aca="false">IF(Q392="STALE",COUNTIF($Q$4:Q392,"STALE"),"")</f>
        <v/>
      </c>
    </row>
    <row r="393" customFormat="false" ht="15" hidden="false" customHeight="false" outlineLevel="0" collapsed="false">
      <c r="A393" s="23" t="str">
        <f aca="false">IF(B393="","","SKU-"&amp;TEXT(ROW()-3,"0000"))</f>
        <v/>
      </c>
      <c r="B393" s="19"/>
      <c r="C393" s="10"/>
      <c r="D393" s="10"/>
      <c r="E393" s="10"/>
      <c r="F393" s="10"/>
      <c r="G393" s="10"/>
      <c r="H393" s="12"/>
      <c r="I393" s="12"/>
      <c r="J393" s="24" t="str">
        <f aca="false">IF(B393="","",N(H393)+N(I393))</f>
        <v/>
      </c>
      <c r="K393" s="10"/>
      <c r="L393" s="19"/>
      <c r="M393" s="12"/>
      <c r="N393" s="10"/>
      <c r="O393" s="25" t="str">
        <f aca="true">IF(OR(B393="",K393="Sold",K393="Donated"),"",TODAY()-B393)</f>
        <v/>
      </c>
      <c r="P393" s="25" t="str">
        <f aca="true">IF(OR(L393="",K393="Sold",K393="Donated"),"",TODAY()-L393)</f>
        <v/>
      </c>
      <c r="Q393" s="26" t="str">
        <f aca="false">IF(AND(K393="Listed",P393&lt;&gt;"",N(P393)&gt;Settings!$B$19),"STALE","")</f>
        <v/>
      </c>
      <c r="R393" s="27" t="str">
        <f aca="false">IF(Q393="STALE",COUNTIF($Q$4:Q393,"STALE"),"")</f>
        <v/>
      </c>
    </row>
    <row r="394" customFormat="false" ht="15" hidden="false" customHeight="false" outlineLevel="0" collapsed="false">
      <c r="A394" s="23" t="str">
        <f aca="false">IF(B394="","","SKU-"&amp;TEXT(ROW()-3,"0000"))</f>
        <v/>
      </c>
      <c r="B394" s="19"/>
      <c r="C394" s="10"/>
      <c r="D394" s="10"/>
      <c r="E394" s="10"/>
      <c r="F394" s="10"/>
      <c r="G394" s="10"/>
      <c r="H394" s="12"/>
      <c r="I394" s="12"/>
      <c r="J394" s="24" t="str">
        <f aca="false">IF(B394="","",N(H394)+N(I394))</f>
        <v/>
      </c>
      <c r="K394" s="10"/>
      <c r="L394" s="19"/>
      <c r="M394" s="12"/>
      <c r="N394" s="10"/>
      <c r="O394" s="25" t="str">
        <f aca="true">IF(OR(B394="",K394="Sold",K394="Donated"),"",TODAY()-B394)</f>
        <v/>
      </c>
      <c r="P394" s="25" t="str">
        <f aca="true">IF(OR(L394="",K394="Sold",K394="Donated"),"",TODAY()-L394)</f>
        <v/>
      </c>
      <c r="Q394" s="26" t="str">
        <f aca="false">IF(AND(K394="Listed",P394&lt;&gt;"",N(P394)&gt;Settings!$B$19),"STALE","")</f>
        <v/>
      </c>
      <c r="R394" s="27" t="str">
        <f aca="false">IF(Q394="STALE",COUNTIF($Q$4:Q394,"STALE"),"")</f>
        <v/>
      </c>
    </row>
    <row r="395" customFormat="false" ht="15" hidden="false" customHeight="false" outlineLevel="0" collapsed="false">
      <c r="A395" s="23" t="str">
        <f aca="false">IF(B395="","","SKU-"&amp;TEXT(ROW()-3,"0000"))</f>
        <v/>
      </c>
      <c r="B395" s="19"/>
      <c r="C395" s="10"/>
      <c r="D395" s="10"/>
      <c r="E395" s="10"/>
      <c r="F395" s="10"/>
      <c r="G395" s="10"/>
      <c r="H395" s="12"/>
      <c r="I395" s="12"/>
      <c r="J395" s="24" t="str">
        <f aca="false">IF(B395="","",N(H395)+N(I395))</f>
        <v/>
      </c>
      <c r="K395" s="10"/>
      <c r="L395" s="19"/>
      <c r="M395" s="12"/>
      <c r="N395" s="10"/>
      <c r="O395" s="25" t="str">
        <f aca="true">IF(OR(B395="",K395="Sold",K395="Donated"),"",TODAY()-B395)</f>
        <v/>
      </c>
      <c r="P395" s="25" t="str">
        <f aca="true">IF(OR(L395="",K395="Sold",K395="Donated"),"",TODAY()-L395)</f>
        <v/>
      </c>
      <c r="Q395" s="26" t="str">
        <f aca="false">IF(AND(K395="Listed",P395&lt;&gt;"",N(P395)&gt;Settings!$B$19),"STALE","")</f>
        <v/>
      </c>
      <c r="R395" s="27" t="str">
        <f aca="false">IF(Q395="STALE",COUNTIF($Q$4:Q395,"STALE"),"")</f>
        <v/>
      </c>
    </row>
    <row r="396" customFormat="false" ht="15" hidden="false" customHeight="false" outlineLevel="0" collapsed="false">
      <c r="A396" s="23" t="str">
        <f aca="false">IF(B396="","","SKU-"&amp;TEXT(ROW()-3,"0000"))</f>
        <v/>
      </c>
      <c r="B396" s="19"/>
      <c r="C396" s="10"/>
      <c r="D396" s="10"/>
      <c r="E396" s="10"/>
      <c r="F396" s="10"/>
      <c r="G396" s="10"/>
      <c r="H396" s="12"/>
      <c r="I396" s="12"/>
      <c r="J396" s="24" t="str">
        <f aca="false">IF(B396="","",N(H396)+N(I396))</f>
        <v/>
      </c>
      <c r="K396" s="10"/>
      <c r="L396" s="19"/>
      <c r="M396" s="12"/>
      <c r="N396" s="10"/>
      <c r="O396" s="25" t="str">
        <f aca="true">IF(OR(B396="",K396="Sold",K396="Donated"),"",TODAY()-B396)</f>
        <v/>
      </c>
      <c r="P396" s="25" t="str">
        <f aca="true">IF(OR(L396="",K396="Sold",K396="Donated"),"",TODAY()-L396)</f>
        <v/>
      </c>
      <c r="Q396" s="26" t="str">
        <f aca="false">IF(AND(K396="Listed",P396&lt;&gt;"",N(P396)&gt;Settings!$B$19),"STALE","")</f>
        <v/>
      </c>
      <c r="R396" s="27" t="str">
        <f aca="false">IF(Q396="STALE",COUNTIF($Q$4:Q396,"STALE"),"")</f>
        <v/>
      </c>
    </row>
    <row r="397" customFormat="false" ht="15" hidden="false" customHeight="false" outlineLevel="0" collapsed="false">
      <c r="A397" s="23" t="str">
        <f aca="false">IF(B397="","","SKU-"&amp;TEXT(ROW()-3,"0000"))</f>
        <v/>
      </c>
      <c r="B397" s="19"/>
      <c r="C397" s="10"/>
      <c r="D397" s="10"/>
      <c r="E397" s="10"/>
      <c r="F397" s="10"/>
      <c r="G397" s="10"/>
      <c r="H397" s="12"/>
      <c r="I397" s="12"/>
      <c r="J397" s="24" t="str">
        <f aca="false">IF(B397="","",N(H397)+N(I397))</f>
        <v/>
      </c>
      <c r="K397" s="10"/>
      <c r="L397" s="19"/>
      <c r="M397" s="12"/>
      <c r="N397" s="10"/>
      <c r="O397" s="25" t="str">
        <f aca="true">IF(OR(B397="",K397="Sold",K397="Donated"),"",TODAY()-B397)</f>
        <v/>
      </c>
      <c r="P397" s="25" t="str">
        <f aca="true">IF(OR(L397="",K397="Sold",K397="Donated"),"",TODAY()-L397)</f>
        <v/>
      </c>
      <c r="Q397" s="26" t="str">
        <f aca="false">IF(AND(K397="Listed",P397&lt;&gt;"",N(P397)&gt;Settings!$B$19),"STALE","")</f>
        <v/>
      </c>
      <c r="R397" s="27" t="str">
        <f aca="false">IF(Q397="STALE",COUNTIF($Q$4:Q397,"STALE"),"")</f>
        <v/>
      </c>
    </row>
    <row r="398" customFormat="false" ht="15" hidden="false" customHeight="false" outlineLevel="0" collapsed="false">
      <c r="A398" s="23" t="str">
        <f aca="false">IF(B398="","","SKU-"&amp;TEXT(ROW()-3,"0000"))</f>
        <v/>
      </c>
      <c r="B398" s="19"/>
      <c r="C398" s="10"/>
      <c r="D398" s="10"/>
      <c r="E398" s="10"/>
      <c r="F398" s="10"/>
      <c r="G398" s="10"/>
      <c r="H398" s="12"/>
      <c r="I398" s="12"/>
      <c r="J398" s="24" t="str">
        <f aca="false">IF(B398="","",N(H398)+N(I398))</f>
        <v/>
      </c>
      <c r="K398" s="10"/>
      <c r="L398" s="19"/>
      <c r="M398" s="12"/>
      <c r="N398" s="10"/>
      <c r="O398" s="25" t="str">
        <f aca="true">IF(OR(B398="",K398="Sold",K398="Donated"),"",TODAY()-B398)</f>
        <v/>
      </c>
      <c r="P398" s="25" t="str">
        <f aca="true">IF(OR(L398="",K398="Sold",K398="Donated"),"",TODAY()-L398)</f>
        <v/>
      </c>
      <c r="Q398" s="26" t="str">
        <f aca="false">IF(AND(K398="Listed",P398&lt;&gt;"",N(P398)&gt;Settings!$B$19),"STALE","")</f>
        <v/>
      </c>
      <c r="R398" s="27" t="str">
        <f aca="false">IF(Q398="STALE",COUNTIF($Q$4:Q398,"STALE"),"")</f>
        <v/>
      </c>
    </row>
    <row r="399" customFormat="false" ht="15" hidden="false" customHeight="false" outlineLevel="0" collapsed="false">
      <c r="A399" s="23" t="str">
        <f aca="false">IF(B399="","","SKU-"&amp;TEXT(ROW()-3,"0000"))</f>
        <v/>
      </c>
      <c r="B399" s="19"/>
      <c r="C399" s="10"/>
      <c r="D399" s="10"/>
      <c r="E399" s="10"/>
      <c r="F399" s="10"/>
      <c r="G399" s="10"/>
      <c r="H399" s="12"/>
      <c r="I399" s="12"/>
      <c r="J399" s="24" t="str">
        <f aca="false">IF(B399="","",N(H399)+N(I399))</f>
        <v/>
      </c>
      <c r="K399" s="10"/>
      <c r="L399" s="19"/>
      <c r="M399" s="12"/>
      <c r="N399" s="10"/>
      <c r="O399" s="25" t="str">
        <f aca="true">IF(OR(B399="",K399="Sold",K399="Donated"),"",TODAY()-B399)</f>
        <v/>
      </c>
      <c r="P399" s="25" t="str">
        <f aca="true">IF(OR(L399="",K399="Sold",K399="Donated"),"",TODAY()-L399)</f>
        <v/>
      </c>
      <c r="Q399" s="26" t="str">
        <f aca="false">IF(AND(K399="Listed",P399&lt;&gt;"",N(P399)&gt;Settings!$B$19),"STALE","")</f>
        <v/>
      </c>
      <c r="R399" s="27" t="str">
        <f aca="false">IF(Q399="STALE",COUNTIF($Q$4:Q399,"STALE"),"")</f>
        <v/>
      </c>
    </row>
    <row r="400" customFormat="false" ht="15" hidden="false" customHeight="false" outlineLevel="0" collapsed="false">
      <c r="A400" s="23" t="str">
        <f aca="false">IF(B400="","","SKU-"&amp;TEXT(ROW()-3,"0000"))</f>
        <v/>
      </c>
      <c r="B400" s="19"/>
      <c r="C400" s="10"/>
      <c r="D400" s="10"/>
      <c r="E400" s="10"/>
      <c r="F400" s="10"/>
      <c r="G400" s="10"/>
      <c r="H400" s="12"/>
      <c r="I400" s="12"/>
      <c r="J400" s="24" t="str">
        <f aca="false">IF(B400="","",N(H400)+N(I400))</f>
        <v/>
      </c>
      <c r="K400" s="10"/>
      <c r="L400" s="19"/>
      <c r="M400" s="12"/>
      <c r="N400" s="10"/>
      <c r="O400" s="25" t="str">
        <f aca="true">IF(OR(B400="",K400="Sold",K400="Donated"),"",TODAY()-B400)</f>
        <v/>
      </c>
      <c r="P400" s="25" t="str">
        <f aca="true">IF(OR(L400="",K400="Sold",K400="Donated"),"",TODAY()-L400)</f>
        <v/>
      </c>
      <c r="Q400" s="26" t="str">
        <f aca="false">IF(AND(K400="Listed",P400&lt;&gt;"",N(P400)&gt;Settings!$B$19),"STALE","")</f>
        <v/>
      </c>
      <c r="R400" s="27" t="str">
        <f aca="false">IF(Q400="STALE",COUNTIF($Q$4:Q400,"STALE"),"")</f>
        <v/>
      </c>
    </row>
    <row r="401" customFormat="false" ht="15" hidden="false" customHeight="false" outlineLevel="0" collapsed="false">
      <c r="A401" s="23" t="str">
        <f aca="false">IF(B401="","","SKU-"&amp;TEXT(ROW()-3,"0000"))</f>
        <v/>
      </c>
      <c r="B401" s="19"/>
      <c r="C401" s="10"/>
      <c r="D401" s="10"/>
      <c r="E401" s="10"/>
      <c r="F401" s="10"/>
      <c r="G401" s="10"/>
      <c r="H401" s="12"/>
      <c r="I401" s="12"/>
      <c r="J401" s="24" t="str">
        <f aca="false">IF(B401="","",N(H401)+N(I401))</f>
        <v/>
      </c>
      <c r="K401" s="10"/>
      <c r="L401" s="19"/>
      <c r="M401" s="12"/>
      <c r="N401" s="10"/>
      <c r="O401" s="25" t="str">
        <f aca="true">IF(OR(B401="",K401="Sold",K401="Donated"),"",TODAY()-B401)</f>
        <v/>
      </c>
      <c r="P401" s="25" t="str">
        <f aca="true">IF(OR(L401="",K401="Sold",K401="Donated"),"",TODAY()-L401)</f>
        <v/>
      </c>
      <c r="Q401" s="26" t="str">
        <f aca="false">IF(AND(K401="Listed",P401&lt;&gt;"",N(P401)&gt;Settings!$B$19),"STALE","")</f>
        <v/>
      </c>
      <c r="R401" s="27" t="str">
        <f aca="false">IF(Q401="STALE",COUNTIF($Q$4:Q401,"STALE"),"")</f>
        <v/>
      </c>
    </row>
    <row r="402" customFormat="false" ht="15" hidden="false" customHeight="false" outlineLevel="0" collapsed="false">
      <c r="A402" s="23" t="str">
        <f aca="false">IF(B402="","","SKU-"&amp;TEXT(ROW()-3,"0000"))</f>
        <v/>
      </c>
      <c r="B402" s="19"/>
      <c r="C402" s="10"/>
      <c r="D402" s="10"/>
      <c r="E402" s="10"/>
      <c r="F402" s="10"/>
      <c r="G402" s="10"/>
      <c r="H402" s="12"/>
      <c r="I402" s="12"/>
      <c r="J402" s="24" t="str">
        <f aca="false">IF(B402="","",N(H402)+N(I402))</f>
        <v/>
      </c>
      <c r="K402" s="10"/>
      <c r="L402" s="19"/>
      <c r="M402" s="12"/>
      <c r="N402" s="10"/>
      <c r="O402" s="25" t="str">
        <f aca="true">IF(OR(B402="",K402="Sold",K402="Donated"),"",TODAY()-B402)</f>
        <v/>
      </c>
      <c r="P402" s="25" t="str">
        <f aca="true">IF(OR(L402="",K402="Sold",K402="Donated"),"",TODAY()-L402)</f>
        <v/>
      </c>
      <c r="Q402" s="26" t="str">
        <f aca="false">IF(AND(K402="Listed",P402&lt;&gt;"",N(P402)&gt;Settings!$B$19),"STALE","")</f>
        <v/>
      </c>
      <c r="R402" s="27" t="str">
        <f aca="false">IF(Q402="STALE",COUNTIF($Q$4:Q402,"STALE"),"")</f>
        <v/>
      </c>
    </row>
    <row r="403" customFormat="false" ht="15" hidden="false" customHeight="false" outlineLevel="0" collapsed="false">
      <c r="A403" s="23" t="str">
        <f aca="false">IF(B403="","","SKU-"&amp;TEXT(ROW()-3,"0000"))</f>
        <v/>
      </c>
      <c r="B403" s="19"/>
      <c r="C403" s="10"/>
      <c r="D403" s="10"/>
      <c r="E403" s="10"/>
      <c r="F403" s="10"/>
      <c r="G403" s="10"/>
      <c r="H403" s="12"/>
      <c r="I403" s="12"/>
      <c r="J403" s="24" t="str">
        <f aca="false">IF(B403="","",N(H403)+N(I403))</f>
        <v/>
      </c>
      <c r="K403" s="10"/>
      <c r="L403" s="19"/>
      <c r="M403" s="12"/>
      <c r="N403" s="10"/>
      <c r="O403" s="25" t="str">
        <f aca="true">IF(OR(B403="",K403="Sold",K403="Donated"),"",TODAY()-B403)</f>
        <v/>
      </c>
      <c r="P403" s="25" t="str">
        <f aca="true">IF(OR(L403="",K403="Sold",K403="Donated"),"",TODAY()-L403)</f>
        <v/>
      </c>
      <c r="Q403" s="26" t="str">
        <f aca="false">IF(AND(K403="Listed",P403&lt;&gt;"",N(P403)&gt;Settings!$B$19),"STALE","")</f>
        <v/>
      </c>
      <c r="R403" s="27" t="str">
        <f aca="false">IF(Q403="STALE",COUNTIF($Q$4:Q403,"STALE"),"")</f>
        <v/>
      </c>
    </row>
    <row r="404" customFormat="false" ht="15" hidden="false" customHeight="false" outlineLevel="0" collapsed="false">
      <c r="A404" s="23" t="str">
        <f aca="false">IF(B404="","","SKU-"&amp;TEXT(ROW()-3,"0000"))</f>
        <v/>
      </c>
      <c r="B404" s="19"/>
      <c r="C404" s="10"/>
      <c r="D404" s="10"/>
      <c r="E404" s="10"/>
      <c r="F404" s="10"/>
      <c r="G404" s="10"/>
      <c r="H404" s="12"/>
      <c r="I404" s="12"/>
      <c r="J404" s="24" t="str">
        <f aca="false">IF(B404="","",N(H404)+N(I404))</f>
        <v/>
      </c>
      <c r="K404" s="10"/>
      <c r="L404" s="19"/>
      <c r="M404" s="12"/>
      <c r="N404" s="10"/>
      <c r="O404" s="25" t="str">
        <f aca="true">IF(OR(B404="",K404="Sold",K404="Donated"),"",TODAY()-B404)</f>
        <v/>
      </c>
      <c r="P404" s="25" t="str">
        <f aca="true">IF(OR(L404="",K404="Sold",K404="Donated"),"",TODAY()-L404)</f>
        <v/>
      </c>
      <c r="Q404" s="26" t="str">
        <f aca="false">IF(AND(K404="Listed",P404&lt;&gt;"",N(P404)&gt;Settings!$B$19),"STALE","")</f>
        <v/>
      </c>
      <c r="R404" s="27" t="str">
        <f aca="false">IF(Q404="STALE",COUNTIF($Q$4:Q404,"STALE"),"")</f>
        <v/>
      </c>
    </row>
    <row r="405" customFormat="false" ht="15" hidden="false" customHeight="false" outlineLevel="0" collapsed="false">
      <c r="A405" s="23" t="str">
        <f aca="false">IF(B405="","","SKU-"&amp;TEXT(ROW()-3,"0000"))</f>
        <v/>
      </c>
      <c r="B405" s="19"/>
      <c r="C405" s="10"/>
      <c r="D405" s="10"/>
      <c r="E405" s="10"/>
      <c r="F405" s="10"/>
      <c r="G405" s="10"/>
      <c r="H405" s="12"/>
      <c r="I405" s="12"/>
      <c r="J405" s="24" t="str">
        <f aca="false">IF(B405="","",N(H405)+N(I405))</f>
        <v/>
      </c>
      <c r="K405" s="10"/>
      <c r="L405" s="19"/>
      <c r="M405" s="12"/>
      <c r="N405" s="10"/>
      <c r="O405" s="25" t="str">
        <f aca="true">IF(OR(B405="",K405="Sold",K405="Donated"),"",TODAY()-B405)</f>
        <v/>
      </c>
      <c r="P405" s="25" t="str">
        <f aca="true">IF(OR(L405="",K405="Sold",K405="Donated"),"",TODAY()-L405)</f>
        <v/>
      </c>
      <c r="Q405" s="26" t="str">
        <f aca="false">IF(AND(K405="Listed",P405&lt;&gt;"",N(P405)&gt;Settings!$B$19),"STALE","")</f>
        <v/>
      </c>
      <c r="R405" s="27" t="str">
        <f aca="false">IF(Q405="STALE",COUNTIF($Q$4:Q405,"STALE"),"")</f>
        <v/>
      </c>
    </row>
    <row r="406" customFormat="false" ht="15" hidden="false" customHeight="false" outlineLevel="0" collapsed="false">
      <c r="A406" s="23" t="str">
        <f aca="false">IF(B406="","","SKU-"&amp;TEXT(ROW()-3,"0000"))</f>
        <v/>
      </c>
      <c r="B406" s="19"/>
      <c r="C406" s="10"/>
      <c r="D406" s="10"/>
      <c r="E406" s="10"/>
      <c r="F406" s="10"/>
      <c r="G406" s="10"/>
      <c r="H406" s="12"/>
      <c r="I406" s="12"/>
      <c r="J406" s="24" t="str">
        <f aca="false">IF(B406="","",N(H406)+N(I406))</f>
        <v/>
      </c>
      <c r="K406" s="10"/>
      <c r="L406" s="19"/>
      <c r="M406" s="12"/>
      <c r="N406" s="10"/>
      <c r="O406" s="25" t="str">
        <f aca="true">IF(OR(B406="",K406="Sold",K406="Donated"),"",TODAY()-B406)</f>
        <v/>
      </c>
      <c r="P406" s="25" t="str">
        <f aca="true">IF(OR(L406="",K406="Sold",K406="Donated"),"",TODAY()-L406)</f>
        <v/>
      </c>
      <c r="Q406" s="26" t="str">
        <f aca="false">IF(AND(K406="Listed",P406&lt;&gt;"",N(P406)&gt;Settings!$B$19),"STALE","")</f>
        <v/>
      </c>
      <c r="R406" s="27" t="str">
        <f aca="false">IF(Q406="STALE",COUNTIF($Q$4:Q406,"STALE"),"")</f>
        <v/>
      </c>
    </row>
    <row r="407" customFormat="false" ht="15" hidden="false" customHeight="false" outlineLevel="0" collapsed="false">
      <c r="A407" s="23" t="str">
        <f aca="false">IF(B407="","","SKU-"&amp;TEXT(ROW()-3,"0000"))</f>
        <v/>
      </c>
      <c r="B407" s="19"/>
      <c r="C407" s="10"/>
      <c r="D407" s="10"/>
      <c r="E407" s="10"/>
      <c r="F407" s="10"/>
      <c r="G407" s="10"/>
      <c r="H407" s="12"/>
      <c r="I407" s="12"/>
      <c r="J407" s="24" t="str">
        <f aca="false">IF(B407="","",N(H407)+N(I407))</f>
        <v/>
      </c>
      <c r="K407" s="10"/>
      <c r="L407" s="19"/>
      <c r="M407" s="12"/>
      <c r="N407" s="10"/>
      <c r="O407" s="25" t="str">
        <f aca="true">IF(OR(B407="",K407="Sold",K407="Donated"),"",TODAY()-B407)</f>
        <v/>
      </c>
      <c r="P407" s="25" t="str">
        <f aca="true">IF(OR(L407="",K407="Sold",K407="Donated"),"",TODAY()-L407)</f>
        <v/>
      </c>
      <c r="Q407" s="26" t="str">
        <f aca="false">IF(AND(K407="Listed",P407&lt;&gt;"",N(P407)&gt;Settings!$B$19),"STALE","")</f>
        <v/>
      </c>
      <c r="R407" s="27" t="str">
        <f aca="false">IF(Q407="STALE",COUNTIF($Q$4:Q407,"STALE"),"")</f>
        <v/>
      </c>
    </row>
    <row r="408" customFormat="false" ht="15" hidden="false" customHeight="false" outlineLevel="0" collapsed="false">
      <c r="A408" s="23" t="str">
        <f aca="false">IF(B408="","","SKU-"&amp;TEXT(ROW()-3,"0000"))</f>
        <v/>
      </c>
      <c r="B408" s="19"/>
      <c r="C408" s="10"/>
      <c r="D408" s="10"/>
      <c r="E408" s="10"/>
      <c r="F408" s="10"/>
      <c r="G408" s="10"/>
      <c r="H408" s="12"/>
      <c r="I408" s="12"/>
      <c r="J408" s="24" t="str">
        <f aca="false">IF(B408="","",N(H408)+N(I408))</f>
        <v/>
      </c>
      <c r="K408" s="10"/>
      <c r="L408" s="19"/>
      <c r="M408" s="12"/>
      <c r="N408" s="10"/>
      <c r="O408" s="25" t="str">
        <f aca="true">IF(OR(B408="",K408="Sold",K408="Donated"),"",TODAY()-B408)</f>
        <v/>
      </c>
      <c r="P408" s="25" t="str">
        <f aca="true">IF(OR(L408="",K408="Sold",K408="Donated"),"",TODAY()-L408)</f>
        <v/>
      </c>
      <c r="Q408" s="26" t="str">
        <f aca="false">IF(AND(K408="Listed",P408&lt;&gt;"",N(P408)&gt;Settings!$B$19),"STALE","")</f>
        <v/>
      </c>
      <c r="R408" s="27" t="str">
        <f aca="false">IF(Q408="STALE",COUNTIF($Q$4:Q408,"STALE"),"")</f>
        <v/>
      </c>
    </row>
    <row r="409" customFormat="false" ht="15" hidden="false" customHeight="false" outlineLevel="0" collapsed="false">
      <c r="A409" s="23" t="str">
        <f aca="false">IF(B409="","","SKU-"&amp;TEXT(ROW()-3,"0000"))</f>
        <v/>
      </c>
      <c r="B409" s="19"/>
      <c r="C409" s="10"/>
      <c r="D409" s="10"/>
      <c r="E409" s="10"/>
      <c r="F409" s="10"/>
      <c r="G409" s="10"/>
      <c r="H409" s="12"/>
      <c r="I409" s="12"/>
      <c r="J409" s="24" t="str">
        <f aca="false">IF(B409="","",N(H409)+N(I409))</f>
        <v/>
      </c>
      <c r="K409" s="10"/>
      <c r="L409" s="19"/>
      <c r="M409" s="12"/>
      <c r="N409" s="10"/>
      <c r="O409" s="25" t="str">
        <f aca="true">IF(OR(B409="",K409="Sold",K409="Donated"),"",TODAY()-B409)</f>
        <v/>
      </c>
      <c r="P409" s="25" t="str">
        <f aca="true">IF(OR(L409="",K409="Sold",K409="Donated"),"",TODAY()-L409)</f>
        <v/>
      </c>
      <c r="Q409" s="26" t="str">
        <f aca="false">IF(AND(K409="Listed",P409&lt;&gt;"",N(P409)&gt;Settings!$B$19),"STALE","")</f>
        <v/>
      </c>
      <c r="R409" s="27" t="str">
        <f aca="false">IF(Q409="STALE",COUNTIF($Q$4:Q409,"STALE"),"")</f>
        <v/>
      </c>
    </row>
    <row r="410" customFormat="false" ht="15" hidden="false" customHeight="false" outlineLevel="0" collapsed="false">
      <c r="A410" s="23" t="str">
        <f aca="false">IF(B410="","","SKU-"&amp;TEXT(ROW()-3,"0000"))</f>
        <v/>
      </c>
      <c r="B410" s="19"/>
      <c r="C410" s="10"/>
      <c r="D410" s="10"/>
      <c r="E410" s="10"/>
      <c r="F410" s="10"/>
      <c r="G410" s="10"/>
      <c r="H410" s="12"/>
      <c r="I410" s="12"/>
      <c r="J410" s="24" t="str">
        <f aca="false">IF(B410="","",N(H410)+N(I410))</f>
        <v/>
      </c>
      <c r="K410" s="10"/>
      <c r="L410" s="19"/>
      <c r="M410" s="12"/>
      <c r="N410" s="10"/>
      <c r="O410" s="25" t="str">
        <f aca="true">IF(OR(B410="",K410="Sold",K410="Donated"),"",TODAY()-B410)</f>
        <v/>
      </c>
      <c r="P410" s="25" t="str">
        <f aca="true">IF(OR(L410="",K410="Sold",K410="Donated"),"",TODAY()-L410)</f>
        <v/>
      </c>
      <c r="Q410" s="26" t="str">
        <f aca="false">IF(AND(K410="Listed",P410&lt;&gt;"",N(P410)&gt;Settings!$B$19),"STALE","")</f>
        <v/>
      </c>
      <c r="R410" s="27" t="str">
        <f aca="false">IF(Q410="STALE",COUNTIF($Q$4:Q410,"STALE"),"")</f>
        <v/>
      </c>
    </row>
    <row r="411" customFormat="false" ht="15" hidden="false" customHeight="false" outlineLevel="0" collapsed="false">
      <c r="A411" s="23" t="str">
        <f aca="false">IF(B411="","","SKU-"&amp;TEXT(ROW()-3,"0000"))</f>
        <v/>
      </c>
      <c r="B411" s="19"/>
      <c r="C411" s="10"/>
      <c r="D411" s="10"/>
      <c r="E411" s="10"/>
      <c r="F411" s="10"/>
      <c r="G411" s="10"/>
      <c r="H411" s="12"/>
      <c r="I411" s="12"/>
      <c r="J411" s="24" t="str">
        <f aca="false">IF(B411="","",N(H411)+N(I411))</f>
        <v/>
      </c>
      <c r="K411" s="10"/>
      <c r="L411" s="19"/>
      <c r="M411" s="12"/>
      <c r="N411" s="10"/>
      <c r="O411" s="25" t="str">
        <f aca="true">IF(OR(B411="",K411="Sold",K411="Donated"),"",TODAY()-B411)</f>
        <v/>
      </c>
      <c r="P411" s="25" t="str">
        <f aca="true">IF(OR(L411="",K411="Sold",K411="Donated"),"",TODAY()-L411)</f>
        <v/>
      </c>
      <c r="Q411" s="26" t="str">
        <f aca="false">IF(AND(K411="Listed",P411&lt;&gt;"",N(P411)&gt;Settings!$B$19),"STALE","")</f>
        <v/>
      </c>
      <c r="R411" s="27" t="str">
        <f aca="false">IF(Q411="STALE",COUNTIF($Q$4:Q411,"STALE"),"")</f>
        <v/>
      </c>
    </row>
    <row r="412" customFormat="false" ht="15" hidden="false" customHeight="false" outlineLevel="0" collapsed="false">
      <c r="A412" s="23" t="str">
        <f aca="false">IF(B412="","","SKU-"&amp;TEXT(ROW()-3,"0000"))</f>
        <v/>
      </c>
      <c r="B412" s="19"/>
      <c r="C412" s="10"/>
      <c r="D412" s="10"/>
      <c r="E412" s="10"/>
      <c r="F412" s="10"/>
      <c r="G412" s="10"/>
      <c r="H412" s="12"/>
      <c r="I412" s="12"/>
      <c r="J412" s="24" t="str">
        <f aca="false">IF(B412="","",N(H412)+N(I412))</f>
        <v/>
      </c>
      <c r="K412" s="10"/>
      <c r="L412" s="19"/>
      <c r="M412" s="12"/>
      <c r="N412" s="10"/>
      <c r="O412" s="25" t="str">
        <f aca="true">IF(OR(B412="",K412="Sold",K412="Donated"),"",TODAY()-B412)</f>
        <v/>
      </c>
      <c r="P412" s="25" t="str">
        <f aca="true">IF(OR(L412="",K412="Sold",K412="Donated"),"",TODAY()-L412)</f>
        <v/>
      </c>
      <c r="Q412" s="26" t="str">
        <f aca="false">IF(AND(K412="Listed",P412&lt;&gt;"",N(P412)&gt;Settings!$B$19),"STALE","")</f>
        <v/>
      </c>
      <c r="R412" s="27" t="str">
        <f aca="false">IF(Q412="STALE",COUNTIF($Q$4:Q412,"STALE"),"")</f>
        <v/>
      </c>
    </row>
    <row r="413" customFormat="false" ht="15" hidden="false" customHeight="false" outlineLevel="0" collapsed="false">
      <c r="A413" s="23" t="str">
        <f aca="false">IF(B413="","","SKU-"&amp;TEXT(ROW()-3,"0000"))</f>
        <v/>
      </c>
      <c r="B413" s="19"/>
      <c r="C413" s="10"/>
      <c r="D413" s="10"/>
      <c r="E413" s="10"/>
      <c r="F413" s="10"/>
      <c r="G413" s="10"/>
      <c r="H413" s="12"/>
      <c r="I413" s="12"/>
      <c r="J413" s="24" t="str">
        <f aca="false">IF(B413="","",N(H413)+N(I413))</f>
        <v/>
      </c>
      <c r="K413" s="10"/>
      <c r="L413" s="19"/>
      <c r="M413" s="12"/>
      <c r="N413" s="10"/>
      <c r="O413" s="25" t="str">
        <f aca="true">IF(OR(B413="",K413="Sold",K413="Donated"),"",TODAY()-B413)</f>
        <v/>
      </c>
      <c r="P413" s="25" t="str">
        <f aca="true">IF(OR(L413="",K413="Sold",K413="Donated"),"",TODAY()-L413)</f>
        <v/>
      </c>
      <c r="Q413" s="26" t="str">
        <f aca="false">IF(AND(K413="Listed",P413&lt;&gt;"",N(P413)&gt;Settings!$B$19),"STALE","")</f>
        <v/>
      </c>
      <c r="R413" s="27" t="str">
        <f aca="false">IF(Q413="STALE",COUNTIF($Q$4:Q413,"STALE"),"")</f>
        <v/>
      </c>
    </row>
    <row r="414" customFormat="false" ht="15" hidden="false" customHeight="false" outlineLevel="0" collapsed="false">
      <c r="A414" s="23" t="str">
        <f aca="false">IF(B414="","","SKU-"&amp;TEXT(ROW()-3,"0000"))</f>
        <v/>
      </c>
      <c r="B414" s="19"/>
      <c r="C414" s="10"/>
      <c r="D414" s="10"/>
      <c r="E414" s="10"/>
      <c r="F414" s="10"/>
      <c r="G414" s="10"/>
      <c r="H414" s="12"/>
      <c r="I414" s="12"/>
      <c r="J414" s="24" t="str">
        <f aca="false">IF(B414="","",N(H414)+N(I414))</f>
        <v/>
      </c>
      <c r="K414" s="10"/>
      <c r="L414" s="19"/>
      <c r="M414" s="12"/>
      <c r="N414" s="10"/>
      <c r="O414" s="25" t="str">
        <f aca="true">IF(OR(B414="",K414="Sold",K414="Donated"),"",TODAY()-B414)</f>
        <v/>
      </c>
      <c r="P414" s="25" t="str">
        <f aca="true">IF(OR(L414="",K414="Sold",K414="Donated"),"",TODAY()-L414)</f>
        <v/>
      </c>
      <c r="Q414" s="26" t="str">
        <f aca="false">IF(AND(K414="Listed",P414&lt;&gt;"",N(P414)&gt;Settings!$B$19),"STALE","")</f>
        <v/>
      </c>
      <c r="R414" s="27" t="str">
        <f aca="false">IF(Q414="STALE",COUNTIF($Q$4:Q414,"STALE"),"")</f>
        <v/>
      </c>
    </row>
    <row r="415" customFormat="false" ht="15" hidden="false" customHeight="false" outlineLevel="0" collapsed="false">
      <c r="A415" s="23" t="str">
        <f aca="false">IF(B415="","","SKU-"&amp;TEXT(ROW()-3,"0000"))</f>
        <v/>
      </c>
      <c r="B415" s="19"/>
      <c r="C415" s="10"/>
      <c r="D415" s="10"/>
      <c r="E415" s="10"/>
      <c r="F415" s="10"/>
      <c r="G415" s="10"/>
      <c r="H415" s="12"/>
      <c r="I415" s="12"/>
      <c r="J415" s="24" t="str">
        <f aca="false">IF(B415="","",N(H415)+N(I415))</f>
        <v/>
      </c>
      <c r="K415" s="10"/>
      <c r="L415" s="19"/>
      <c r="M415" s="12"/>
      <c r="N415" s="10"/>
      <c r="O415" s="25" t="str">
        <f aca="true">IF(OR(B415="",K415="Sold",K415="Donated"),"",TODAY()-B415)</f>
        <v/>
      </c>
      <c r="P415" s="25" t="str">
        <f aca="true">IF(OR(L415="",K415="Sold",K415="Donated"),"",TODAY()-L415)</f>
        <v/>
      </c>
      <c r="Q415" s="26" t="str">
        <f aca="false">IF(AND(K415="Listed",P415&lt;&gt;"",N(P415)&gt;Settings!$B$19),"STALE","")</f>
        <v/>
      </c>
      <c r="R415" s="27" t="str">
        <f aca="false">IF(Q415="STALE",COUNTIF($Q$4:Q415,"STALE"),"")</f>
        <v/>
      </c>
    </row>
    <row r="416" customFormat="false" ht="15" hidden="false" customHeight="false" outlineLevel="0" collapsed="false">
      <c r="A416" s="23" t="str">
        <f aca="false">IF(B416="","","SKU-"&amp;TEXT(ROW()-3,"0000"))</f>
        <v/>
      </c>
      <c r="B416" s="19"/>
      <c r="C416" s="10"/>
      <c r="D416" s="10"/>
      <c r="E416" s="10"/>
      <c r="F416" s="10"/>
      <c r="G416" s="10"/>
      <c r="H416" s="12"/>
      <c r="I416" s="12"/>
      <c r="J416" s="24" t="str">
        <f aca="false">IF(B416="","",N(H416)+N(I416))</f>
        <v/>
      </c>
      <c r="K416" s="10"/>
      <c r="L416" s="19"/>
      <c r="M416" s="12"/>
      <c r="N416" s="10"/>
      <c r="O416" s="25" t="str">
        <f aca="true">IF(OR(B416="",K416="Sold",K416="Donated"),"",TODAY()-B416)</f>
        <v/>
      </c>
      <c r="P416" s="25" t="str">
        <f aca="true">IF(OR(L416="",K416="Sold",K416="Donated"),"",TODAY()-L416)</f>
        <v/>
      </c>
      <c r="Q416" s="26" t="str">
        <f aca="false">IF(AND(K416="Listed",P416&lt;&gt;"",N(P416)&gt;Settings!$B$19),"STALE","")</f>
        <v/>
      </c>
      <c r="R416" s="27" t="str">
        <f aca="false">IF(Q416="STALE",COUNTIF($Q$4:Q416,"STALE"),"")</f>
        <v/>
      </c>
    </row>
    <row r="417" customFormat="false" ht="15" hidden="false" customHeight="false" outlineLevel="0" collapsed="false">
      <c r="A417" s="23" t="str">
        <f aca="false">IF(B417="","","SKU-"&amp;TEXT(ROW()-3,"0000"))</f>
        <v/>
      </c>
      <c r="B417" s="19"/>
      <c r="C417" s="10"/>
      <c r="D417" s="10"/>
      <c r="E417" s="10"/>
      <c r="F417" s="10"/>
      <c r="G417" s="10"/>
      <c r="H417" s="12"/>
      <c r="I417" s="12"/>
      <c r="J417" s="24" t="str">
        <f aca="false">IF(B417="","",N(H417)+N(I417))</f>
        <v/>
      </c>
      <c r="K417" s="10"/>
      <c r="L417" s="19"/>
      <c r="M417" s="12"/>
      <c r="N417" s="10"/>
      <c r="O417" s="25" t="str">
        <f aca="true">IF(OR(B417="",K417="Sold",K417="Donated"),"",TODAY()-B417)</f>
        <v/>
      </c>
      <c r="P417" s="25" t="str">
        <f aca="true">IF(OR(L417="",K417="Sold",K417="Donated"),"",TODAY()-L417)</f>
        <v/>
      </c>
      <c r="Q417" s="26" t="str">
        <f aca="false">IF(AND(K417="Listed",P417&lt;&gt;"",N(P417)&gt;Settings!$B$19),"STALE","")</f>
        <v/>
      </c>
      <c r="R417" s="27" t="str">
        <f aca="false">IF(Q417="STALE",COUNTIF($Q$4:Q417,"STALE"),"")</f>
        <v/>
      </c>
    </row>
    <row r="418" customFormat="false" ht="15" hidden="false" customHeight="false" outlineLevel="0" collapsed="false">
      <c r="A418" s="23" t="str">
        <f aca="false">IF(B418="","","SKU-"&amp;TEXT(ROW()-3,"0000"))</f>
        <v/>
      </c>
      <c r="B418" s="19"/>
      <c r="C418" s="10"/>
      <c r="D418" s="10"/>
      <c r="E418" s="10"/>
      <c r="F418" s="10"/>
      <c r="G418" s="10"/>
      <c r="H418" s="12"/>
      <c r="I418" s="12"/>
      <c r="J418" s="24" t="str">
        <f aca="false">IF(B418="","",N(H418)+N(I418))</f>
        <v/>
      </c>
      <c r="K418" s="10"/>
      <c r="L418" s="19"/>
      <c r="M418" s="12"/>
      <c r="N418" s="10"/>
      <c r="O418" s="25" t="str">
        <f aca="true">IF(OR(B418="",K418="Sold",K418="Donated"),"",TODAY()-B418)</f>
        <v/>
      </c>
      <c r="P418" s="25" t="str">
        <f aca="true">IF(OR(L418="",K418="Sold",K418="Donated"),"",TODAY()-L418)</f>
        <v/>
      </c>
      <c r="Q418" s="26" t="str">
        <f aca="false">IF(AND(K418="Listed",P418&lt;&gt;"",N(P418)&gt;Settings!$B$19),"STALE","")</f>
        <v/>
      </c>
      <c r="R418" s="27" t="str">
        <f aca="false">IF(Q418="STALE",COUNTIF($Q$4:Q418,"STALE"),"")</f>
        <v/>
      </c>
    </row>
    <row r="419" customFormat="false" ht="15" hidden="false" customHeight="false" outlineLevel="0" collapsed="false">
      <c r="A419" s="23" t="str">
        <f aca="false">IF(B419="","","SKU-"&amp;TEXT(ROW()-3,"0000"))</f>
        <v/>
      </c>
      <c r="B419" s="19"/>
      <c r="C419" s="10"/>
      <c r="D419" s="10"/>
      <c r="E419" s="10"/>
      <c r="F419" s="10"/>
      <c r="G419" s="10"/>
      <c r="H419" s="12"/>
      <c r="I419" s="12"/>
      <c r="J419" s="24" t="str">
        <f aca="false">IF(B419="","",N(H419)+N(I419))</f>
        <v/>
      </c>
      <c r="K419" s="10"/>
      <c r="L419" s="19"/>
      <c r="M419" s="12"/>
      <c r="N419" s="10"/>
      <c r="O419" s="25" t="str">
        <f aca="true">IF(OR(B419="",K419="Sold",K419="Donated"),"",TODAY()-B419)</f>
        <v/>
      </c>
      <c r="P419" s="25" t="str">
        <f aca="true">IF(OR(L419="",K419="Sold",K419="Donated"),"",TODAY()-L419)</f>
        <v/>
      </c>
      <c r="Q419" s="26" t="str">
        <f aca="false">IF(AND(K419="Listed",P419&lt;&gt;"",N(P419)&gt;Settings!$B$19),"STALE","")</f>
        <v/>
      </c>
      <c r="R419" s="27" t="str">
        <f aca="false">IF(Q419="STALE",COUNTIF($Q$4:Q419,"STALE"),"")</f>
        <v/>
      </c>
    </row>
    <row r="420" customFormat="false" ht="15" hidden="false" customHeight="false" outlineLevel="0" collapsed="false">
      <c r="A420" s="23" t="str">
        <f aca="false">IF(B420="","","SKU-"&amp;TEXT(ROW()-3,"0000"))</f>
        <v/>
      </c>
      <c r="B420" s="19"/>
      <c r="C420" s="10"/>
      <c r="D420" s="10"/>
      <c r="E420" s="10"/>
      <c r="F420" s="10"/>
      <c r="G420" s="10"/>
      <c r="H420" s="12"/>
      <c r="I420" s="12"/>
      <c r="J420" s="24" t="str">
        <f aca="false">IF(B420="","",N(H420)+N(I420))</f>
        <v/>
      </c>
      <c r="K420" s="10"/>
      <c r="L420" s="19"/>
      <c r="M420" s="12"/>
      <c r="N420" s="10"/>
      <c r="O420" s="25" t="str">
        <f aca="true">IF(OR(B420="",K420="Sold",K420="Donated"),"",TODAY()-B420)</f>
        <v/>
      </c>
      <c r="P420" s="25" t="str">
        <f aca="true">IF(OR(L420="",K420="Sold",K420="Donated"),"",TODAY()-L420)</f>
        <v/>
      </c>
      <c r="Q420" s="26" t="str">
        <f aca="false">IF(AND(K420="Listed",P420&lt;&gt;"",N(P420)&gt;Settings!$B$19),"STALE","")</f>
        <v/>
      </c>
      <c r="R420" s="27" t="str">
        <f aca="false">IF(Q420="STALE",COUNTIF($Q$4:Q420,"STALE"),"")</f>
        <v/>
      </c>
    </row>
    <row r="421" customFormat="false" ht="15" hidden="false" customHeight="false" outlineLevel="0" collapsed="false">
      <c r="A421" s="23" t="str">
        <f aca="false">IF(B421="","","SKU-"&amp;TEXT(ROW()-3,"0000"))</f>
        <v/>
      </c>
      <c r="B421" s="19"/>
      <c r="C421" s="10"/>
      <c r="D421" s="10"/>
      <c r="E421" s="10"/>
      <c r="F421" s="10"/>
      <c r="G421" s="10"/>
      <c r="H421" s="12"/>
      <c r="I421" s="12"/>
      <c r="J421" s="24" t="str">
        <f aca="false">IF(B421="","",N(H421)+N(I421))</f>
        <v/>
      </c>
      <c r="K421" s="10"/>
      <c r="L421" s="19"/>
      <c r="M421" s="12"/>
      <c r="N421" s="10"/>
      <c r="O421" s="25" t="str">
        <f aca="true">IF(OR(B421="",K421="Sold",K421="Donated"),"",TODAY()-B421)</f>
        <v/>
      </c>
      <c r="P421" s="25" t="str">
        <f aca="true">IF(OR(L421="",K421="Sold",K421="Donated"),"",TODAY()-L421)</f>
        <v/>
      </c>
      <c r="Q421" s="26" t="str">
        <f aca="false">IF(AND(K421="Listed",P421&lt;&gt;"",N(P421)&gt;Settings!$B$19),"STALE","")</f>
        <v/>
      </c>
      <c r="R421" s="27" t="str">
        <f aca="false">IF(Q421="STALE",COUNTIF($Q$4:Q421,"STALE"),"")</f>
        <v/>
      </c>
    </row>
    <row r="422" customFormat="false" ht="15" hidden="false" customHeight="false" outlineLevel="0" collapsed="false">
      <c r="A422" s="23" t="str">
        <f aca="false">IF(B422="","","SKU-"&amp;TEXT(ROW()-3,"0000"))</f>
        <v/>
      </c>
      <c r="B422" s="19"/>
      <c r="C422" s="10"/>
      <c r="D422" s="10"/>
      <c r="E422" s="10"/>
      <c r="F422" s="10"/>
      <c r="G422" s="10"/>
      <c r="H422" s="12"/>
      <c r="I422" s="12"/>
      <c r="J422" s="24" t="str">
        <f aca="false">IF(B422="","",N(H422)+N(I422))</f>
        <v/>
      </c>
      <c r="K422" s="10"/>
      <c r="L422" s="19"/>
      <c r="M422" s="12"/>
      <c r="N422" s="10"/>
      <c r="O422" s="25" t="str">
        <f aca="true">IF(OR(B422="",K422="Sold",K422="Donated"),"",TODAY()-B422)</f>
        <v/>
      </c>
      <c r="P422" s="25" t="str">
        <f aca="true">IF(OR(L422="",K422="Sold",K422="Donated"),"",TODAY()-L422)</f>
        <v/>
      </c>
      <c r="Q422" s="26" t="str">
        <f aca="false">IF(AND(K422="Listed",P422&lt;&gt;"",N(P422)&gt;Settings!$B$19),"STALE","")</f>
        <v/>
      </c>
      <c r="R422" s="27" t="str">
        <f aca="false">IF(Q422="STALE",COUNTIF($Q$4:Q422,"STALE"),"")</f>
        <v/>
      </c>
    </row>
    <row r="423" customFormat="false" ht="15" hidden="false" customHeight="false" outlineLevel="0" collapsed="false">
      <c r="A423" s="23" t="str">
        <f aca="false">IF(B423="","","SKU-"&amp;TEXT(ROW()-3,"0000"))</f>
        <v/>
      </c>
      <c r="B423" s="19"/>
      <c r="C423" s="10"/>
      <c r="D423" s="10"/>
      <c r="E423" s="10"/>
      <c r="F423" s="10"/>
      <c r="G423" s="10"/>
      <c r="H423" s="12"/>
      <c r="I423" s="12"/>
      <c r="J423" s="24" t="str">
        <f aca="false">IF(B423="","",N(H423)+N(I423))</f>
        <v/>
      </c>
      <c r="K423" s="10"/>
      <c r="L423" s="19"/>
      <c r="M423" s="12"/>
      <c r="N423" s="10"/>
      <c r="O423" s="25" t="str">
        <f aca="true">IF(OR(B423="",K423="Sold",K423="Donated"),"",TODAY()-B423)</f>
        <v/>
      </c>
      <c r="P423" s="25" t="str">
        <f aca="true">IF(OR(L423="",K423="Sold",K423="Donated"),"",TODAY()-L423)</f>
        <v/>
      </c>
      <c r="Q423" s="26" t="str">
        <f aca="false">IF(AND(K423="Listed",P423&lt;&gt;"",N(P423)&gt;Settings!$B$19),"STALE","")</f>
        <v/>
      </c>
      <c r="R423" s="27" t="str">
        <f aca="false">IF(Q423="STALE",COUNTIF($Q$4:Q423,"STALE"),"")</f>
        <v/>
      </c>
    </row>
    <row r="424" customFormat="false" ht="15" hidden="false" customHeight="false" outlineLevel="0" collapsed="false">
      <c r="A424" s="23" t="str">
        <f aca="false">IF(B424="","","SKU-"&amp;TEXT(ROW()-3,"0000"))</f>
        <v/>
      </c>
      <c r="B424" s="19"/>
      <c r="C424" s="10"/>
      <c r="D424" s="10"/>
      <c r="E424" s="10"/>
      <c r="F424" s="10"/>
      <c r="G424" s="10"/>
      <c r="H424" s="12"/>
      <c r="I424" s="12"/>
      <c r="J424" s="24" t="str">
        <f aca="false">IF(B424="","",N(H424)+N(I424))</f>
        <v/>
      </c>
      <c r="K424" s="10"/>
      <c r="L424" s="19"/>
      <c r="M424" s="12"/>
      <c r="N424" s="10"/>
      <c r="O424" s="25" t="str">
        <f aca="true">IF(OR(B424="",K424="Sold",K424="Donated"),"",TODAY()-B424)</f>
        <v/>
      </c>
      <c r="P424" s="25" t="str">
        <f aca="true">IF(OR(L424="",K424="Sold",K424="Donated"),"",TODAY()-L424)</f>
        <v/>
      </c>
      <c r="Q424" s="26" t="str">
        <f aca="false">IF(AND(K424="Listed",P424&lt;&gt;"",N(P424)&gt;Settings!$B$19),"STALE","")</f>
        <v/>
      </c>
      <c r="R424" s="27" t="str">
        <f aca="false">IF(Q424="STALE",COUNTIF($Q$4:Q424,"STALE"),"")</f>
        <v/>
      </c>
    </row>
    <row r="425" customFormat="false" ht="15" hidden="false" customHeight="false" outlineLevel="0" collapsed="false">
      <c r="A425" s="23" t="str">
        <f aca="false">IF(B425="","","SKU-"&amp;TEXT(ROW()-3,"0000"))</f>
        <v/>
      </c>
      <c r="B425" s="19"/>
      <c r="C425" s="10"/>
      <c r="D425" s="10"/>
      <c r="E425" s="10"/>
      <c r="F425" s="10"/>
      <c r="G425" s="10"/>
      <c r="H425" s="12"/>
      <c r="I425" s="12"/>
      <c r="J425" s="24" t="str">
        <f aca="false">IF(B425="","",N(H425)+N(I425))</f>
        <v/>
      </c>
      <c r="K425" s="10"/>
      <c r="L425" s="19"/>
      <c r="M425" s="12"/>
      <c r="N425" s="10"/>
      <c r="O425" s="25" t="str">
        <f aca="true">IF(OR(B425="",K425="Sold",K425="Donated"),"",TODAY()-B425)</f>
        <v/>
      </c>
      <c r="P425" s="25" t="str">
        <f aca="true">IF(OR(L425="",K425="Sold",K425="Donated"),"",TODAY()-L425)</f>
        <v/>
      </c>
      <c r="Q425" s="26" t="str">
        <f aca="false">IF(AND(K425="Listed",P425&lt;&gt;"",N(P425)&gt;Settings!$B$19),"STALE","")</f>
        <v/>
      </c>
      <c r="R425" s="27" t="str">
        <f aca="false">IF(Q425="STALE",COUNTIF($Q$4:Q425,"STALE"),"")</f>
        <v/>
      </c>
    </row>
    <row r="426" customFormat="false" ht="15" hidden="false" customHeight="false" outlineLevel="0" collapsed="false">
      <c r="A426" s="23" t="str">
        <f aca="false">IF(B426="","","SKU-"&amp;TEXT(ROW()-3,"0000"))</f>
        <v/>
      </c>
      <c r="B426" s="19"/>
      <c r="C426" s="10"/>
      <c r="D426" s="10"/>
      <c r="E426" s="10"/>
      <c r="F426" s="10"/>
      <c r="G426" s="10"/>
      <c r="H426" s="12"/>
      <c r="I426" s="12"/>
      <c r="J426" s="24" t="str">
        <f aca="false">IF(B426="","",N(H426)+N(I426))</f>
        <v/>
      </c>
      <c r="K426" s="10"/>
      <c r="L426" s="19"/>
      <c r="M426" s="12"/>
      <c r="N426" s="10"/>
      <c r="O426" s="25" t="str">
        <f aca="true">IF(OR(B426="",K426="Sold",K426="Donated"),"",TODAY()-B426)</f>
        <v/>
      </c>
      <c r="P426" s="25" t="str">
        <f aca="true">IF(OR(L426="",K426="Sold",K426="Donated"),"",TODAY()-L426)</f>
        <v/>
      </c>
      <c r="Q426" s="26" t="str">
        <f aca="false">IF(AND(K426="Listed",P426&lt;&gt;"",N(P426)&gt;Settings!$B$19),"STALE","")</f>
        <v/>
      </c>
      <c r="R426" s="27" t="str">
        <f aca="false">IF(Q426="STALE",COUNTIF($Q$4:Q426,"STALE"),"")</f>
        <v/>
      </c>
    </row>
    <row r="427" customFormat="false" ht="15" hidden="false" customHeight="false" outlineLevel="0" collapsed="false">
      <c r="A427" s="23" t="str">
        <f aca="false">IF(B427="","","SKU-"&amp;TEXT(ROW()-3,"0000"))</f>
        <v/>
      </c>
      <c r="B427" s="19"/>
      <c r="C427" s="10"/>
      <c r="D427" s="10"/>
      <c r="E427" s="10"/>
      <c r="F427" s="10"/>
      <c r="G427" s="10"/>
      <c r="H427" s="12"/>
      <c r="I427" s="12"/>
      <c r="J427" s="24" t="str">
        <f aca="false">IF(B427="","",N(H427)+N(I427))</f>
        <v/>
      </c>
      <c r="K427" s="10"/>
      <c r="L427" s="19"/>
      <c r="M427" s="12"/>
      <c r="N427" s="10"/>
      <c r="O427" s="25" t="str">
        <f aca="true">IF(OR(B427="",K427="Sold",K427="Donated"),"",TODAY()-B427)</f>
        <v/>
      </c>
      <c r="P427" s="25" t="str">
        <f aca="true">IF(OR(L427="",K427="Sold",K427="Donated"),"",TODAY()-L427)</f>
        <v/>
      </c>
      <c r="Q427" s="26" t="str">
        <f aca="false">IF(AND(K427="Listed",P427&lt;&gt;"",N(P427)&gt;Settings!$B$19),"STALE","")</f>
        <v/>
      </c>
      <c r="R427" s="27" t="str">
        <f aca="false">IF(Q427="STALE",COUNTIF($Q$4:Q427,"STALE"),"")</f>
        <v/>
      </c>
    </row>
    <row r="428" customFormat="false" ht="15" hidden="false" customHeight="false" outlineLevel="0" collapsed="false">
      <c r="A428" s="23" t="str">
        <f aca="false">IF(B428="","","SKU-"&amp;TEXT(ROW()-3,"0000"))</f>
        <v/>
      </c>
      <c r="B428" s="19"/>
      <c r="C428" s="10"/>
      <c r="D428" s="10"/>
      <c r="E428" s="10"/>
      <c r="F428" s="10"/>
      <c r="G428" s="10"/>
      <c r="H428" s="12"/>
      <c r="I428" s="12"/>
      <c r="J428" s="24" t="str">
        <f aca="false">IF(B428="","",N(H428)+N(I428))</f>
        <v/>
      </c>
      <c r="K428" s="10"/>
      <c r="L428" s="19"/>
      <c r="M428" s="12"/>
      <c r="N428" s="10"/>
      <c r="O428" s="25" t="str">
        <f aca="true">IF(OR(B428="",K428="Sold",K428="Donated"),"",TODAY()-B428)</f>
        <v/>
      </c>
      <c r="P428" s="25" t="str">
        <f aca="true">IF(OR(L428="",K428="Sold",K428="Donated"),"",TODAY()-L428)</f>
        <v/>
      </c>
      <c r="Q428" s="26" t="str">
        <f aca="false">IF(AND(K428="Listed",P428&lt;&gt;"",N(P428)&gt;Settings!$B$19),"STALE","")</f>
        <v/>
      </c>
      <c r="R428" s="27" t="str">
        <f aca="false">IF(Q428="STALE",COUNTIF($Q$4:Q428,"STALE"),"")</f>
        <v/>
      </c>
    </row>
    <row r="429" customFormat="false" ht="15" hidden="false" customHeight="false" outlineLevel="0" collapsed="false">
      <c r="A429" s="23" t="str">
        <f aca="false">IF(B429="","","SKU-"&amp;TEXT(ROW()-3,"0000"))</f>
        <v/>
      </c>
      <c r="B429" s="19"/>
      <c r="C429" s="10"/>
      <c r="D429" s="10"/>
      <c r="E429" s="10"/>
      <c r="F429" s="10"/>
      <c r="G429" s="10"/>
      <c r="H429" s="12"/>
      <c r="I429" s="12"/>
      <c r="J429" s="24" t="str">
        <f aca="false">IF(B429="","",N(H429)+N(I429))</f>
        <v/>
      </c>
      <c r="K429" s="10"/>
      <c r="L429" s="19"/>
      <c r="M429" s="12"/>
      <c r="N429" s="10"/>
      <c r="O429" s="25" t="str">
        <f aca="true">IF(OR(B429="",K429="Sold",K429="Donated"),"",TODAY()-B429)</f>
        <v/>
      </c>
      <c r="P429" s="25" t="str">
        <f aca="true">IF(OR(L429="",K429="Sold",K429="Donated"),"",TODAY()-L429)</f>
        <v/>
      </c>
      <c r="Q429" s="26" t="str">
        <f aca="false">IF(AND(K429="Listed",P429&lt;&gt;"",N(P429)&gt;Settings!$B$19),"STALE","")</f>
        <v/>
      </c>
      <c r="R429" s="27" t="str">
        <f aca="false">IF(Q429="STALE",COUNTIF($Q$4:Q429,"STALE"),"")</f>
        <v/>
      </c>
    </row>
    <row r="430" customFormat="false" ht="15" hidden="false" customHeight="false" outlineLevel="0" collapsed="false">
      <c r="A430" s="23" t="str">
        <f aca="false">IF(B430="","","SKU-"&amp;TEXT(ROW()-3,"0000"))</f>
        <v/>
      </c>
      <c r="B430" s="19"/>
      <c r="C430" s="10"/>
      <c r="D430" s="10"/>
      <c r="E430" s="10"/>
      <c r="F430" s="10"/>
      <c r="G430" s="10"/>
      <c r="H430" s="12"/>
      <c r="I430" s="12"/>
      <c r="J430" s="24" t="str">
        <f aca="false">IF(B430="","",N(H430)+N(I430))</f>
        <v/>
      </c>
      <c r="K430" s="10"/>
      <c r="L430" s="19"/>
      <c r="M430" s="12"/>
      <c r="N430" s="10"/>
      <c r="O430" s="25" t="str">
        <f aca="true">IF(OR(B430="",K430="Sold",K430="Donated"),"",TODAY()-B430)</f>
        <v/>
      </c>
      <c r="P430" s="25" t="str">
        <f aca="true">IF(OR(L430="",K430="Sold",K430="Donated"),"",TODAY()-L430)</f>
        <v/>
      </c>
      <c r="Q430" s="26" t="str">
        <f aca="false">IF(AND(K430="Listed",P430&lt;&gt;"",N(P430)&gt;Settings!$B$19),"STALE","")</f>
        <v/>
      </c>
      <c r="R430" s="27" t="str">
        <f aca="false">IF(Q430="STALE",COUNTIF($Q$4:Q430,"STALE"),"")</f>
        <v/>
      </c>
    </row>
    <row r="431" customFormat="false" ht="15" hidden="false" customHeight="false" outlineLevel="0" collapsed="false">
      <c r="A431" s="23" t="str">
        <f aca="false">IF(B431="","","SKU-"&amp;TEXT(ROW()-3,"0000"))</f>
        <v/>
      </c>
      <c r="B431" s="19"/>
      <c r="C431" s="10"/>
      <c r="D431" s="10"/>
      <c r="E431" s="10"/>
      <c r="F431" s="10"/>
      <c r="G431" s="10"/>
      <c r="H431" s="12"/>
      <c r="I431" s="12"/>
      <c r="J431" s="24" t="str">
        <f aca="false">IF(B431="","",N(H431)+N(I431))</f>
        <v/>
      </c>
      <c r="K431" s="10"/>
      <c r="L431" s="19"/>
      <c r="M431" s="12"/>
      <c r="N431" s="10"/>
      <c r="O431" s="25" t="str">
        <f aca="true">IF(OR(B431="",K431="Sold",K431="Donated"),"",TODAY()-B431)</f>
        <v/>
      </c>
      <c r="P431" s="25" t="str">
        <f aca="true">IF(OR(L431="",K431="Sold",K431="Donated"),"",TODAY()-L431)</f>
        <v/>
      </c>
      <c r="Q431" s="26" t="str">
        <f aca="false">IF(AND(K431="Listed",P431&lt;&gt;"",N(P431)&gt;Settings!$B$19),"STALE","")</f>
        <v/>
      </c>
      <c r="R431" s="27" t="str">
        <f aca="false">IF(Q431="STALE",COUNTIF($Q$4:Q431,"STALE"),"")</f>
        <v/>
      </c>
    </row>
    <row r="432" customFormat="false" ht="15" hidden="false" customHeight="false" outlineLevel="0" collapsed="false">
      <c r="A432" s="23" t="str">
        <f aca="false">IF(B432="","","SKU-"&amp;TEXT(ROW()-3,"0000"))</f>
        <v/>
      </c>
      <c r="B432" s="19"/>
      <c r="C432" s="10"/>
      <c r="D432" s="10"/>
      <c r="E432" s="10"/>
      <c r="F432" s="10"/>
      <c r="G432" s="10"/>
      <c r="H432" s="12"/>
      <c r="I432" s="12"/>
      <c r="J432" s="24" t="str">
        <f aca="false">IF(B432="","",N(H432)+N(I432))</f>
        <v/>
      </c>
      <c r="K432" s="10"/>
      <c r="L432" s="19"/>
      <c r="M432" s="12"/>
      <c r="N432" s="10"/>
      <c r="O432" s="25" t="str">
        <f aca="true">IF(OR(B432="",K432="Sold",K432="Donated"),"",TODAY()-B432)</f>
        <v/>
      </c>
      <c r="P432" s="25" t="str">
        <f aca="true">IF(OR(L432="",K432="Sold",K432="Donated"),"",TODAY()-L432)</f>
        <v/>
      </c>
      <c r="Q432" s="26" t="str">
        <f aca="false">IF(AND(K432="Listed",P432&lt;&gt;"",N(P432)&gt;Settings!$B$19),"STALE","")</f>
        <v/>
      </c>
      <c r="R432" s="27" t="str">
        <f aca="false">IF(Q432="STALE",COUNTIF($Q$4:Q432,"STALE"),"")</f>
        <v/>
      </c>
    </row>
    <row r="433" customFormat="false" ht="15" hidden="false" customHeight="false" outlineLevel="0" collapsed="false">
      <c r="A433" s="23" t="str">
        <f aca="false">IF(B433="","","SKU-"&amp;TEXT(ROW()-3,"0000"))</f>
        <v/>
      </c>
      <c r="B433" s="19"/>
      <c r="C433" s="10"/>
      <c r="D433" s="10"/>
      <c r="E433" s="10"/>
      <c r="F433" s="10"/>
      <c r="G433" s="10"/>
      <c r="H433" s="12"/>
      <c r="I433" s="12"/>
      <c r="J433" s="24" t="str">
        <f aca="false">IF(B433="","",N(H433)+N(I433))</f>
        <v/>
      </c>
      <c r="K433" s="10"/>
      <c r="L433" s="19"/>
      <c r="M433" s="12"/>
      <c r="N433" s="10"/>
      <c r="O433" s="25" t="str">
        <f aca="true">IF(OR(B433="",K433="Sold",K433="Donated"),"",TODAY()-B433)</f>
        <v/>
      </c>
      <c r="P433" s="25" t="str">
        <f aca="true">IF(OR(L433="",K433="Sold",K433="Donated"),"",TODAY()-L433)</f>
        <v/>
      </c>
      <c r="Q433" s="26" t="str">
        <f aca="false">IF(AND(K433="Listed",P433&lt;&gt;"",N(P433)&gt;Settings!$B$19),"STALE","")</f>
        <v/>
      </c>
      <c r="R433" s="27" t="str">
        <f aca="false">IF(Q433="STALE",COUNTIF($Q$4:Q433,"STALE"),"")</f>
        <v/>
      </c>
    </row>
    <row r="434" customFormat="false" ht="15" hidden="false" customHeight="false" outlineLevel="0" collapsed="false">
      <c r="A434" s="23" t="str">
        <f aca="false">IF(B434="","","SKU-"&amp;TEXT(ROW()-3,"0000"))</f>
        <v/>
      </c>
      <c r="B434" s="19"/>
      <c r="C434" s="10"/>
      <c r="D434" s="10"/>
      <c r="E434" s="10"/>
      <c r="F434" s="10"/>
      <c r="G434" s="10"/>
      <c r="H434" s="12"/>
      <c r="I434" s="12"/>
      <c r="J434" s="24" t="str">
        <f aca="false">IF(B434="","",N(H434)+N(I434))</f>
        <v/>
      </c>
      <c r="K434" s="10"/>
      <c r="L434" s="19"/>
      <c r="M434" s="12"/>
      <c r="N434" s="10"/>
      <c r="O434" s="25" t="str">
        <f aca="true">IF(OR(B434="",K434="Sold",K434="Donated"),"",TODAY()-B434)</f>
        <v/>
      </c>
      <c r="P434" s="25" t="str">
        <f aca="true">IF(OR(L434="",K434="Sold",K434="Donated"),"",TODAY()-L434)</f>
        <v/>
      </c>
      <c r="Q434" s="26" t="str">
        <f aca="false">IF(AND(K434="Listed",P434&lt;&gt;"",N(P434)&gt;Settings!$B$19),"STALE","")</f>
        <v/>
      </c>
      <c r="R434" s="27" t="str">
        <f aca="false">IF(Q434="STALE",COUNTIF($Q$4:Q434,"STALE"),"")</f>
        <v/>
      </c>
    </row>
    <row r="435" customFormat="false" ht="15" hidden="false" customHeight="false" outlineLevel="0" collapsed="false">
      <c r="A435" s="23" t="str">
        <f aca="false">IF(B435="","","SKU-"&amp;TEXT(ROW()-3,"0000"))</f>
        <v/>
      </c>
      <c r="B435" s="19"/>
      <c r="C435" s="10"/>
      <c r="D435" s="10"/>
      <c r="E435" s="10"/>
      <c r="F435" s="10"/>
      <c r="G435" s="10"/>
      <c r="H435" s="12"/>
      <c r="I435" s="12"/>
      <c r="J435" s="24" t="str">
        <f aca="false">IF(B435="","",N(H435)+N(I435))</f>
        <v/>
      </c>
      <c r="K435" s="10"/>
      <c r="L435" s="19"/>
      <c r="M435" s="12"/>
      <c r="N435" s="10"/>
      <c r="O435" s="25" t="str">
        <f aca="true">IF(OR(B435="",K435="Sold",K435="Donated"),"",TODAY()-B435)</f>
        <v/>
      </c>
      <c r="P435" s="25" t="str">
        <f aca="true">IF(OR(L435="",K435="Sold",K435="Donated"),"",TODAY()-L435)</f>
        <v/>
      </c>
      <c r="Q435" s="26" t="str">
        <f aca="false">IF(AND(K435="Listed",P435&lt;&gt;"",N(P435)&gt;Settings!$B$19),"STALE","")</f>
        <v/>
      </c>
      <c r="R435" s="27" t="str">
        <f aca="false">IF(Q435="STALE",COUNTIF($Q$4:Q435,"STALE"),"")</f>
        <v/>
      </c>
    </row>
    <row r="436" customFormat="false" ht="15" hidden="false" customHeight="false" outlineLevel="0" collapsed="false">
      <c r="A436" s="23" t="str">
        <f aca="false">IF(B436="","","SKU-"&amp;TEXT(ROW()-3,"0000"))</f>
        <v/>
      </c>
      <c r="B436" s="19"/>
      <c r="C436" s="10"/>
      <c r="D436" s="10"/>
      <c r="E436" s="10"/>
      <c r="F436" s="10"/>
      <c r="G436" s="10"/>
      <c r="H436" s="12"/>
      <c r="I436" s="12"/>
      <c r="J436" s="24" t="str">
        <f aca="false">IF(B436="","",N(H436)+N(I436))</f>
        <v/>
      </c>
      <c r="K436" s="10"/>
      <c r="L436" s="19"/>
      <c r="M436" s="12"/>
      <c r="N436" s="10"/>
      <c r="O436" s="25" t="str">
        <f aca="true">IF(OR(B436="",K436="Sold",K436="Donated"),"",TODAY()-B436)</f>
        <v/>
      </c>
      <c r="P436" s="25" t="str">
        <f aca="true">IF(OR(L436="",K436="Sold",K436="Donated"),"",TODAY()-L436)</f>
        <v/>
      </c>
      <c r="Q436" s="26" t="str">
        <f aca="false">IF(AND(K436="Listed",P436&lt;&gt;"",N(P436)&gt;Settings!$B$19),"STALE","")</f>
        <v/>
      </c>
      <c r="R436" s="27" t="str">
        <f aca="false">IF(Q436="STALE",COUNTIF($Q$4:Q436,"STALE"),"")</f>
        <v/>
      </c>
    </row>
    <row r="437" customFormat="false" ht="15" hidden="false" customHeight="false" outlineLevel="0" collapsed="false">
      <c r="A437" s="23" t="str">
        <f aca="false">IF(B437="","","SKU-"&amp;TEXT(ROW()-3,"0000"))</f>
        <v/>
      </c>
      <c r="B437" s="19"/>
      <c r="C437" s="10"/>
      <c r="D437" s="10"/>
      <c r="E437" s="10"/>
      <c r="F437" s="10"/>
      <c r="G437" s="10"/>
      <c r="H437" s="12"/>
      <c r="I437" s="12"/>
      <c r="J437" s="24" t="str">
        <f aca="false">IF(B437="","",N(H437)+N(I437))</f>
        <v/>
      </c>
      <c r="K437" s="10"/>
      <c r="L437" s="19"/>
      <c r="M437" s="12"/>
      <c r="N437" s="10"/>
      <c r="O437" s="25" t="str">
        <f aca="true">IF(OR(B437="",K437="Sold",K437="Donated"),"",TODAY()-B437)</f>
        <v/>
      </c>
      <c r="P437" s="25" t="str">
        <f aca="true">IF(OR(L437="",K437="Sold",K437="Donated"),"",TODAY()-L437)</f>
        <v/>
      </c>
      <c r="Q437" s="26" t="str">
        <f aca="false">IF(AND(K437="Listed",P437&lt;&gt;"",N(P437)&gt;Settings!$B$19),"STALE","")</f>
        <v/>
      </c>
      <c r="R437" s="27" t="str">
        <f aca="false">IF(Q437="STALE",COUNTIF($Q$4:Q437,"STALE"),"")</f>
        <v/>
      </c>
    </row>
    <row r="438" customFormat="false" ht="15" hidden="false" customHeight="false" outlineLevel="0" collapsed="false">
      <c r="A438" s="23" t="str">
        <f aca="false">IF(B438="","","SKU-"&amp;TEXT(ROW()-3,"0000"))</f>
        <v/>
      </c>
      <c r="B438" s="19"/>
      <c r="C438" s="10"/>
      <c r="D438" s="10"/>
      <c r="E438" s="10"/>
      <c r="F438" s="10"/>
      <c r="G438" s="10"/>
      <c r="H438" s="12"/>
      <c r="I438" s="12"/>
      <c r="J438" s="24" t="str">
        <f aca="false">IF(B438="","",N(H438)+N(I438))</f>
        <v/>
      </c>
      <c r="K438" s="10"/>
      <c r="L438" s="19"/>
      <c r="M438" s="12"/>
      <c r="N438" s="10"/>
      <c r="O438" s="25" t="str">
        <f aca="true">IF(OR(B438="",K438="Sold",K438="Donated"),"",TODAY()-B438)</f>
        <v/>
      </c>
      <c r="P438" s="25" t="str">
        <f aca="true">IF(OR(L438="",K438="Sold",K438="Donated"),"",TODAY()-L438)</f>
        <v/>
      </c>
      <c r="Q438" s="26" t="str">
        <f aca="false">IF(AND(K438="Listed",P438&lt;&gt;"",N(P438)&gt;Settings!$B$19),"STALE","")</f>
        <v/>
      </c>
      <c r="R438" s="27" t="str">
        <f aca="false">IF(Q438="STALE",COUNTIF($Q$4:Q438,"STALE"),"")</f>
        <v/>
      </c>
    </row>
    <row r="439" customFormat="false" ht="15" hidden="false" customHeight="false" outlineLevel="0" collapsed="false">
      <c r="A439" s="23" t="str">
        <f aca="false">IF(B439="","","SKU-"&amp;TEXT(ROW()-3,"0000"))</f>
        <v/>
      </c>
      <c r="B439" s="19"/>
      <c r="C439" s="10"/>
      <c r="D439" s="10"/>
      <c r="E439" s="10"/>
      <c r="F439" s="10"/>
      <c r="G439" s="10"/>
      <c r="H439" s="12"/>
      <c r="I439" s="12"/>
      <c r="J439" s="24" t="str">
        <f aca="false">IF(B439="","",N(H439)+N(I439))</f>
        <v/>
      </c>
      <c r="K439" s="10"/>
      <c r="L439" s="19"/>
      <c r="M439" s="12"/>
      <c r="N439" s="10"/>
      <c r="O439" s="25" t="str">
        <f aca="true">IF(OR(B439="",K439="Sold",K439="Donated"),"",TODAY()-B439)</f>
        <v/>
      </c>
      <c r="P439" s="25" t="str">
        <f aca="true">IF(OR(L439="",K439="Sold",K439="Donated"),"",TODAY()-L439)</f>
        <v/>
      </c>
      <c r="Q439" s="26" t="str">
        <f aca="false">IF(AND(K439="Listed",P439&lt;&gt;"",N(P439)&gt;Settings!$B$19),"STALE","")</f>
        <v/>
      </c>
      <c r="R439" s="27" t="str">
        <f aca="false">IF(Q439="STALE",COUNTIF($Q$4:Q439,"STALE"),"")</f>
        <v/>
      </c>
    </row>
    <row r="440" customFormat="false" ht="15" hidden="false" customHeight="false" outlineLevel="0" collapsed="false">
      <c r="A440" s="23" t="str">
        <f aca="false">IF(B440="","","SKU-"&amp;TEXT(ROW()-3,"0000"))</f>
        <v/>
      </c>
      <c r="B440" s="19"/>
      <c r="C440" s="10"/>
      <c r="D440" s="10"/>
      <c r="E440" s="10"/>
      <c r="F440" s="10"/>
      <c r="G440" s="10"/>
      <c r="H440" s="12"/>
      <c r="I440" s="12"/>
      <c r="J440" s="24" t="str">
        <f aca="false">IF(B440="","",N(H440)+N(I440))</f>
        <v/>
      </c>
      <c r="K440" s="10"/>
      <c r="L440" s="19"/>
      <c r="M440" s="12"/>
      <c r="N440" s="10"/>
      <c r="O440" s="25" t="str">
        <f aca="true">IF(OR(B440="",K440="Sold",K440="Donated"),"",TODAY()-B440)</f>
        <v/>
      </c>
      <c r="P440" s="25" t="str">
        <f aca="true">IF(OR(L440="",K440="Sold",K440="Donated"),"",TODAY()-L440)</f>
        <v/>
      </c>
      <c r="Q440" s="26" t="str">
        <f aca="false">IF(AND(K440="Listed",P440&lt;&gt;"",N(P440)&gt;Settings!$B$19),"STALE","")</f>
        <v/>
      </c>
      <c r="R440" s="27" t="str">
        <f aca="false">IF(Q440="STALE",COUNTIF($Q$4:Q440,"STALE"),"")</f>
        <v/>
      </c>
    </row>
    <row r="441" customFormat="false" ht="15" hidden="false" customHeight="false" outlineLevel="0" collapsed="false">
      <c r="A441" s="23" t="str">
        <f aca="false">IF(B441="","","SKU-"&amp;TEXT(ROW()-3,"0000"))</f>
        <v/>
      </c>
      <c r="B441" s="19"/>
      <c r="C441" s="10"/>
      <c r="D441" s="10"/>
      <c r="E441" s="10"/>
      <c r="F441" s="10"/>
      <c r="G441" s="10"/>
      <c r="H441" s="12"/>
      <c r="I441" s="12"/>
      <c r="J441" s="24" t="str">
        <f aca="false">IF(B441="","",N(H441)+N(I441))</f>
        <v/>
      </c>
      <c r="K441" s="10"/>
      <c r="L441" s="19"/>
      <c r="M441" s="12"/>
      <c r="N441" s="10"/>
      <c r="O441" s="25" t="str">
        <f aca="true">IF(OR(B441="",K441="Sold",K441="Donated"),"",TODAY()-B441)</f>
        <v/>
      </c>
      <c r="P441" s="25" t="str">
        <f aca="true">IF(OR(L441="",K441="Sold",K441="Donated"),"",TODAY()-L441)</f>
        <v/>
      </c>
      <c r="Q441" s="26" t="str">
        <f aca="false">IF(AND(K441="Listed",P441&lt;&gt;"",N(P441)&gt;Settings!$B$19),"STALE","")</f>
        <v/>
      </c>
      <c r="R441" s="27" t="str">
        <f aca="false">IF(Q441="STALE",COUNTIF($Q$4:Q441,"STALE"),"")</f>
        <v/>
      </c>
    </row>
    <row r="442" customFormat="false" ht="15" hidden="false" customHeight="false" outlineLevel="0" collapsed="false">
      <c r="A442" s="23" t="str">
        <f aca="false">IF(B442="","","SKU-"&amp;TEXT(ROW()-3,"0000"))</f>
        <v/>
      </c>
      <c r="B442" s="19"/>
      <c r="C442" s="10"/>
      <c r="D442" s="10"/>
      <c r="E442" s="10"/>
      <c r="F442" s="10"/>
      <c r="G442" s="10"/>
      <c r="H442" s="12"/>
      <c r="I442" s="12"/>
      <c r="J442" s="24" t="str">
        <f aca="false">IF(B442="","",N(H442)+N(I442))</f>
        <v/>
      </c>
      <c r="K442" s="10"/>
      <c r="L442" s="19"/>
      <c r="M442" s="12"/>
      <c r="N442" s="10"/>
      <c r="O442" s="25" t="str">
        <f aca="true">IF(OR(B442="",K442="Sold",K442="Donated"),"",TODAY()-B442)</f>
        <v/>
      </c>
      <c r="P442" s="25" t="str">
        <f aca="true">IF(OR(L442="",K442="Sold",K442="Donated"),"",TODAY()-L442)</f>
        <v/>
      </c>
      <c r="Q442" s="26" t="str">
        <f aca="false">IF(AND(K442="Listed",P442&lt;&gt;"",N(P442)&gt;Settings!$B$19),"STALE","")</f>
        <v/>
      </c>
      <c r="R442" s="27" t="str">
        <f aca="false">IF(Q442="STALE",COUNTIF($Q$4:Q442,"STALE"),"")</f>
        <v/>
      </c>
    </row>
    <row r="443" customFormat="false" ht="15" hidden="false" customHeight="false" outlineLevel="0" collapsed="false">
      <c r="A443" s="23" t="str">
        <f aca="false">IF(B443="","","SKU-"&amp;TEXT(ROW()-3,"0000"))</f>
        <v/>
      </c>
      <c r="B443" s="19"/>
      <c r="C443" s="10"/>
      <c r="D443" s="10"/>
      <c r="E443" s="10"/>
      <c r="F443" s="10"/>
      <c r="G443" s="10"/>
      <c r="H443" s="12"/>
      <c r="I443" s="12"/>
      <c r="J443" s="24" t="str">
        <f aca="false">IF(B443="","",N(H443)+N(I443))</f>
        <v/>
      </c>
      <c r="K443" s="10"/>
      <c r="L443" s="19"/>
      <c r="M443" s="12"/>
      <c r="N443" s="10"/>
      <c r="O443" s="25" t="str">
        <f aca="true">IF(OR(B443="",K443="Sold",K443="Donated"),"",TODAY()-B443)</f>
        <v/>
      </c>
      <c r="P443" s="25" t="str">
        <f aca="true">IF(OR(L443="",K443="Sold",K443="Donated"),"",TODAY()-L443)</f>
        <v/>
      </c>
      <c r="Q443" s="26" t="str">
        <f aca="false">IF(AND(K443="Listed",P443&lt;&gt;"",N(P443)&gt;Settings!$B$19),"STALE","")</f>
        <v/>
      </c>
      <c r="R443" s="27" t="str">
        <f aca="false">IF(Q443="STALE",COUNTIF($Q$4:Q443,"STALE"),"")</f>
        <v/>
      </c>
    </row>
    <row r="444" customFormat="false" ht="15" hidden="false" customHeight="false" outlineLevel="0" collapsed="false">
      <c r="A444" s="23" t="str">
        <f aca="false">IF(B444="","","SKU-"&amp;TEXT(ROW()-3,"0000"))</f>
        <v/>
      </c>
      <c r="B444" s="19"/>
      <c r="C444" s="10"/>
      <c r="D444" s="10"/>
      <c r="E444" s="10"/>
      <c r="F444" s="10"/>
      <c r="G444" s="10"/>
      <c r="H444" s="12"/>
      <c r="I444" s="12"/>
      <c r="J444" s="24" t="str">
        <f aca="false">IF(B444="","",N(H444)+N(I444))</f>
        <v/>
      </c>
      <c r="K444" s="10"/>
      <c r="L444" s="19"/>
      <c r="M444" s="12"/>
      <c r="N444" s="10"/>
      <c r="O444" s="25" t="str">
        <f aca="true">IF(OR(B444="",K444="Sold",K444="Donated"),"",TODAY()-B444)</f>
        <v/>
      </c>
      <c r="P444" s="25" t="str">
        <f aca="true">IF(OR(L444="",K444="Sold",K444="Donated"),"",TODAY()-L444)</f>
        <v/>
      </c>
      <c r="Q444" s="26" t="str">
        <f aca="false">IF(AND(K444="Listed",P444&lt;&gt;"",N(P444)&gt;Settings!$B$19),"STALE","")</f>
        <v/>
      </c>
      <c r="R444" s="27" t="str">
        <f aca="false">IF(Q444="STALE",COUNTIF($Q$4:Q444,"STALE"),"")</f>
        <v/>
      </c>
    </row>
    <row r="445" customFormat="false" ht="15" hidden="false" customHeight="false" outlineLevel="0" collapsed="false">
      <c r="A445" s="23" t="str">
        <f aca="false">IF(B445="","","SKU-"&amp;TEXT(ROW()-3,"0000"))</f>
        <v/>
      </c>
      <c r="B445" s="19"/>
      <c r="C445" s="10"/>
      <c r="D445" s="10"/>
      <c r="E445" s="10"/>
      <c r="F445" s="10"/>
      <c r="G445" s="10"/>
      <c r="H445" s="12"/>
      <c r="I445" s="12"/>
      <c r="J445" s="24" t="str">
        <f aca="false">IF(B445="","",N(H445)+N(I445))</f>
        <v/>
      </c>
      <c r="K445" s="10"/>
      <c r="L445" s="19"/>
      <c r="M445" s="12"/>
      <c r="N445" s="10"/>
      <c r="O445" s="25" t="str">
        <f aca="true">IF(OR(B445="",K445="Sold",K445="Donated"),"",TODAY()-B445)</f>
        <v/>
      </c>
      <c r="P445" s="25" t="str">
        <f aca="true">IF(OR(L445="",K445="Sold",K445="Donated"),"",TODAY()-L445)</f>
        <v/>
      </c>
      <c r="Q445" s="26" t="str">
        <f aca="false">IF(AND(K445="Listed",P445&lt;&gt;"",N(P445)&gt;Settings!$B$19),"STALE","")</f>
        <v/>
      </c>
      <c r="R445" s="27" t="str">
        <f aca="false">IF(Q445="STALE",COUNTIF($Q$4:Q445,"STALE"),"")</f>
        <v/>
      </c>
    </row>
    <row r="446" customFormat="false" ht="15" hidden="false" customHeight="false" outlineLevel="0" collapsed="false">
      <c r="A446" s="23" t="str">
        <f aca="false">IF(B446="","","SKU-"&amp;TEXT(ROW()-3,"0000"))</f>
        <v/>
      </c>
      <c r="B446" s="19"/>
      <c r="C446" s="10"/>
      <c r="D446" s="10"/>
      <c r="E446" s="10"/>
      <c r="F446" s="10"/>
      <c r="G446" s="10"/>
      <c r="H446" s="12"/>
      <c r="I446" s="12"/>
      <c r="J446" s="24" t="str">
        <f aca="false">IF(B446="","",N(H446)+N(I446))</f>
        <v/>
      </c>
      <c r="K446" s="10"/>
      <c r="L446" s="19"/>
      <c r="M446" s="12"/>
      <c r="N446" s="10"/>
      <c r="O446" s="25" t="str">
        <f aca="true">IF(OR(B446="",K446="Sold",K446="Donated"),"",TODAY()-B446)</f>
        <v/>
      </c>
      <c r="P446" s="25" t="str">
        <f aca="true">IF(OR(L446="",K446="Sold",K446="Donated"),"",TODAY()-L446)</f>
        <v/>
      </c>
      <c r="Q446" s="26" t="str">
        <f aca="false">IF(AND(K446="Listed",P446&lt;&gt;"",N(P446)&gt;Settings!$B$19),"STALE","")</f>
        <v/>
      </c>
      <c r="R446" s="27" t="str">
        <f aca="false">IF(Q446="STALE",COUNTIF($Q$4:Q446,"STALE"),"")</f>
        <v/>
      </c>
    </row>
    <row r="447" customFormat="false" ht="15" hidden="false" customHeight="false" outlineLevel="0" collapsed="false">
      <c r="A447" s="23" t="str">
        <f aca="false">IF(B447="","","SKU-"&amp;TEXT(ROW()-3,"0000"))</f>
        <v/>
      </c>
      <c r="B447" s="19"/>
      <c r="C447" s="10"/>
      <c r="D447" s="10"/>
      <c r="E447" s="10"/>
      <c r="F447" s="10"/>
      <c r="G447" s="10"/>
      <c r="H447" s="12"/>
      <c r="I447" s="12"/>
      <c r="J447" s="24" t="str">
        <f aca="false">IF(B447="","",N(H447)+N(I447))</f>
        <v/>
      </c>
      <c r="K447" s="10"/>
      <c r="L447" s="19"/>
      <c r="M447" s="12"/>
      <c r="N447" s="10"/>
      <c r="O447" s="25" t="str">
        <f aca="true">IF(OR(B447="",K447="Sold",K447="Donated"),"",TODAY()-B447)</f>
        <v/>
      </c>
      <c r="P447" s="25" t="str">
        <f aca="true">IF(OR(L447="",K447="Sold",K447="Donated"),"",TODAY()-L447)</f>
        <v/>
      </c>
      <c r="Q447" s="26" t="str">
        <f aca="false">IF(AND(K447="Listed",P447&lt;&gt;"",N(P447)&gt;Settings!$B$19),"STALE","")</f>
        <v/>
      </c>
      <c r="R447" s="27" t="str">
        <f aca="false">IF(Q447="STALE",COUNTIF($Q$4:Q447,"STALE"),"")</f>
        <v/>
      </c>
    </row>
    <row r="448" customFormat="false" ht="15" hidden="false" customHeight="false" outlineLevel="0" collapsed="false">
      <c r="A448" s="23" t="str">
        <f aca="false">IF(B448="","","SKU-"&amp;TEXT(ROW()-3,"0000"))</f>
        <v/>
      </c>
      <c r="B448" s="19"/>
      <c r="C448" s="10"/>
      <c r="D448" s="10"/>
      <c r="E448" s="10"/>
      <c r="F448" s="10"/>
      <c r="G448" s="10"/>
      <c r="H448" s="12"/>
      <c r="I448" s="12"/>
      <c r="J448" s="24" t="str">
        <f aca="false">IF(B448="","",N(H448)+N(I448))</f>
        <v/>
      </c>
      <c r="K448" s="10"/>
      <c r="L448" s="19"/>
      <c r="M448" s="12"/>
      <c r="N448" s="10"/>
      <c r="O448" s="25" t="str">
        <f aca="true">IF(OR(B448="",K448="Sold",K448="Donated"),"",TODAY()-B448)</f>
        <v/>
      </c>
      <c r="P448" s="25" t="str">
        <f aca="true">IF(OR(L448="",K448="Sold",K448="Donated"),"",TODAY()-L448)</f>
        <v/>
      </c>
      <c r="Q448" s="26" t="str">
        <f aca="false">IF(AND(K448="Listed",P448&lt;&gt;"",N(P448)&gt;Settings!$B$19),"STALE","")</f>
        <v/>
      </c>
      <c r="R448" s="27" t="str">
        <f aca="false">IF(Q448="STALE",COUNTIF($Q$4:Q448,"STALE"),"")</f>
        <v/>
      </c>
    </row>
    <row r="449" customFormat="false" ht="15" hidden="false" customHeight="false" outlineLevel="0" collapsed="false">
      <c r="A449" s="23" t="str">
        <f aca="false">IF(B449="","","SKU-"&amp;TEXT(ROW()-3,"0000"))</f>
        <v/>
      </c>
      <c r="B449" s="19"/>
      <c r="C449" s="10"/>
      <c r="D449" s="10"/>
      <c r="E449" s="10"/>
      <c r="F449" s="10"/>
      <c r="G449" s="10"/>
      <c r="H449" s="12"/>
      <c r="I449" s="12"/>
      <c r="J449" s="24" t="str">
        <f aca="false">IF(B449="","",N(H449)+N(I449))</f>
        <v/>
      </c>
      <c r="K449" s="10"/>
      <c r="L449" s="19"/>
      <c r="M449" s="12"/>
      <c r="N449" s="10"/>
      <c r="O449" s="25" t="str">
        <f aca="true">IF(OR(B449="",K449="Sold",K449="Donated"),"",TODAY()-B449)</f>
        <v/>
      </c>
      <c r="P449" s="25" t="str">
        <f aca="true">IF(OR(L449="",K449="Sold",K449="Donated"),"",TODAY()-L449)</f>
        <v/>
      </c>
      <c r="Q449" s="26" t="str">
        <f aca="false">IF(AND(K449="Listed",P449&lt;&gt;"",N(P449)&gt;Settings!$B$19),"STALE","")</f>
        <v/>
      </c>
      <c r="R449" s="27" t="str">
        <f aca="false">IF(Q449="STALE",COUNTIF($Q$4:Q449,"STALE"),"")</f>
        <v/>
      </c>
    </row>
    <row r="450" customFormat="false" ht="15" hidden="false" customHeight="false" outlineLevel="0" collapsed="false">
      <c r="A450" s="23" t="str">
        <f aca="false">IF(B450="","","SKU-"&amp;TEXT(ROW()-3,"0000"))</f>
        <v/>
      </c>
      <c r="B450" s="19"/>
      <c r="C450" s="10"/>
      <c r="D450" s="10"/>
      <c r="E450" s="10"/>
      <c r="F450" s="10"/>
      <c r="G450" s="10"/>
      <c r="H450" s="12"/>
      <c r="I450" s="12"/>
      <c r="J450" s="24" t="str">
        <f aca="false">IF(B450="","",N(H450)+N(I450))</f>
        <v/>
      </c>
      <c r="K450" s="10"/>
      <c r="L450" s="19"/>
      <c r="M450" s="12"/>
      <c r="N450" s="10"/>
      <c r="O450" s="25" t="str">
        <f aca="true">IF(OR(B450="",K450="Sold",K450="Donated"),"",TODAY()-B450)</f>
        <v/>
      </c>
      <c r="P450" s="25" t="str">
        <f aca="true">IF(OR(L450="",K450="Sold",K450="Donated"),"",TODAY()-L450)</f>
        <v/>
      </c>
      <c r="Q450" s="26" t="str">
        <f aca="false">IF(AND(K450="Listed",P450&lt;&gt;"",N(P450)&gt;Settings!$B$19),"STALE","")</f>
        <v/>
      </c>
      <c r="R450" s="27" t="str">
        <f aca="false">IF(Q450="STALE",COUNTIF($Q$4:Q450,"STALE"),"")</f>
        <v/>
      </c>
    </row>
    <row r="451" customFormat="false" ht="15" hidden="false" customHeight="false" outlineLevel="0" collapsed="false">
      <c r="A451" s="23" t="str">
        <f aca="false">IF(B451="","","SKU-"&amp;TEXT(ROW()-3,"0000"))</f>
        <v/>
      </c>
      <c r="B451" s="19"/>
      <c r="C451" s="10"/>
      <c r="D451" s="10"/>
      <c r="E451" s="10"/>
      <c r="F451" s="10"/>
      <c r="G451" s="10"/>
      <c r="H451" s="12"/>
      <c r="I451" s="12"/>
      <c r="J451" s="24" t="str">
        <f aca="false">IF(B451="","",N(H451)+N(I451))</f>
        <v/>
      </c>
      <c r="K451" s="10"/>
      <c r="L451" s="19"/>
      <c r="M451" s="12"/>
      <c r="N451" s="10"/>
      <c r="O451" s="25" t="str">
        <f aca="true">IF(OR(B451="",K451="Sold",K451="Donated"),"",TODAY()-B451)</f>
        <v/>
      </c>
      <c r="P451" s="25" t="str">
        <f aca="true">IF(OR(L451="",K451="Sold",K451="Donated"),"",TODAY()-L451)</f>
        <v/>
      </c>
      <c r="Q451" s="26" t="str">
        <f aca="false">IF(AND(K451="Listed",P451&lt;&gt;"",N(P451)&gt;Settings!$B$19),"STALE","")</f>
        <v/>
      </c>
      <c r="R451" s="27" t="str">
        <f aca="false">IF(Q451="STALE",COUNTIF($Q$4:Q451,"STALE"),"")</f>
        <v/>
      </c>
    </row>
    <row r="452" customFormat="false" ht="15" hidden="false" customHeight="false" outlineLevel="0" collapsed="false">
      <c r="A452" s="23" t="str">
        <f aca="false">IF(B452="","","SKU-"&amp;TEXT(ROW()-3,"0000"))</f>
        <v/>
      </c>
      <c r="B452" s="19"/>
      <c r="C452" s="10"/>
      <c r="D452" s="10"/>
      <c r="E452" s="10"/>
      <c r="F452" s="10"/>
      <c r="G452" s="10"/>
      <c r="H452" s="12"/>
      <c r="I452" s="12"/>
      <c r="J452" s="24" t="str">
        <f aca="false">IF(B452="","",N(H452)+N(I452))</f>
        <v/>
      </c>
      <c r="K452" s="10"/>
      <c r="L452" s="19"/>
      <c r="M452" s="12"/>
      <c r="N452" s="10"/>
      <c r="O452" s="25" t="str">
        <f aca="true">IF(OR(B452="",K452="Sold",K452="Donated"),"",TODAY()-B452)</f>
        <v/>
      </c>
      <c r="P452" s="25" t="str">
        <f aca="true">IF(OR(L452="",K452="Sold",K452="Donated"),"",TODAY()-L452)</f>
        <v/>
      </c>
      <c r="Q452" s="26" t="str">
        <f aca="false">IF(AND(K452="Listed",P452&lt;&gt;"",N(P452)&gt;Settings!$B$19),"STALE","")</f>
        <v/>
      </c>
      <c r="R452" s="27" t="str">
        <f aca="false">IF(Q452="STALE",COUNTIF($Q$4:Q452,"STALE"),"")</f>
        <v/>
      </c>
    </row>
    <row r="453" customFormat="false" ht="15" hidden="false" customHeight="false" outlineLevel="0" collapsed="false">
      <c r="A453" s="23" t="str">
        <f aca="false">IF(B453="","","SKU-"&amp;TEXT(ROW()-3,"0000"))</f>
        <v/>
      </c>
      <c r="B453" s="19"/>
      <c r="C453" s="10"/>
      <c r="D453" s="10"/>
      <c r="E453" s="10"/>
      <c r="F453" s="10"/>
      <c r="G453" s="10"/>
      <c r="H453" s="12"/>
      <c r="I453" s="12"/>
      <c r="J453" s="24" t="str">
        <f aca="false">IF(B453="","",N(H453)+N(I453))</f>
        <v/>
      </c>
      <c r="K453" s="10"/>
      <c r="L453" s="19"/>
      <c r="M453" s="12"/>
      <c r="N453" s="10"/>
      <c r="O453" s="25" t="str">
        <f aca="true">IF(OR(B453="",K453="Sold",K453="Donated"),"",TODAY()-B453)</f>
        <v/>
      </c>
      <c r="P453" s="25" t="str">
        <f aca="true">IF(OR(L453="",K453="Sold",K453="Donated"),"",TODAY()-L453)</f>
        <v/>
      </c>
      <c r="Q453" s="26" t="str">
        <f aca="false">IF(AND(K453="Listed",P453&lt;&gt;"",N(P453)&gt;Settings!$B$19),"STALE","")</f>
        <v/>
      </c>
      <c r="R453" s="27" t="str">
        <f aca="false">IF(Q453="STALE",COUNTIF($Q$4:Q453,"STALE"),"")</f>
        <v/>
      </c>
    </row>
    <row r="454" customFormat="false" ht="15" hidden="false" customHeight="false" outlineLevel="0" collapsed="false">
      <c r="A454" s="23" t="str">
        <f aca="false">IF(B454="","","SKU-"&amp;TEXT(ROW()-3,"0000"))</f>
        <v/>
      </c>
      <c r="B454" s="19"/>
      <c r="C454" s="10"/>
      <c r="D454" s="10"/>
      <c r="E454" s="10"/>
      <c r="F454" s="10"/>
      <c r="G454" s="10"/>
      <c r="H454" s="12"/>
      <c r="I454" s="12"/>
      <c r="J454" s="24" t="str">
        <f aca="false">IF(B454="","",N(H454)+N(I454))</f>
        <v/>
      </c>
      <c r="K454" s="10"/>
      <c r="L454" s="19"/>
      <c r="M454" s="12"/>
      <c r="N454" s="10"/>
      <c r="O454" s="25" t="str">
        <f aca="true">IF(OR(B454="",K454="Sold",K454="Donated"),"",TODAY()-B454)</f>
        <v/>
      </c>
      <c r="P454" s="25" t="str">
        <f aca="true">IF(OR(L454="",K454="Sold",K454="Donated"),"",TODAY()-L454)</f>
        <v/>
      </c>
      <c r="Q454" s="26" t="str">
        <f aca="false">IF(AND(K454="Listed",P454&lt;&gt;"",N(P454)&gt;Settings!$B$19),"STALE","")</f>
        <v/>
      </c>
      <c r="R454" s="27" t="str">
        <f aca="false">IF(Q454="STALE",COUNTIF($Q$4:Q454,"STALE"),"")</f>
        <v/>
      </c>
    </row>
    <row r="455" customFormat="false" ht="15" hidden="false" customHeight="false" outlineLevel="0" collapsed="false">
      <c r="A455" s="23" t="str">
        <f aca="false">IF(B455="","","SKU-"&amp;TEXT(ROW()-3,"0000"))</f>
        <v/>
      </c>
      <c r="B455" s="19"/>
      <c r="C455" s="10"/>
      <c r="D455" s="10"/>
      <c r="E455" s="10"/>
      <c r="F455" s="10"/>
      <c r="G455" s="10"/>
      <c r="H455" s="12"/>
      <c r="I455" s="12"/>
      <c r="J455" s="24" t="str">
        <f aca="false">IF(B455="","",N(H455)+N(I455))</f>
        <v/>
      </c>
      <c r="K455" s="10"/>
      <c r="L455" s="19"/>
      <c r="M455" s="12"/>
      <c r="N455" s="10"/>
      <c r="O455" s="25" t="str">
        <f aca="true">IF(OR(B455="",K455="Sold",K455="Donated"),"",TODAY()-B455)</f>
        <v/>
      </c>
      <c r="P455" s="25" t="str">
        <f aca="true">IF(OR(L455="",K455="Sold",K455="Donated"),"",TODAY()-L455)</f>
        <v/>
      </c>
      <c r="Q455" s="26" t="str">
        <f aca="false">IF(AND(K455="Listed",P455&lt;&gt;"",N(P455)&gt;Settings!$B$19),"STALE","")</f>
        <v/>
      </c>
      <c r="R455" s="27" t="str">
        <f aca="false">IF(Q455="STALE",COUNTIF($Q$4:Q455,"STALE"),"")</f>
        <v/>
      </c>
    </row>
    <row r="456" customFormat="false" ht="15" hidden="false" customHeight="false" outlineLevel="0" collapsed="false">
      <c r="A456" s="23" t="str">
        <f aca="false">IF(B456="","","SKU-"&amp;TEXT(ROW()-3,"0000"))</f>
        <v/>
      </c>
      <c r="B456" s="19"/>
      <c r="C456" s="10"/>
      <c r="D456" s="10"/>
      <c r="E456" s="10"/>
      <c r="F456" s="10"/>
      <c r="G456" s="10"/>
      <c r="H456" s="12"/>
      <c r="I456" s="12"/>
      <c r="J456" s="24" t="str">
        <f aca="false">IF(B456="","",N(H456)+N(I456))</f>
        <v/>
      </c>
      <c r="K456" s="10"/>
      <c r="L456" s="19"/>
      <c r="M456" s="12"/>
      <c r="N456" s="10"/>
      <c r="O456" s="25" t="str">
        <f aca="true">IF(OR(B456="",K456="Sold",K456="Donated"),"",TODAY()-B456)</f>
        <v/>
      </c>
      <c r="P456" s="25" t="str">
        <f aca="true">IF(OR(L456="",K456="Sold",K456="Donated"),"",TODAY()-L456)</f>
        <v/>
      </c>
      <c r="Q456" s="26" t="str">
        <f aca="false">IF(AND(K456="Listed",P456&lt;&gt;"",N(P456)&gt;Settings!$B$19),"STALE","")</f>
        <v/>
      </c>
      <c r="R456" s="27" t="str">
        <f aca="false">IF(Q456="STALE",COUNTIF($Q$4:Q456,"STALE"),"")</f>
        <v/>
      </c>
    </row>
    <row r="457" customFormat="false" ht="15" hidden="false" customHeight="false" outlineLevel="0" collapsed="false">
      <c r="A457" s="23" t="str">
        <f aca="false">IF(B457="","","SKU-"&amp;TEXT(ROW()-3,"0000"))</f>
        <v/>
      </c>
      <c r="B457" s="19"/>
      <c r="C457" s="10"/>
      <c r="D457" s="10"/>
      <c r="E457" s="10"/>
      <c r="F457" s="10"/>
      <c r="G457" s="10"/>
      <c r="H457" s="12"/>
      <c r="I457" s="12"/>
      <c r="J457" s="24" t="str">
        <f aca="false">IF(B457="","",N(H457)+N(I457))</f>
        <v/>
      </c>
      <c r="K457" s="10"/>
      <c r="L457" s="19"/>
      <c r="M457" s="12"/>
      <c r="N457" s="10"/>
      <c r="O457" s="25" t="str">
        <f aca="true">IF(OR(B457="",K457="Sold",K457="Donated"),"",TODAY()-B457)</f>
        <v/>
      </c>
      <c r="P457" s="25" t="str">
        <f aca="true">IF(OR(L457="",K457="Sold",K457="Donated"),"",TODAY()-L457)</f>
        <v/>
      </c>
      <c r="Q457" s="26" t="str">
        <f aca="false">IF(AND(K457="Listed",P457&lt;&gt;"",N(P457)&gt;Settings!$B$19),"STALE","")</f>
        <v/>
      </c>
      <c r="R457" s="27" t="str">
        <f aca="false">IF(Q457="STALE",COUNTIF($Q$4:Q457,"STALE"),"")</f>
        <v/>
      </c>
    </row>
    <row r="458" customFormat="false" ht="15" hidden="false" customHeight="false" outlineLevel="0" collapsed="false">
      <c r="A458" s="23" t="str">
        <f aca="false">IF(B458="","","SKU-"&amp;TEXT(ROW()-3,"0000"))</f>
        <v/>
      </c>
      <c r="B458" s="19"/>
      <c r="C458" s="10"/>
      <c r="D458" s="10"/>
      <c r="E458" s="10"/>
      <c r="F458" s="10"/>
      <c r="G458" s="10"/>
      <c r="H458" s="12"/>
      <c r="I458" s="12"/>
      <c r="J458" s="24" t="str">
        <f aca="false">IF(B458="","",N(H458)+N(I458))</f>
        <v/>
      </c>
      <c r="K458" s="10"/>
      <c r="L458" s="19"/>
      <c r="M458" s="12"/>
      <c r="N458" s="10"/>
      <c r="O458" s="25" t="str">
        <f aca="true">IF(OR(B458="",K458="Sold",K458="Donated"),"",TODAY()-B458)</f>
        <v/>
      </c>
      <c r="P458" s="25" t="str">
        <f aca="true">IF(OR(L458="",K458="Sold",K458="Donated"),"",TODAY()-L458)</f>
        <v/>
      </c>
      <c r="Q458" s="26" t="str">
        <f aca="false">IF(AND(K458="Listed",P458&lt;&gt;"",N(P458)&gt;Settings!$B$19),"STALE","")</f>
        <v/>
      </c>
      <c r="R458" s="27" t="str">
        <f aca="false">IF(Q458="STALE",COUNTIF($Q$4:Q458,"STALE"),"")</f>
        <v/>
      </c>
    </row>
    <row r="459" customFormat="false" ht="15" hidden="false" customHeight="false" outlineLevel="0" collapsed="false">
      <c r="A459" s="23" t="str">
        <f aca="false">IF(B459="","","SKU-"&amp;TEXT(ROW()-3,"0000"))</f>
        <v/>
      </c>
      <c r="B459" s="19"/>
      <c r="C459" s="10"/>
      <c r="D459" s="10"/>
      <c r="E459" s="10"/>
      <c r="F459" s="10"/>
      <c r="G459" s="10"/>
      <c r="H459" s="12"/>
      <c r="I459" s="12"/>
      <c r="J459" s="24" t="str">
        <f aca="false">IF(B459="","",N(H459)+N(I459))</f>
        <v/>
      </c>
      <c r="K459" s="10"/>
      <c r="L459" s="19"/>
      <c r="M459" s="12"/>
      <c r="N459" s="10"/>
      <c r="O459" s="25" t="str">
        <f aca="true">IF(OR(B459="",K459="Sold",K459="Donated"),"",TODAY()-B459)</f>
        <v/>
      </c>
      <c r="P459" s="25" t="str">
        <f aca="true">IF(OR(L459="",K459="Sold",K459="Donated"),"",TODAY()-L459)</f>
        <v/>
      </c>
      <c r="Q459" s="26" t="str">
        <f aca="false">IF(AND(K459="Listed",P459&lt;&gt;"",N(P459)&gt;Settings!$B$19),"STALE","")</f>
        <v/>
      </c>
      <c r="R459" s="27" t="str">
        <f aca="false">IF(Q459="STALE",COUNTIF($Q$4:Q459,"STALE"),"")</f>
        <v/>
      </c>
    </row>
    <row r="460" customFormat="false" ht="15" hidden="false" customHeight="false" outlineLevel="0" collapsed="false">
      <c r="A460" s="23" t="str">
        <f aca="false">IF(B460="","","SKU-"&amp;TEXT(ROW()-3,"0000"))</f>
        <v/>
      </c>
      <c r="B460" s="19"/>
      <c r="C460" s="10"/>
      <c r="D460" s="10"/>
      <c r="E460" s="10"/>
      <c r="F460" s="10"/>
      <c r="G460" s="10"/>
      <c r="H460" s="12"/>
      <c r="I460" s="12"/>
      <c r="J460" s="24" t="str">
        <f aca="false">IF(B460="","",N(H460)+N(I460))</f>
        <v/>
      </c>
      <c r="K460" s="10"/>
      <c r="L460" s="19"/>
      <c r="M460" s="12"/>
      <c r="N460" s="10"/>
      <c r="O460" s="25" t="str">
        <f aca="true">IF(OR(B460="",K460="Sold",K460="Donated"),"",TODAY()-B460)</f>
        <v/>
      </c>
      <c r="P460" s="25" t="str">
        <f aca="true">IF(OR(L460="",K460="Sold",K460="Donated"),"",TODAY()-L460)</f>
        <v/>
      </c>
      <c r="Q460" s="26" t="str">
        <f aca="false">IF(AND(K460="Listed",P460&lt;&gt;"",N(P460)&gt;Settings!$B$19),"STALE","")</f>
        <v/>
      </c>
      <c r="R460" s="27" t="str">
        <f aca="false">IF(Q460="STALE",COUNTIF($Q$4:Q460,"STALE"),"")</f>
        <v/>
      </c>
    </row>
    <row r="461" customFormat="false" ht="15" hidden="false" customHeight="false" outlineLevel="0" collapsed="false">
      <c r="A461" s="23" t="str">
        <f aca="false">IF(B461="","","SKU-"&amp;TEXT(ROW()-3,"0000"))</f>
        <v/>
      </c>
      <c r="B461" s="19"/>
      <c r="C461" s="10"/>
      <c r="D461" s="10"/>
      <c r="E461" s="10"/>
      <c r="F461" s="10"/>
      <c r="G461" s="10"/>
      <c r="H461" s="12"/>
      <c r="I461" s="12"/>
      <c r="J461" s="24" t="str">
        <f aca="false">IF(B461="","",N(H461)+N(I461))</f>
        <v/>
      </c>
      <c r="K461" s="10"/>
      <c r="L461" s="19"/>
      <c r="M461" s="12"/>
      <c r="N461" s="10"/>
      <c r="O461" s="25" t="str">
        <f aca="true">IF(OR(B461="",K461="Sold",K461="Donated"),"",TODAY()-B461)</f>
        <v/>
      </c>
      <c r="P461" s="25" t="str">
        <f aca="true">IF(OR(L461="",K461="Sold",K461="Donated"),"",TODAY()-L461)</f>
        <v/>
      </c>
      <c r="Q461" s="26" t="str">
        <f aca="false">IF(AND(K461="Listed",P461&lt;&gt;"",N(P461)&gt;Settings!$B$19),"STALE","")</f>
        <v/>
      </c>
      <c r="R461" s="27" t="str">
        <f aca="false">IF(Q461="STALE",COUNTIF($Q$4:Q461,"STALE"),"")</f>
        <v/>
      </c>
    </row>
    <row r="462" customFormat="false" ht="15" hidden="false" customHeight="false" outlineLevel="0" collapsed="false">
      <c r="A462" s="23" t="str">
        <f aca="false">IF(B462="","","SKU-"&amp;TEXT(ROW()-3,"0000"))</f>
        <v/>
      </c>
      <c r="B462" s="19"/>
      <c r="C462" s="10"/>
      <c r="D462" s="10"/>
      <c r="E462" s="10"/>
      <c r="F462" s="10"/>
      <c r="G462" s="10"/>
      <c r="H462" s="12"/>
      <c r="I462" s="12"/>
      <c r="J462" s="24" t="str">
        <f aca="false">IF(B462="","",N(H462)+N(I462))</f>
        <v/>
      </c>
      <c r="K462" s="10"/>
      <c r="L462" s="19"/>
      <c r="M462" s="12"/>
      <c r="N462" s="10"/>
      <c r="O462" s="25" t="str">
        <f aca="true">IF(OR(B462="",K462="Sold",K462="Donated"),"",TODAY()-B462)</f>
        <v/>
      </c>
      <c r="P462" s="25" t="str">
        <f aca="true">IF(OR(L462="",K462="Sold",K462="Donated"),"",TODAY()-L462)</f>
        <v/>
      </c>
      <c r="Q462" s="26" t="str">
        <f aca="false">IF(AND(K462="Listed",P462&lt;&gt;"",N(P462)&gt;Settings!$B$19),"STALE","")</f>
        <v/>
      </c>
      <c r="R462" s="27" t="str">
        <f aca="false">IF(Q462="STALE",COUNTIF($Q$4:Q462,"STALE"),"")</f>
        <v/>
      </c>
    </row>
    <row r="463" customFormat="false" ht="15" hidden="false" customHeight="false" outlineLevel="0" collapsed="false">
      <c r="A463" s="23" t="str">
        <f aca="false">IF(B463="","","SKU-"&amp;TEXT(ROW()-3,"0000"))</f>
        <v/>
      </c>
      <c r="B463" s="19"/>
      <c r="C463" s="10"/>
      <c r="D463" s="10"/>
      <c r="E463" s="10"/>
      <c r="F463" s="10"/>
      <c r="G463" s="10"/>
      <c r="H463" s="12"/>
      <c r="I463" s="12"/>
      <c r="J463" s="24" t="str">
        <f aca="false">IF(B463="","",N(H463)+N(I463))</f>
        <v/>
      </c>
      <c r="K463" s="10"/>
      <c r="L463" s="19"/>
      <c r="M463" s="12"/>
      <c r="N463" s="10"/>
      <c r="O463" s="25" t="str">
        <f aca="true">IF(OR(B463="",K463="Sold",K463="Donated"),"",TODAY()-B463)</f>
        <v/>
      </c>
      <c r="P463" s="25" t="str">
        <f aca="true">IF(OR(L463="",K463="Sold",K463="Donated"),"",TODAY()-L463)</f>
        <v/>
      </c>
      <c r="Q463" s="26" t="str">
        <f aca="false">IF(AND(K463="Listed",P463&lt;&gt;"",N(P463)&gt;Settings!$B$19),"STALE","")</f>
        <v/>
      </c>
      <c r="R463" s="27" t="str">
        <f aca="false">IF(Q463="STALE",COUNTIF($Q$4:Q463,"STALE"),"")</f>
        <v/>
      </c>
    </row>
    <row r="464" customFormat="false" ht="15" hidden="false" customHeight="false" outlineLevel="0" collapsed="false">
      <c r="A464" s="23" t="str">
        <f aca="false">IF(B464="","","SKU-"&amp;TEXT(ROW()-3,"0000"))</f>
        <v/>
      </c>
      <c r="B464" s="19"/>
      <c r="C464" s="10"/>
      <c r="D464" s="10"/>
      <c r="E464" s="10"/>
      <c r="F464" s="10"/>
      <c r="G464" s="10"/>
      <c r="H464" s="12"/>
      <c r="I464" s="12"/>
      <c r="J464" s="24" t="str">
        <f aca="false">IF(B464="","",N(H464)+N(I464))</f>
        <v/>
      </c>
      <c r="K464" s="10"/>
      <c r="L464" s="19"/>
      <c r="M464" s="12"/>
      <c r="N464" s="10"/>
      <c r="O464" s="25" t="str">
        <f aca="true">IF(OR(B464="",K464="Sold",K464="Donated"),"",TODAY()-B464)</f>
        <v/>
      </c>
      <c r="P464" s="25" t="str">
        <f aca="true">IF(OR(L464="",K464="Sold",K464="Donated"),"",TODAY()-L464)</f>
        <v/>
      </c>
      <c r="Q464" s="26" t="str">
        <f aca="false">IF(AND(K464="Listed",P464&lt;&gt;"",N(P464)&gt;Settings!$B$19),"STALE","")</f>
        <v/>
      </c>
      <c r="R464" s="27" t="str">
        <f aca="false">IF(Q464="STALE",COUNTIF($Q$4:Q464,"STALE"),"")</f>
        <v/>
      </c>
    </row>
    <row r="465" customFormat="false" ht="15" hidden="false" customHeight="false" outlineLevel="0" collapsed="false">
      <c r="A465" s="23" t="str">
        <f aca="false">IF(B465="","","SKU-"&amp;TEXT(ROW()-3,"0000"))</f>
        <v/>
      </c>
      <c r="B465" s="19"/>
      <c r="C465" s="10"/>
      <c r="D465" s="10"/>
      <c r="E465" s="10"/>
      <c r="F465" s="10"/>
      <c r="G465" s="10"/>
      <c r="H465" s="12"/>
      <c r="I465" s="12"/>
      <c r="J465" s="24" t="str">
        <f aca="false">IF(B465="","",N(H465)+N(I465))</f>
        <v/>
      </c>
      <c r="K465" s="10"/>
      <c r="L465" s="19"/>
      <c r="M465" s="12"/>
      <c r="N465" s="10"/>
      <c r="O465" s="25" t="str">
        <f aca="true">IF(OR(B465="",K465="Sold",K465="Donated"),"",TODAY()-B465)</f>
        <v/>
      </c>
      <c r="P465" s="25" t="str">
        <f aca="true">IF(OR(L465="",K465="Sold",K465="Donated"),"",TODAY()-L465)</f>
        <v/>
      </c>
      <c r="Q465" s="26" t="str">
        <f aca="false">IF(AND(K465="Listed",P465&lt;&gt;"",N(P465)&gt;Settings!$B$19),"STALE","")</f>
        <v/>
      </c>
      <c r="R465" s="27" t="str">
        <f aca="false">IF(Q465="STALE",COUNTIF($Q$4:Q465,"STALE"),"")</f>
        <v/>
      </c>
    </row>
    <row r="466" customFormat="false" ht="15" hidden="false" customHeight="false" outlineLevel="0" collapsed="false">
      <c r="A466" s="23" t="str">
        <f aca="false">IF(B466="","","SKU-"&amp;TEXT(ROW()-3,"0000"))</f>
        <v/>
      </c>
      <c r="B466" s="19"/>
      <c r="C466" s="10"/>
      <c r="D466" s="10"/>
      <c r="E466" s="10"/>
      <c r="F466" s="10"/>
      <c r="G466" s="10"/>
      <c r="H466" s="12"/>
      <c r="I466" s="12"/>
      <c r="J466" s="24" t="str">
        <f aca="false">IF(B466="","",N(H466)+N(I466))</f>
        <v/>
      </c>
      <c r="K466" s="10"/>
      <c r="L466" s="19"/>
      <c r="M466" s="12"/>
      <c r="N466" s="10"/>
      <c r="O466" s="25" t="str">
        <f aca="true">IF(OR(B466="",K466="Sold",K466="Donated"),"",TODAY()-B466)</f>
        <v/>
      </c>
      <c r="P466" s="25" t="str">
        <f aca="true">IF(OR(L466="",K466="Sold",K466="Donated"),"",TODAY()-L466)</f>
        <v/>
      </c>
      <c r="Q466" s="26" t="str">
        <f aca="false">IF(AND(K466="Listed",P466&lt;&gt;"",N(P466)&gt;Settings!$B$19),"STALE","")</f>
        <v/>
      </c>
      <c r="R466" s="27" t="str">
        <f aca="false">IF(Q466="STALE",COUNTIF($Q$4:Q466,"STALE"),"")</f>
        <v/>
      </c>
    </row>
    <row r="467" customFormat="false" ht="15" hidden="false" customHeight="false" outlineLevel="0" collapsed="false">
      <c r="A467" s="23" t="str">
        <f aca="false">IF(B467="","","SKU-"&amp;TEXT(ROW()-3,"0000"))</f>
        <v/>
      </c>
      <c r="B467" s="19"/>
      <c r="C467" s="10"/>
      <c r="D467" s="10"/>
      <c r="E467" s="10"/>
      <c r="F467" s="10"/>
      <c r="G467" s="10"/>
      <c r="H467" s="12"/>
      <c r="I467" s="12"/>
      <c r="J467" s="24" t="str">
        <f aca="false">IF(B467="","",N(H467)+N(I467))</f>
        <v/>
      </c>
      <c r="K467" s="10"/>
      <c r="L467" s="19"/>
      <c r="M467" s="12"/>
      <c r="N467" s="10"/>
      <c r="O467" s="25" t="str">
        <f aca="true">IF(OR(B467="",K467="Sold",K467="Donated"),"",TODAY()-B467)</f>
        <v/>
      </c>
      <c r="P467" s="25" t="str">
        <f aca="true">IF(OR(L467="",K467="Sold",K467="Donated"),"",TODAY()-L467)</f>
        <v/>
      </c>
      <c r="Q467" s="26" t="str">
        <f aca="false">IF(AND(K467="Listed",P467&lt;&gt;"",N(P467)&gt;Settings!$B$19),"STALE","")</f>
        <v/>
      </c>
      <c r="R467" s="27" t="str">
        <f aca="false">IF(Q467="STALE",COUNTIF($Q$4:Q467,"STALE"),"")</f>
        <v/>
      </c>
    </row>
    <row r="468" customFormat="false" ht="15" hidden="false" customHeight="false" outlineLevel="0" collapsed="false">
      <c r="A468" s="23" t="str">
        <f aca="false">IF(B468="","","SKU-"&amp;TEXT(ROW()-3,"0000"))</f>
        <v/>
      </c>
      <c r="B468" s="19"/>
      <c r="C468" s="10"/>
      <c r="D468" s="10"/>
      <c r="E468" s="10"/>
      <c r="F468" s="10"/>
      <c r="G468" s="10"/>
      <c r="H468" s="12"/>
      <c r="I468" s="12"/>
      <c r="J468" s="24" t="str">
        <f aca="false">IF(B468="","",N(H468)+N(I468))</f>
        <v/>
      </c>
      <c r="K468" s="10"/>
      <c r="L468" s="19"/>
      <c r="M468" s="12"/>
      <c r="N468" s="10"/>
      <c r="O468" s="25" t="str">
        <f aca="true">IF(OR(B468="",K468="Sold",K468="Donated"),"",TODAY()-B468)</f>
        <v/>
      </c>
      <c r="P468" s="25" t="str">
        <f aca="true">IF(OR(L468="",K468="Sold",K468="Donated"),"",TODAY()-L468)</f>
        <v/>
      </c>
      <c r="Q468" s="26" t="str">
        <f aca="false">IF(AND(K468="Listed",P468&lt;&gt;"",N(P468)&gt;Settings!$B$19),"STALE","")</f>
        <v/>
      </c>
      <c r="R468" s="27" t="str">
        <f aca="false">IF(Q468="STALE",COUNTIF($Q$4:Q468,"STALE"),"")</f>
        <v/>
      </c>
    </row>
    <row r="469" customFormat="false" ht="15" hidden="false" customHeight="false" outlineLevel="0" collapsed="false">
      <c r="A469" s="23" t="str">
        <f aca="false">IF(B469="","","SKU-"&amp;TEXT(ROW()-3,"0000"))</f>
        <v/>
      </c>
      <c r="B469" s="19"/>
      <c r="C469" s="10"/>
      <c r="D469" s="10"/>
      <c r="E469" s="10"/>
      <c r="F469" s="10"/>
      <c r="G469" s="10"/>
      <c r="H469" s="12"/>
      <c r="I469" s="12"/>
      <c r="J469" s="24" t="str">
        <f aca="false">IF(B469="","",N(H469)+N(I469))</f>
        <v/>
      </c>
      <c r="K469" s="10"/>
      <c r="L469" s="19"/>
      <c r="M469" s="12"/>
      <c r="N469" s="10"/>
      <c r="O469" s="25" t="str">
        <f aca="true">IF(OR(B469="",K469="Sold",K469="Donated"),"",TODAY()-B469)</f>
        <v/>
      </c>
      <c r="P469" s="25" t="str">
        <f aca="true">IF(OR(L469="",K469="Sold",K469="Donated"),"",TODAY()-L469)</f>
        <v/>
      </c>
      <c r="Q469" s="26" t="str">
        <f aca="false">IF(AND(K469="Listed",P469&lt;&gt;"",N(P469)&gt;Settings!$B$19),"STALE","")</f>
        <v/>
      </c>
      <c r="R469" s="27" t="str">
        <f aca="false">IF(Q469="STALE",COUNTIF($Q$4:Q469,"STALE"),"")</f>
        <v/>
      </c>
    </row>
    <row r="470" customFormat="false" ht="15" hidden="false" customHeight="false" outlineLevel="0" collapsed="false">
      <c r="A470" s="23" t="str">
        <f aca="false">IF(B470="","","SKU-"&amp;TEXT(ROW()-3,"0000"))</f>
        <v/>
      </c>
      <c r="B470" s="19"/>
      <c r="C470" s="10"/>
      <c r="D470" s="10"/>
      <c r="E470" s="10"/>
      <c r="F470" s="10"/>
      <c r="G470" s="10"/>
      <c r="H470" s="12"/>
      <c r="I470" s="12"/>
      <c r="J470" s="24" t="str">
        <f aca="false">IF(B470="","",N(H470)+N(I470))</f>
        <v/>
      </c>
      <c r="K470" s="10"/>
      <c r="L470" s="19"/>
      <c r="M470" s="12"/>
      <c r="N470" s="10"/>
      <c r="O470" s="25" t="str">
        <f aca="true">IF(OR(B470="",K470="Sold",K470="Donated"),"",TODAY()-B470)</f>
        <v/>
      </c>
      <c r="P470" s="25" t="str">
        <f aca="true">IF(OR(L470="",K470="Sold",K470="Donated"),"",TODAY()-L470)</f>
        <v/>
      </c>
      <c r="Q470" s="26" t="str">
        <f aca="false">IF(AND(K470="Listed",P470&lt;&gt;"",N(P470)&gt;Settings!$B$19),"STALE","")</f>
        <v/>
      </c>
      <c r="R470" s="27" t="str">
        <f aca="false">IF(Q470="STALE",COUNTIF($Q$4:Q470,"STALE"),"")</f>
        <v/>
      </c>
    </row>
    <row r="471" customFormat="false" ht="15" hidden="false" customHeight="false" outlineLevel="0" collapsed="false">
      <c r="A471" s="23" t="str">
        <f aca="false">IF(B471="","","SKU-"&amp;TEXT(ROW()-3,"0000"))</f>
        <v/>
      </c>
      <c r="B471" s="19"/>
      <c r="C471" s="10"/>
      <c r="D471" s="10"/>
      <c r="E471" s="10"/>
      <c r="F471" s="10"/>
      <c r="G471" s="10"/>
      <c r="H471" s="12"/>
      <c r="I471" s="12"/>
      <c r="J471" s="24" t="str">
        <f aca="false">IF(B471="","",N(H471)+N(I471))</f>
        <v/>
      </c>
      <c r="K471" s="10"/>
      <c r="L471" s="19"/>
      <c r="M471" s="12"/>
      <c r="N471" s="10"/>
      <c r="O471" s="25" t="str">
        <f aca="true">IF(OR(B471="",K471="Sold",K471="Donated"),"",TODAY()-B471)</f>
        <v/>
      </c>
      <c r="P471" s="25" t="str">
        <f aca="true">IF(OR(L471="",K471="Sold",K471="Donated"),"",TODAY()-L471)</f>
        <v/>
      </c>
      <c r="Q471" s="26" t="str">
        <f aca="false">IF(AND(K471="Listed",P471&lt;&gt;"",N(P471)&gt;Settings!$B$19),"STALE","")</f>
        <v/>
      </c>
      <c r="R471" s="27" t="str">
        <f aca="false">IF(Q471="STALE",COUNTIF($Q$4:Q471,"STALE"),"")</f>
        <v/>
      </c>
    </row>
    <row r="472" customFormat="false" ht="15" hidden="false" customHeight="false" outlineLevel="0" collapsed="false">
      <c r="A472" s="23" t="str">
        <f aca="false">IF(B472="","","SKU-"&amp;TEXT(ROW()-3,"0000"))</f>
        <v/>
      </c>
      <c r="B472" s="19"/>
      <c r="C472" s="10"/>
      <c r="D472" s="10"/>
      <c r="E472" s="10"/>
      <c r="F472" s="10"/>
      <c r="G472" s="10"/>
      <c r="H472" s="12"/>
      <c r="I472" s="12"/>
      <c r="J472" s="24" t="str">
        <f aca="false">IF(B472="","",N(H472)+N(I472))</f>
        <v/>
      </c>
      <c r="K472" s="10"/>
      <c r="L472" s="19"/>
      <c r="M472" s="12"/>
      <c r="N472" s="10"/>
      <c r="O472" s="25" t="str">
        <f aca="true">IF(OR(B472="",K472="Sold",K472="Donated"),"",TODAY()-B472)</f>
        <v/>
      </c>
      <c r="P472" s="25" t="str">
        <f aca="true">IF(OR(L472="",K472="Sold",K472="Donated"),"",TODAY()-L472)</f>
        <v/>
      </c>
      <c r="Q472" s="26" t="str">
        <f aca="false">IF(AND(K472="Listed",P472&lt;&gt;"",N(P472)&gt;Settings!$B$19),"STALE","")</f>
        <v/>
      </c>
      <c r="R472" s="27" t="str">
        <f aca="false">IF(Q472="STALE",COUNTIF($Q$4:Q472,"STALE"),"")</f>
        <v/>
      </c>
    </row>
    <row r="473" customFormat="false" ht="15" hidden="false" customHeight="false" outlineLevel="0" collapsed="false">
      <c r="A473" s="23" t="str">
        <f aca="false">IF(B473="","","SKU-"&amp;TEXT(ROW()-3,"0000"))</f>
        <v/>
      </c>
      <c r="B473" s="19"/>
      <c r="C473" s="10"/>
      <c r="D473" s="10"/>
      <c r="E473" s="10"/>
      <c r="F473" s="10"/>
      <c r="G473" s="10"/>
      <c r="H473" s="12"/>
      <c r="I473" s="12"/>
      <c r="J473" s="24" t="str">
        <f aca="false">IF(B473="","",N(H473)+N(I473))</f>
        <v/>
      </c>
      <c r="K473" s="10"/>
      <c r="L473" s="19"/>
      <c r="M473" s="12"/>
      <c r="N473" s="10"/>
      <c r="O473" s="25" t="str">
        <f aca="true">IF(OR(B473="",K473="Sold",K473="Donated"),"",TODAY()-B473)</f>
        <v/>
      </c>
      <c r="P473" s="25" t="str">
        <f aca="true">IF(OR(L473="",K473="Sold",K473="Donated"),"",TODAY()-L473)</f>
        <v/>
      </c>
      <c r="Q473" s="26" t="str">
        <f aca="false">IF(AND(K473="Listed",P473&lt;&gt;"",N(P473)&gt;Settings!$B$19),"STALE","")</f>
        <v/>
      </c>
      <c r="R473" s="27" t="str">
        <f aca="false">IF(Q473="STALE",COUNTIF($Q$4:Q473,"STALE"),"")</f>
        <v/>
      </c>
    </row>
    <row r="474" customFormat="false" ht="15" hidden="false" customHeight="false" outlineLevel="0" collapsed="false">
      <c r="A474" s="23" t="str">
        <f aca="false">IF(B474="","","SKU-"&amp;TEXT(ROW()-3,"0000"))</f>
        <v/>
      </c>
      <c r="B474" s="19"/>
      <c r="C474" s="10"/>
      <c r="D474" s="10"/>
      <c r="E474" s="10"/>
      <c r="F474" s="10"/>
      <c r="G474" s="10"/>
      <c r="H474" s="12"/>
      <c r="I474" s="12"/>
      <c r="J474" s="24" t="str">
        <f aca="false">IF(B474="","",N(H474)+N(I474))</f>
        <v/>
      </c>
      <c r="K474" s="10"/>
      <c r="L474" s="19"/>
      <c r="M474" s="12"/>
      <c r="N474" s="10"/>
      <c r="O474" s="25" t="str">
        <f aca="true">IF(OR(B474="",K474="Sold",K474="Donated"),"",TODAY()-B474)</f>
        <v/>
      </c>
      <c r="P474" s="25" t="str">
        <f aca="true">IF(OR(L474="",K474="Sold",K474="Donated"),"",TODAY()-L474)</f>
        <v/>
      </c>
      <c r="Q474" s="26" t="str">
        <f aca="false">IF(AND(K474="Listed",P474&lt;&gt;"",N(P474)&gt;Settings!$B$19),"STALE","")</f>
        <v/>
      </c>
      <c r="R474" s="27" t="str">
        <f aca="false">IF(Q474="STALE",COUNTIF($Q$4:Q474,"STALE"),"")</f>
        <v/>
      </c>
    </row>
    <row r="475" customFormat="false" ht="15" hidden="false" customHeight="false" outlineLevel="0" collapsed="false">
      <c r="A475" s="23" t="str">
        <f aca="false">IF(B475="","","SKU-"&amp;TEXT(ROW()-3,"0000"))</f>
        <v/>
      </c>
      <c r="B475" s="19"/>
      <c r="C475" s="10"/>
      <c r="D475" s="10"/>
      <c r="E475" s="10"/>
      <c r="F475" s="10"/>
      <c r="G475" s="10"/>
      <c r="H475" s="12"/>
      <c r="I475" s="12"/>
      <c r="J475" s="24" t="str">
        <f aca="false">IF(B475="","",N(H475)+N(I475))</f>
        <v/>
      </c>
      <c r="K475" s="10"/>
      <c r="L475" s="19"/>
      <c r="M475" s="12"/>
      <c r="N475" s="10"/>
      <c r="O475" s="25" t="str">
        <f aca="true">IF(OR(B475="",K475="Sold",K475="Donated"),"",TODAY()-B475)</f>
        <v/>
      </c>
      <c r="P475" s="25" t="str">
        <f aca="true">IF(OR(L475="",K475="Sold",K475="Donated"),"",TODAY()-L475)</f>
        <v/>
      </c>
      <c r="Q475" s="26" t="str">
        <f aca="false">IF(AND(K475="Listed",P475&lt;&gt;"",N(P475)&gt;Settings!$B$19),"STALE","")</f>
        <v/>
      </c>
      <c r="R475" s="27" t="str">
        <f aca="false">IF(Q475="STALE",COUNTIF($Q$4:Q475,"STALE"),"")</f>
        <v/>
      </c>
    </row>
    <row r="476" customFormat="false" ht="15" hidden="false" customHeight="false" outlineLevel="0" collapsed="false">
      <c r="A476" s="23" t="str">
        <f aca="false">IF(B476="","","SKU-"&amp;TEXT(ROW()-3,"0000"))</f>
        <v/>
      </c>
      <c r="B476" s="19"/>
      <c r="C476" s="10"/>
      <c r="D476" s="10"/>
      <c r="E476" s="10"/>
      <c r="F476" s="10"/>
      <c r="G476" s="10"/>
      <c r="H476" s="12"/>
      <c r="I476" s="12"/>
      <c r="J476" s="24" t="str">
        <f aca="false">IF(B476="","",N(H476)+N(I476))</f>
        <v/>
      </c>
      <c r="K476" s="10"/>
      <c r="L476" s="19"/>
      <c r="M476" s="12"/>
      <c r="N476" s="10"/>
      <c r="O476" s="25" t="str">
        <f aca="true">IF(OR(B476="",K476="Sold",K476="Donated"),"",TODAY()-B476)</f>
        <v/>
      </c>
      <c r="P476" s="25" t="str">
        <f aca="true">IF(OR(L476="",K476="Sold",K476="Donated"),"",TODAY()-L476)</f>
        <v/>
      </c>
      <c r="Q476" s="26" t="str">
        <f aca="false">IF(AND(K476="Listed",P476&lt;&gt;"",N(P476)&gt;Settings!$B$19),"STALE","")</f>
        <v/>
      </c>
      <c r="R476" s="27" t="str">
        <f aca="false">IF(Q476="STALE",COUNTIF($Q$4:Q476,"STALE"),"")</f>
        <v/>
      </c>
    </row>
    <row r="477" customFormat="false" ht="15" hidden="false" customHeight="false" outlineLevel="0" collapsed="false">
      <c r="A477" s="23" t="str">
        <f aca="false">IF(B477="","","SKU-"&amp;TEXT(ROW()-3,"0000"))</f>
        <v/>
      </c>
      <c r="B477" s="19"/>
      <c r="C477" s="10"/>
      <c r="D477" s="10"/>
      <c r="E477" s="10"/>
      <c r="F477" s="10"/>
      <c r="G477" s="10"/>
      <c r="H477" s="12"/>
      <c r="I477" s="12"/>
      <c r="J477" s="24" t="str">
        <f aca="false">IF(B477="","",N(H477)+N(I477))</f>
        <v/>
      </c>
      <c r="K477" s="10"/>
      <c r="L477" s="19"/>
      <c r="M477" s="12"/>
      <c r="N477" s="10"/>
      <c r="O477" s="25" t="str">
        <f aca="true">IF(OR(B477="",K477="Sold",K477="Donated"),"",TODAY()-B477)</f>
        <v/>
      </c>
      <c r="P477" s="25" t="str">
        <f aca="true">IF(OR(L477="",K477="Sold",K477="Donated"),"",TODAY()-L477)</f>
        <v/>
      </c>
      <c r="Q477" s="26" t="str">
        <f aca="false">IF(AND(K477="Listed",P477&lt;&gt;"",N(P477)&gt;Settings!$B$19),"STALE","")</f>
        <v/>
      </c>
      <c r="R477" s="27" t="str">
        <f aca="false">IF(Q477="STALE",COUNTIF($Q$4:Q477,"STALE"),"")</f>
        <v/>
      </c>
    </row>
    <row r="478" customFormat="false" ht="15" hidden="false" customHeight="false" outlineLevel="0" collapsed="false">
      <c r="A478" s="23" t="str">
        <f aca="false">IF(B478="","","SKU-"&amp;TEXT(ROW()-3,"0000"))</f>
        <v/>
      </c>
      <c r="B478" s="19"/>
      <c r="C478" s="10"/>
      <c r="D478" s="10"/>
      <c r="E478" s="10"/>
      <c r="F478" s="10"/>
      <c r="G478" s="10"/>
      <c r="H478" s="12"/>
      <c r="I478" s="12"/>
      <c r="J478" s="24" t="str">
        <f aca="false">IF(B478="","",N(H478)+N(I478))</f>
        <v/>
      </c>
      <c r="K478" s="10"/>
      <c r="L478" s="19"/>
      <c r="M478" s="12"/>
      <c r="N478" s="10"/>
      <c r="O478" s="25" t="str">
        <f aca="true">IF(OR(B478="",K478="Sold",K478="Donated"),"",TODAY()-B478)</f>
        <v/>
      </c>
      <c r="P478" s="25" t="str">
        <f aca="true">IF(OR(L478="",K478="Sold",K478="Donated"),"",TODAY()-L478)</f>
        <v/>
      </c>
      <c r="Q478" s="26" t="str">
        <f aca="false">IF(AND(K478="Listed",P478&lt;&gt;"",N(P478)&gt;Settings!$B$19),"STALE","")</f>
        <v/>
      </c>
      <c r="R478" s="27" t="str">
        <f aca="false">IF(Q478="STALE",COUNTIF($Q$4:Q478,"STALE"),"")</f>
        <v/>
      </c>
    </row>
    <row r="479" customFormat="false" ht="15" hidden="false" customHeight="false" outlineLevel="0" collapsed="false">
      <c r="A479" s="23" t="str">
        <f aca="false">IF(B479="","","SKU-"&amp;TEXT(ROW()-3,"0000"))</f>
        <v/>
      </c>
      <c r="B479" s="19"/>
      <c r="C479" s="10"/>
      <c r="D479" s="10"/>
      <c r="E479" s="10"/>
      <c r="F479" s="10"/>
      <c r="G479" s="10"/>
      <c r="H479" s="12"/>
      <c r="I479" s="12"/>
      <c r="J479" s="24" t="str">
        <f aca="false">IF(B479="","",N(H479)+N(I479))</f>
        <v/>
      </c>
      <c r="K479" s="10"/>
      <c r="L479" s="19"/>
      <c r="M479" s="12"/>
      <c r="N479" s="10"/>
      <c r="O479" s="25" t="str">
        <f aca="true">IF(OR(B479="",K479="Sold",K479="Donated"),"",TODAY()-B479)</f>
        <v/>
      </c>
      <c r="P479" s="25" t="str">
        <f aca="true">IF(OR(L479="",K479="Sold",K479="Donated"),"",TODAY()-L479)</f>
        <v/>
      </c>
      <c r="Q479" s="26" t="str">
        <f aca="false">IF(AND(K479="Listed",P479&lt;&gt;"",N(P479)&gt;Settings!$B$19),"STALE","")</f>
        <v/>
      </c>
      <c r="R479" s="27" t="str">
        <f aca="false">IF(Q479="STALE",COUNTIF($Q$4:Q479,"STALE"),"")</f>
        <v/>
      </c>
    </row>
    <row r="480" customFormat="false" ht="15" hidden="false" customHeight="false" outlineLevel="0" collapsed="false">
      <c r="A480" s="23" t="str">
        <f aca="false">IF(B480="","","SKU-"&amp;TEXT(ROW()-3,"0000"))</f>
        <v/>
      </c>
      <c r="B480" s="19"/>
      <c r="C480" s="10"/>
      <c r="D480" s="10"/>
      <c r="E480" s="10"/>
      <c r="F480" s="10"/>
      <c r="G480" s="10"/>
      <c r="H480" s="12"/>
      <c r="I480" s="12"/>
      <c r="J480" s="24" t="str">
        <f aca="false">IF(B480="","",N(H480)+N(I480))</f>
        <v/>
      </c>
      <c r="K480" s="10"/>
      <c r="L480" s="19"/>
      <c r="M480" s="12"/>
      <c r="N480" s="10"/>
      <c r="O480" s="25" t="str">
        <f aca="true">IF(OR(B480="",K480="Sold",K480="Donated"),"",TODAY()-B480)</f>
        <v/>
      </c>
      <c r="P480" s="25" t="str">
        <f aca="true">IF(OR(L480="",K480="Sold",K480="Donated"),"",TODAY()-L480)</f>
        <v/>
      </c>
      <c r="Q480" s="26" t="str">
        <f aca="false">IF(AND(K480="Listed",P480&lt;&gt;"",N(P480)&gt;Settings!$B$19),"STALE","")</f>
        <v/>
      </c>
      <c r="R480" s="27" t="str">
        <f aca="false">IF(Q480="STALE",COUNTIF($Q$4:Q480,"STALE"),"")</f>
        <v/>
      </c>
    </row>
    <row r="481" customFormat="false" ht="15" hidden="false" customHeight="false" outlineLevel="0" collapsed="false">
      <c r="A481" s="23" t="str">
        <f aca="false">IF(B481="","","SKU-"&amp;TEXT(ROW()-3,"0000"))</f>
        <v/>
      </c>
      <c r="B481" s="19"/>
      <c r="C481" s="10"/>
      <c r="D481" s="10"/>
      <c r="E481" s="10"/>
      <c r="F481" s="10"/>
      <c r="G481" s="10"/>
      <c r="H481" s="12"/>
      <c r="I481" s="12"/>
      <c r="J481" s="24" t="str">
        <f aca="false">IF(B481="","",N(H481)+N(I481))</f>
        <v/>
      </c>
      <c r="K481" s="10"/>
      <c r="L481" s="19"/>
      <c r="M481" s="12"/>
      <c r="N481" s="10"/>
      <c r="O481" s="25" t="str">
        <f aca="true">IF(OR(B481="",K481="Sold",K481="Donated"),"",TODAY()-B481)</f>
        <v/>
      </c>
      <c r="P481" s="25" t="str">
        <f aca="true">IF(OR(L481="",K481="Sold",K481="Donated"),"",TODAY()-L481)</f>
        <v/>
      </c>
      <c r="Q481" s="26" t="str">
        <f aca="false">IF(AND(K481="Listed",P481&lt;&gt;"",N(P481)&gt;Settings!$B$19),"STALE","")</f>
        <v/>
      </c>
      <c r="R481" s="27" t="str">
        <f aca="false">IF(Q481="STALE",COUNTIF($Q$4:Q481,"STALE"),"")</f>
        <v/>
      </c>
    </row>
    <row r="482" customFormat="false" ht="15" hidden="false" customHeight="false" outlineLevel="0" collapsed="false">
      <c r="A482" s="23" t="str">
        <f aca="false">IF(B482="","","SKU-"&amp;TEXT(ROW()-3,"0000"))</f>
        <v/>
      </c>
      <c r="B482" s="19"/>
      <c r="C482" s="10"/>
      <c r="D482" s="10"/>
      <c r="E482" s="10"/>
      <c r="F482" s="10"/>
      <c r="G482" s="10"/>
      <c r="H482" s="12"/>
      <c r="I482" s="12"/>
      <c r="J482" s="24" t="str">
        <f aca="false">IF(B482="","",N(H482)+N(I482))</f>
        <v/>
      </c>
      <c r="K482" s="10"/>
      <c r="L482" s="19"/>
      <c r="M482" s="12"/>
      <c r="N482" s="10"/>
      <c r="O482" s="25" t="str">
        <f aca="true">IF(OR(B482="",K482="Sold",K482="Donated"),"",TODAY()-B482)</f>
        <v/>
      </c>
      <c r="P482" s="25" t="str">
        <f aca="true">IF(OR(L482="",K482="Sold",K482="Donated"),"",TODAY()-L482)</f>
        <v/>
      </c>
      <c r="Q482" s="26" t="str">
        <f aca="false">IF(AND(K482="Listed",P482&lt;&gt;"",N(P482)&gt;Settings!$B$19),"STALE","")</f>
        <v/>
      </c>
      <c r="R482" s="27" t="str">
        <f aca="false">IF(Q482="STALE",COUNTIF($Q$4:Q482,"STALE"),"")</f>
        <v/>
      </c>
    </row>
    <row r="483" customFormat="false" ht="15" hidden="false" customHeight="false" outlineLevel="0" collapsed="false">
      <c r="A483" s="23" t="str">
        <f aca="false">IF(B483="","","SKU-"&amp;TEXT(ROW()-3,"0000"))</f>
        <v/>
      </c>
      <c r="B483" s="19"/>
      <c r="C483" s="10"/>
      <c r="D483" s="10"/>
      <c r="E483" s="10"/>
      <c r="F483" s="10"/>
      <c r="G483" s="10"/>
      <c r="H483" s="12"/>
      <c r="I483" s="12"/>
      <c r="J483" s="24" t="str">
        <f aca="false">IF(B483="","",N(H483)+N(I483))</f>
        <v/>
      </c>
      <c r="K483" s="10"/>
      <c r="L483" s="19"/>
      <c r="M483" s="12"/>
      <c r="N483" s="10"/>
      <c r="O483" s="25" t="str">
        <f aca="true">IF(OR(B483="",K483="Sold",K483="Donated"),"",TODAY()-B483)</f>
        <v/>
      </c>
      <c r="P483" s="25" t="str">
        <f aca="true">IF(OR(L483="",K483="Sold",K483="Donated"),"",TODAY()-L483)</f>
        <v/>
      </c>
      <c r="Q483" s="26" t="str">
        <f aca="false">IF(AND(K483="Listed",P483&lt;&gt;"",N(P483)&gt;Settings!$B$19),"STALE","")</f>
        <v/>
      </c>
      <c r="R483" s="27" t="str">
        <f aca="false">IF(Q483="STALE",COUNTIF($Q$4:Q483,"STALE"),"")</f>
        <v/>
      </c>
    </row>
    <row r="484" customFormat="false" ht="15" hidden="false" customHeight="false" outlineLevel="0" collapsed="false">
      <c r="A484" s="23" t="str">
        <f aca="false">IF(B484="","","SKU-"&amp;TEXT(ROW()-3,"0000"))</f>
        <v/>
      </c>
      <c r="B484" s="19"/>
      <c r="C484" s="10"/>
      <c r="D484" s="10"/>
      <c r="E484" s="10"/>
      <c r="F484" s="10"/>
      <c r="G484" s="10"/>
      <c r="H484" s="12"/>
      <c r="I484" s="12"/>
      <c r="J484" s="24" t="str">
        <f aca="false">IF(B484="","",N(H484)+N(I484))</f>
        <v/>
      </c>
      <c r="K484" s="10"/>
      <c r="L484" s="19"/>
      <c r="M484" s="12"/>
      <c r="N484" s="10"/>
      <c r="O484" s="25" t="str">
        <f aca="true">IF(OR(B484="",K484="Sold",K484="Donated"),"",TODAY()-B484)</f>
        <v/>
      </c>
      <c r="P484" s="25" t="str">
        <f aca="true">IF(OR(L484="",K484="Sold",K484="Donated"),"",TODAY()-L484)</f>
        <v/>
      </c>
      <c r="Q484" s="26" t="str">
        <f aca="false">IF(AND(K484="Listed",P484&lt;&gt;"",N(P484)&gt;Settings!$B$19),"STALE","")</f>
        <v/>
      </c>
      <c r="R484" s="27" t="str">
        <f aca="false">IF(Q484="STALE",COUNTIF($Q$4:Q484,"STALE"),"")</f>
        <v/>
      </c>
    </row>
    <row r="485" customFormat="false" ht="15" hidden="false" customHeight="false" outlineLevel="0" collapsed="false">
      <c r="A485" s="23" t="str">
        <f aca="false">IF(B485="","","SKU-"&amp;TEXT(ROW()-3,"0000"))</f>
        <v/>
      </c>
      <c r="B485" s="19"/>
      <c r="C485" s="10"/>
      <c r="D485" s="10"/>
      <c r="E485" s="10"/>
      <c r="F485" s="10"/>
      <c r="G485" s="10"/>
      <c r="H485" s="12"/>
      <c r="I485" s="12"/>
      <c r="J485" s="24" t="str">
        <f aca="false">IF(B485="","",N(H485)+N(I485))</f>
        <v/>
      </c>
      <c r="K485" s="10"/>
      <c r="L485" s="19"/>
      <c r="M485" s="12"/>
      <c r="N485" s="10"/>
      <c r="O485" s="25" t="str">
        <f aca="true">IF(OR(B485="",K485="Sold",K485="Donated"),"",TODAY()-B485)</f>
        <v/>
      </c>
      <c r="P485" s="25" t="str">
        <f aca="true">IF(OR(L485="",K485="Sold",K485="Donated"),"",TODAY()-L485)</f>
        <v/>
      </c>
      <c r="Q485" s="26" t="str">
        <f aca="false">IF(AND(K485="Listed",P485&lt;&gt;"",N(P485)&gt;Settings!$B$19),"STALE","")</f>
        <v/>
      </c>
      <c r="R485" s="27" t="str">
        <f aca="false">IF(Q485="STALE",COUNTIF($Q$4:Q485,"STALE"),"")</f>
        <v/>
      </c>
    </row>
    <row r="486" customFormat="false" ht="15" hidden="false" customHeight="false" outlineLevel="0" collapsed="false">
      <c r="A486" s="23" t="str">
        <f aca="false">IF(B486="","","SKU-"&amp;TEXT(ROW()-3,"0000"))</f>
        <v/>
      </c>
      <c r="B486" s="19"/>
      <c r="C486" s="10"/>
      <c r="D486" s="10"/>
      <c r="E486" s="10"/>
      <c r="F486" s="10"/>
      <c r="G486" s="10"/>
      <c r="H486" s="12"/>
      <c r="I486" s="12"/>
      <c r="J486" s="24" t="str">
        <f aca="false">IF(B486="","",N(H486)+N(I486))</f>
        <v/>
      </c>
      <c r="K486" s="10"/>
      <c r="L486" s="19"/>
      <c r="M486" s="12"/>
      <c r="N486" s="10"/>
      <c r="O486" s="25" t="str">
        <f aca="true">IF(OR(B486="",K486="Sold",K486="Donated"),"",TODAY()-B486)</f>
        <v/>
      </c>
      <c r="P486" s="25" t="str">
        <f aca="true">IF(OR(L486="",K486="Sold",K486="Donated"),"",TODAY()-L486)</f>
        <v/>
      </c>
      <c r="Q486" s="26" t="str">
        <f aca="false">IF(AND(K486="Listed",P486&lt;&gt;"",N(P486)&gt;Settings!$B$19),"STALE","")</f>
        <v/>
      </c>
      <c r="R486" s="27" t="str">
        <f aca="false">IF(Q486="STALE",COUNTIF($Q$4:Q486,"STALE"),"")</f>
        <v/>
      </c>
    </row>
    <row r="487" customFormat="false" ht="15" hidden="false" customHeight="false" outlineLevel="0" collapsed="false">
      <c r="A487" s="23" t="str">
        <f aca="false">IF(B487="","","SKU-"&amp;TEXT(ROW()-3,"0000"))</f>
        <v/>
      </c>
      <c r="B487" s="19"/>
      <c r="C487" s="10"/>
      <c r="D487" s="10"/>
      <c r="E487" s="10"/>
      <c r="F487" s="10"/>
      <c r="G487" s="10"/>
      <c r="H487" s="12"/>
      <c r="I487" s="12"/>
      <c r="J487" s="24" t="str">
        <f aca="false">IF(B487="","",N(H487)+N(I487))</f>
        <v/>
      </c>
      <c r="K487" s="10"/>
      <c r="L487" s="19"/>
      <c r="M487" s="12"/>
      <c r="N487" s="10"/>
      <c r="O487" s="25" t="str">
        <f aca="true">IF(OR(B487="",K487="Sold",K487="Donated"),"",TODAY()-B487)</f>
        <v/>
      </c>
      <c r="P487" s="25" t="str">
        <f aca="true">IF(OR(L487="",K487="Sold",K487="Donated"),"",TODAY()-L487)</f>
        <v/>
      </c>
      <c r="Q487" s="26" t="str">
        <f aca="false">IF(AND(K487="Listed",P487&lt;&gt;"",N(P487)&gt;Settings!$B$19),"STALE","")</f>
        <v/>
      </c>
      <c r="R487" s="27" t="str">
        <f aca="false">IF(Q487="STALE",COUNTIF($Q$4:Q487,"STALE"),"")</f>
        <v/>
      </c>
    </row>
    <row r="488" customFormat="false" ht="15" hidden="false" customHeight="false" outlineLevel="0" collapsed="false">
      <c r="A488" s="23" t="str">
        <f aca="false">IF(B488="","","SKU-"&amp;TEXT(ROW()-3,"0000"))</f>
        <v/>
      </c>
      <c r="B488" s="19"/>
      <c r="C488" s="10"/>
      <c r="D488" s="10"/>
      <c r="E488" s="10"/>
      <c r="F488" s="10"/>
      <c r="G488" s="10"/>
      <c r="H488" s="12"/>
      <c r="I488" s="12"/>
      <c r="J488" s="24" t="str">
        <f aca="false">IF(B488="","",N(H488)+N(I488))</f>
        <v/>
      </c>
      <c r="K488" s="10"/>
      <c r="L488" s="19"/>
      <c r="M488" s="12"/>
      <c r="N488" s="10"/>
      <c r="O488" s="25" t="str">
        <f aca="true">IF(OR(B488="",K488="Sold",K488="Donated"),"",TODAY()-B488)</f>
        <v/>
      </c>
      <c r="P488" s="25" t="str">
        <f aca="true">IF(OR(L488="",K488="Sold",K488="Donated"),"",TODAY()-L488)</f>
        <v/>
      </c>
      <c r="Q488" s="26" t="str">
        <f aca="false">IF(AND(K488="Listed",P488&lt;&gt;"",N(P488)&gt;Settings!$B$19),"STALE","")</f>
        <v/>
      </c>
      <c r="R488" s="27" t="str">
        <f aca="false">IF(Q488="STALE",COUNTIF($Q$4:Q488,"STALE"),"")</f>
        <v/>
      </c>
    </row>
    <row r="489" customFormat="false" ht="15" hidden="false" customHeight="false" outlineLevel="0" collapsed="false">
      <c r="A489" s="23" t="str">
        <f aca="false">IF(B489="","","SKU-"&amp;TEXT(ROW()-3,"0000"))</f>
        <v/>
      </c>
      <c r="B489" s="19"/>
      <c r="C489" s="10"/>
      <c r="D489" s="10"/>
      <c r="E489" s="10"/>
      <c r="F489" s="10"/>
      <c r="G489" s="10"/>
      <c r="H489" s="12"/>
      <c r="I489" s="12"/>
      <c r="J489" s="24" t="str">
        <f aca="false">IF(B489="","",N(H489)+N(I489))</f>
        <v/>
      </c>
      <c r="K489" s="10"/>
      <c r="L489" s="19"/>
      <c r="M489" s="12"/>
      <c r="N489" s="10"/>
      <c r="O489" s="25" t="str">
        <f aca="true">IF(OR(B489="",K489="Sold",K489="Donated"),"",TODAY()-B489)</f>
        <v/>
      </c>
      <c r="P489" s="25" t="str">
        <f aca="true">IF(OR(L489="",K489="Sold",K489="Donated"),"",TODAY()-L489)</f>
        <v/>
      </c>
      <c r="Q489" s="26" t="str">
        <f aca="false">IF(AND(K489="Listed",P489&lt;&gt;"",N(P489)&gt;Settings!$B$19),"STALE","")</f>
        <v/>
      </c>
      <c r="R489" s="27" t="str">
        <f aca="false">IF(Q489="STALE",COUNTIF($Q$4:Q489,"STALE"),"")</f>
        <v/>
      </c>
    </row>
    <row r="490" customFormat="false" ht="15" hidden="false" customHeight="false" outlineLevel="0" collapsed="false">
      <c r="A490" s="23" t="str">
        <f aca="false">IF(B490="","","SKU-"&amp;TEXT(ROW()-3,"0000"))</f>
        <v/>
      </c>
      <c r="B490" s="19"/>
      <c r="C490" s="10"/>
      <c r="D490" s="10"/>
      <c r="E490" s="10"/>
      <c r="F490" s="10"/>
      <c r="G490" s="10"/>
      <c r="H490" s="12"/>
      <c r="I490" s="12"/>
      <c r="J490" s="24" t="str">
        <f aca="false">IF(B490="","",N(H490)+N(I490))</f>
        <v/>
      </c>
      <c r="K490" s="10"/>
      <c r="L490" s="19"/>
      <c r="M490" s="12"/>
      <c r="N490" s="10"/>
      <c r="O490" s="25" t="str">
        <f aca="true">IF(OR(B490="",K490="Sold",K490="Donated"),"",TODAY()-B490)</f>
        <v/>
      </c>
      <c r="P490" s="25" t="str">
        <f aca="true">IF(OR(L490="",K490="Sold",K490="Donated"),"",TODAY()-L490)</f>
        <v/>
      </c>
      <c r="Q490" s="26" t="str">
        <f aca="false">IF(AND(K490="Listed",P490&lt;&gt;"",N(P490)&gt;Settings!$B$19),"STALE","")</f>
        <v/>
      </c>
      <c r="R490" s="27" t="str">
        <f aca="false">IF(Q490="STALE",COUNTIF($Q$4:Q490,"STALE"),"")</f>
        <v/>
      </c>
    </row>
    <row r="491" customFormat="false" ht="15" hidden="false" customHeight="false" outlineLevel="0" collapsed="false">
      <c r="A491" s="23" t="str">
        <f aca="false">IF(B491="","","SKU-"&amp;TEXT(ROW()-3,"0000"))</f>
        <v/>
      </c>
      <c r="B491" s="19"/>
      <c r="C491" s="10"/>
      <c r="D491" s="10"/>
      <c r="E491" s="10"/>
      <c r="F491" s="10"/>
      <c r="G491" s="10"/>
      <c r="H491" s="12"/>
      <c r="I491" s="12"/>
      <c r="J491" s="24" t="str">
        <f aca="false">IF(B491="","",N(H491)+N(I491))</f>
        <v/>
      </c>
      <c r="K491" s="10"/>
      <c r="L491" s="19"/>
      <c r="M491" s="12"/>
      <c r="N491" s="10"/>
      <c r="O491" s="25" t="str">
        <f aca="true">IF(OR(B491="",K491="Sold",K491="Donated"),"",TODAY()-B491)</f>
        <v/>
      </c>
      <c r="P491" s="25" t="str">
        <f aca="true">IF(OR(L491="",K491="Sold",K491="Donated"),"",TODAY()-L491)</f>
        <v/>
      </c>
      <c r="Q491" s="26" t="str">
        <f aca="false">IF(AND(K491="Listed",P491&lt;&gt;"",N(P491)&gt;Settings!$B$19),"STALE","")</f>
        <v/>
      </c>
      <c r="R491" s="27" t="str">
        <f aca="false">IF(Q491="STALE",COUNTIF($Q$4:Q491,"STALE"),"")</f>
        <v/>
      </c>
    </row>
    <row r="492" customFormat="false" ht="15" hidden="false" customHeight="false" outlineLevel="0" collapsed="false">
      <c r="A492" s="23" t="str">
        <f aca="false">IF(B492="","","SKU-"&amp;TEXT(ROW()-3,"0000"))</f>
        <v/>
      </c>
      <c r="B492" s="19"/>
      <c r="C492" s="10"/>
      <c r="D492" s="10"/>
      <c r="E492" s="10"/>
      <c r="F492" s="10"/>
      <c r="G492" s="10"/>
      <c r="H492" s="12"/>
      <c r="I492" s="12"/>
      <c r="J492" s="24" t="str">
        <f aca="false">IF(B492="","",N(H492)+N(I492))</f>
        <v/>
      </c>
      <c r="K492" s="10"/>
      <c r="L492" s="19"/>
      <c r="M492" s="12"/>
      <c r="N492" s="10"/>
      <c r="O492" s="25" t="str">
        <f aca="true">IF(OR(B492="",K492="Sold",K492="Donated"),"",TODAY()-B492)</f>
        <v/>
      </c>
      <c r="P492" s="25" t="str">
        <f aca="true">IF(OR(L492="",K492="Sold",K492="Donated"),"",TODAY()-L492)</f>
        <v/>
      </c>
      <c r="Q492" s="26" t="str">
        <f aca="false">IF(AND(K492="Listed",P492&lt;&gt;"",N(P492)&gt;Settings!$B$19),"STALE","")</f>
        <v/>
      </c>
      <c r="R492" s="27" t="str">
        <f aca="false">IF(Q492="STALE",COUNTIF($Q$4:Q492,"STALE"),"")</f>
        <v/>
      </c>
    </row>
    <row r="493" customFormat="false" ht="15" hidden="false" customHeight="false" outlineLevel="0" collapsed="false">
      <c r="A493" s="23" t="str">
        <f aca="false">IF(B493="","","SKU-"&amp;TEXT(ROW()-3,"0000"))</f>
        <v/>
      </c>
      <c r="B493" s="19"/>
      <c r="C493" s="10"/>
      <c r="D493" s="10"/>
      <c r="E493" s="10"/>
      <c r="F493" s="10"/>
      <c r="G493" s="10"/>
      <c r="H493" s="12"/>
      <c r="I493" s="12"/>
      <c r="J493" s="24" t="str">
        <f aca="false">IF(B493="","",N(H493)+N(I493))</f>
        <v/>
      </c>
      <c r="K493" s="10"/>
      <c r="L493" s="19"/>
      <c r="M493" s="12"/>
      <c r="N493" s="10"/>
      <c r="O493" s="25" t="str">
        <f aca="true">IF(OR(B493="",K493="Sold",K493="Donated"),"",TODAY()-B493)</f>
        <v/>
      </c>
      <c r="P493" s="25" t="str">
        <f aca="true">IF(OR(L493="",K493="Sold",K493="Donated"),"",TODAY()-L493)</f>
        <v/>
      </c>
      <c r="Q493" s="26" t="str">
        <f aca="false">IF(AND(K493="Listed",P493&lt;&gt;"",N(P493)&gt;Settings!$B$19),"STALE","")</f>
        <v/>
      </c>
      <c r="R493" s="27" t="str">
        <f aca="false">IF(Q493="STALE",COUNTIF($Q$4:Q493,"STALE"),"")</f>
        <v/>
      </c>
    </row>
    <row r="494" customFormat="false" ht="15" hidden="false" customHeight="false" outlineLevel="0" collapsed="false">
      <c r="A494" s="23" t="str">
        <f aca="false">IF(B494="","","SKU-"&amp;TEXT(ROW()-3,"0000"))</f>
        <v/>
      </c>
      <c r="B494" s="19"/>
      <c r="C494" s="10"/>
      <c r="D494" s="10"/>
      <c r="E494" s="10"/>
      <c r="F494" s="10"/>
      <c r="G494" s="10"/>
      <c r="H494" s="12"/>
      <c r="I494" s="12"/>
      <c r="J494" s="24" t="str">
        <f aca="false">IF(B494="","",N(H494)+N(I494))</f>
        <v/>
      </c>
      <c r="K494" s="10"/>
      <c r="L494" s="19"/>
      <c r="M494" s="12"/>
      <c r="N494" s="10"/>
      <c r="O494" s="25" t="str">
        <f aca="true">IF(OR(B494="",K494="Sold",K494="Donated"),"",TODAY()-B494)</f>
        <v/>
      </c>
      <c r="P494" s="25" t="str">
        <f aca="true">IF(OR(L494="",K494="Sold",K494="Donated"),"",TODAY()-L494)</f>
        <v/>
      </c>
      <c r="Q494" s="26" t="str">
        <f aca="false">IF(AND(K494="Listed",P494&lt;&gt;"",N(P494)&gt;Settings!$B$19),"STALE","")</f>
        <v/>
      </c>
      <c r="R494" s="27" t="str">
        <f aca="false">IF(Q494="STALE",COUNTIF($Q$4:Q494,"STALE"),"")</f>
        <v/>
      </c>
    </row>
    <row r="495" customFormat="false" ht="15" hidden="false" customHeight="false" outlineLevel="0" collapsed="false">
      <c r="A495" s="23" t="str">
        <f aca="false">IF(B495="","","SKU-"&amp;TEXT(ROW()-3,"0000"))</f>
        <v/>
      </c>
      <c r="B495" s="19"/>
      <c r="C495" s="10"/>
      <c r="D495" s="10"/>
      <c r="E495" s="10"/>
      <c r="F495" s="10"/>
      <c r="G495" s="10"/>
      <c r="H495" s="12"/>
      <c r="I495" s="12"/>
      <c r="J495" s="24" t="str">
        <f aca="false">IF(B495="","",N(H495)+N(I495))</f>
        <v/>
      </c>
      <c r="K495" s="10"/>
      <c r="L495" s="19"/>
      <c r="M495" s="12"/>
      <c r="N495" s="10"/>
      <c r="O495" s="25" t="str">
        <f aca="true">IF(OR(B495="",K495="Sold",K495="Donated"),"",TODAY()-B495)</f>
        <v/>
      </c>
      <c r="P495" s="25" t="str">
        <f aca="true">IF(OR(L495="",K495="Sold",K495="Donated"),"",TODAY()-L495)</f>
        <v/>
      </c>
      <c r="Q495" s="26" t="str">
        <f aca="false">IF(AND(K495="Listed",P495&lt;&gt;"",N(P495)&gt;Settings!$B$19),"STALE","")</f>
        <v/>
      </c>
      <c r="R495" s="27" t="str">
        <f aca="false">IF(Q495="STALE",COUNTIF($Q$4:Q495,"STALE"),"")</f>
        <v/>
      </c>
    </row>
    <row r="496" customFormat="false" ht="15" hidden="false" customHeight="false" outlineLevel="0" collapsed="false">
      <c r="A496" s="23" t="str">
        <f aca="false">IF(B496="","","SKU-"&amp;TEXT(ROW()-3,"0000"))</f>
        <v/>
      </c>
      <c r="B496" s="19"/>
      <c r="C496" s="10"/>
      <c r="D496" s="10"/>
      <c r="E496" s="10"/>
      <c r="F496" s="10"/>
      <c r="G496" s="10"/>
      <c r="H496" s="12"/>
      <c r="I496" s="12"/>
      <c r="J496" s="24" t="str">
        <f aca="false">IF(B496="","",N(H496)+N(I496))</f>
        <v/>
      </c>
      <c r="K496" s="10"/>
      <c r="L496" s="19"/>
      <c r="M496" s="12"/>
      <c r="N496" s="10"/>
      <c r="O496" s="25" t="str">
        <f aca="true">IF(OR(B496="",K496="Sold",K496="Donated"),"",TODAY()-B496)</f>
        <v/>
      </c>
      <c r="P496" s="25" t="str">
        <f aca="true">IF(OR(L496="",K496="Sold",K496="Donated"),"",TODAY()-L496)</f>
        <v/>
      </c>
      <c r="Q496" s="26" t="str">
        <f aca="false">IF(AND(K496="Listed",P496&lt;&gt;"",N(P496)&gt;Settings!$B$19),"STALE","")</f>
        <v/>
      </c>
      <c r="R496" s="27" t="str">
        <f aca="false">IF(Q496="STALE",COUNTIF($Q$4:Q496,"STALE"),"")</f>
        <v/>
      </c>
    </row>
    <row r="497" customFormat="false" ht="15" hidden="false" customHeight="false" outlineLevel="0" collapsed="false">
      <c r="A497" s="23" t="str">
        <f aca="false">IF(B497="","","SKU-"&amp;TEXT(ROW()-3,"0000"))</f>
        <v/>
      </c>
      <c r="B497" s="19"/>
      <c r="C497" s="10"/>
      <c r="D497" s="10"/>
      <c r="E497" s="10"/>
      <c r="F497" s="10"/>
      <c r="G497" s="10"/>
      <c r="H497" s="12"/>
      <c r="I497" s="12"/>
      <c r="J497" s="24" t="str">
        <f aca="false">IF(B497="","",N(H497)+N(I497))</f>
        <v/>
      </c>
      <c r="K497" s="10"/>
      <c r="L497" s="19"/>
      <c r="M497" s="12"/>
      <c r="N497" s="10"/>
      <c r="O497" s="25" t="str">
        <f aca="true">IF(OR(B497="",K497="Sold",K497="Donated"),"",TODAY()-B497)</f>
        <v/>
      </c>
      <c r="P497" s="25" t="str">
        <f aca="true">IF(OR(L497="",K497="Sold",K497="Donated"),"",TODAY()-L497)</f>
        <v/>
      </c>
      <c r="Q497" s="26" t="str">
        <f aca="false">IF(AND(K497="Listed",P497&lt;&gt;"",N(P497)&gt;Settings!$B$19),"STALE","")</f>
        <v/>
      </c>
      <c r="R497" s="27" t="str">
        <f aca="false">IF(Q497="STALE",COUNTIF($Q$4:Q497,"STALE"),"")</f>
        <v/>
      </c>
    </row>
    <row r="498" customFormat="false" ht="15" hidden="false" customHeight="false" outlineLevel="0" collapsed="false">
      <c r="A498" s="23" t="str">
        <f aca="false">IF(B498="","","SKU-"&amp;TEXT(ROW()-3,"0000"))</f>
        <v/>
      </c>
      <c r="B498" s="19"/>
      <c r="C498" s="10"/>
      <c r="D498" s="10"/>
      <c r="E498" s="10"/>
      <c r="F498" s="10"/>
      <c r="G498" s="10"/>
      <c r="H498" s="12"/>
      <c r="I498" s="12"/>
      <c r="J498" s="24" t="str">
        <f aca="false">IF(B498="","",N(H498)+N(I498))</f>
        <v/>
      </c>
      <c r="K498" s="10"/>
      <c r="L498" s="19"/>
      <c r="M498" s="12"/>
      <c r="N498" s="10"/>
      <c r="O498" s="25" t="str">
        <f aca="true">IF(OR(B498="",K498="Sold",K498="Donated"),"",TODAY()-B498)</f>
        <v/>
      </c>
      <c r="P498" s="25" t="str">
        <f aca="true">IF(OR(L498="",K498="Sold",K498="Donated"),"",TODAY()-L498)</f>
        <v/>
      </c>
      <c r="Q498" s="26" t="str">
        <f aca="false">IF(AND(K498="Listed",P498&lt;&gt;"",N(P498)&gt;Settings!$B$19),"STALE","")</f>
        <v/>
      </c>
      <c r="R498" s="27" t="str">
        <f aca="false">IF(Q498="STALE",COUNTIF($Q$4:Q498,"STALE"),"")</f>
        <v/>
      </c>
    </row>
    <row r="499" customFormat="false" ht="15" hidden="false" customHeight="false" outlineLevel="0" collapsed="false">
      <c r="A499" s="23" t="str">
        <f aca="false">IF(B499="","","SKU-"&amp;TEXT(ROW()-3,"0000"))</f>
        <v/>
      </c>
      <c r="B499" s="19"/>
      <c r="C499" s="10"/>
      <c r="D499" s="10"/>
      <c r="E499" s="10"/>
      <c r="F499" s="10"/>
      <c r="G499" s="10"/>
      <c r="H499" s="12"/>
      <c r="I499" s="12"/>
      <c r="J499" s="24" t="str">
        <f aca="false">IF(B499="","",N(H499)+N(I499))</f>
        <v/>
      </c>
      <c r="K499" s="10"/>
      <c r="L499" s="19"/>
      <c r="M499" s="12"/>
      <c r="N499" s="10"/>
      <c r="O499" s="25" t="str">
        <f aca="true">IF(OR(B499="",K499="Sold",K499="Donated"),"",TODAY()-B499)</f>
        <v/>
      </c>
      <c r="P499" s="25" t="str">
        <f aca="true">IF(OR(L499="",K499="Sold",K499="Donated"),"",TODAY()-L499)</f>
        <v/>
      </c>
      <c r="Q499" s="26" t="str">
        <f aca="false">IF(AND(K499="Listed",P499&lt;&gt;"",N(P499)&gt;Settings!$B$19),"STALE","")</f>
        <v/>
      </c>
      <c r="R499" s="27" t="str">
        <f aca="false">IF(Q499="STALE",COUNTIF($Q$4:Q499,"STALE"),"")</f>
        <v/>
      </c>
    </row>
    <row r="500" customFormat="false" ht="15" hidden="false" customHeight="false" outlineLevel="0" collapsed="false">
      <c r="A500" s="23" t="str">
        <f aca="false">IF(B500="","","SKU-"&amp;TEXT(ROW()-3,"0000"))</f>
        <v/>
      </c>
      <c r="B500" s="19"/>
      <c r="C500" s="10"/>
      <c r="D500" s="10"/>
      <c r="E500" s="10"/>
      <c r="F500" s="10"/>
      <c r="G500" s="10"/>
      <c r="H500" s="12"/>
      <c r="I500" s="12"/>
      <c r="J500" s="24" t="str">
        <f aca="false">IF(B500="","",N(H500)+N(I500))</f>
        <v/>
      </c>
      <c r="K500" s="10"/>
      <c r="L500" s="19"/>
      <c r="M500" s="12"/>
      <c r="N500" s="10"/>
      <c r="O500" s="25" t="str">
        <f aca="true">IF(OR(B500="",K500="Sold",K500="Donated"),"",TODAY()-B500)</f>
        <v/>
      </c>
      <c r="P500" s="25" t="str">
        <f aca="true">IF(OR(L500="",K500="Sold",K500="Donated"),"",TODAY()-L500)</f>
        <v/>
      </c>
      <c r="Q500" s="26" t="str">
        <f aca="false">IF(AND(K500="Listed",P500&lt;&gt;"",N(P500)&gt;Settings!$B$19),"STALE","")</f>
        <v/>
      </c>
      <c r="R500" s="27" t="str">
        <f aca="false">IF(Q500="STALE",COUNTIF($Q$4:Q500,"STALE"),"")</f>
        <v/>
      </c>
    </row>
    <row r="501" customFormat="false" ht="15" hidden="false" customHeight="false" outlineLevel="0" collapsed="false">
      <c r="A501" s="23" t="str">
        <f aca="false">IF(B501="","","SKU-"&amp;TEXT(ROW()-3,"0000"))</f>
        <v/>
      </c>
      <c r="B501" s="19"/>
      <c r="C501" s="10"/>
      <c r="D501" s="10"/>
      <c r="E501" s="10"/>
      <c r="F501" s="10"/>
      <c r="G501" s="10"/>
      <c r="H501" s="12"/>
      <c r="I501" s="12"/>
      <c r="J501" s="24" t="str">
        <f aca="false">IF(B501="","",N(H501)+N(I501))</f>
        <v/>
      </c>
      <c r="K501" s="10"/>
      <c r="L501" s="19"/>
      <c r="M501" s="12"/>
      <c r="N501" s="10"/>
      <c r="O501" s="25" t="str">
        <f aca="true">IF(OR(B501="",K501="Sold",K501="Donated"),"",TODAY()-B501)</f>
        <v/>
      </c>
      <c r="P501" s="25" t="str">
        <f aca="true">IF(OR(L501="",K501="Sold",K501="Donated"),"",TODAY()-L501)</f>
        <v/>
      </c>
      <c r="Q501" s="26" t="str">
        <f aca="false">IF(AND(K501="Listed",P501&lt;&gt;"",N(P501)&gt;Settings!$B$19),"STALE","")</f>
        <v/>
      </c>
      <c r="R501" s="27" t="str">
        <f aca="false">IF(Q501="STALE",COUNTIF($Q$4:Q501,"STALE"),"")</f>
        <v/>
      </c>
    </row>
    <row r="502" customFormat="false" ht="15" hidden="false" customHeight="false" outlineLevel="0" collapsed="false">
      <c r="A502" s="23" t="str">
        <f aca="false">IF(B502="","","SKU-"&amp;TEXT(ROW()-3,"0000"))</f>
        <v/>
      </c>
      <c r="B502" s="19"/>
      <c r="C502" s="10"/>
      <c r="D502" s="10"/>
      <c r="E502" s="10"/>
      <c r="F502" s="10"/>
      <c r="G502" s="10"/>
      <c r="H502" s="12"/>
      <c r="I502" s="12"/>
      <c r="J502" s="24" t="str">
        <f aca="false">IF(B502="","",N(H502)+N(I502))</f>
        <v/>
      </c>
      <c r="K502" s="10"/>
      <c r="L502" s="19"/>
      <c r="M502" s="12"/>
      <c r="N502" s="10"/>
      <c r="O502" s="25" t="str">
        <f aca="true">IF(OR(B502="",K502="Sold",K502="Donated"),"",TODAY()-B502)</f>
        <v/>
      </c>
      <c r="P502" s="25" t="str">
        <f aca="true">IF(OR(L502="",K502="Sold",K502="Donated"),"",TODAY()-L502)</f>
        <v/>
      </c>
      <c r="Q502" s="26" t="str">
        <f aca="false">IF(AND(K502="Listed",P502&lt;&gt;"",N(P502)&gt;Settings!$B$19),"STALE","")</f>
        <v/>
      </c>
      <c r="R502" s="27" t="str">
        <f aca="false">IF(Q502="STALE",COUNTIF($Q$4:Q502,"STALE"),"")</f>
        <v/>
      </c>
    </row>
    <row r="503" customFormat="false" ht="15" hidden="false" customHeight="false" outlineLevel="0" collapsed="false">
      <c r="A503" s="23" t="str">
        <f aca="false">IF(B503="","","SKU-"&amp;TEXT(ROW()-3,"0000"))</f>
        <v/>
      </c>
      <c r="B503" s="19"/>
      <c r="C503" s="10"/>
      <c r="D503" s="10"/>
      <c r="E503" s="10"/>
      <c r="F503" s="10"/>
      <c r="G503" s="10"/>
      <c r="H503" s="12"/>
      <c r="I503" s="12"/>
      <c r="J503" s="24" t="str">
        <f aca="false">IF(B503="","",N(H503)+N(I503))</f>
        <v/>
      </c>
      <c r="K503" s="10"/>
      <c r="L503" s="19"/>
      <c r="M503" s="12"/>
      <c r="N503" s="10"/>
      <c r="O503" s="25" t="str">
        <f aca="true">IF(OR(B503="",K503="Sold",K503="Donated"),"",TODAY()-B503)</f>
        <v/>
      </c>
      <c r="P503" s="25" t="str">
        <f aca="true">IF(OR(L503="",K503="Sold",K503="Donated"),"",TODAY()-L503)</f>
        <v/>
      </c>
      <c r="Q503" s="26" t="str">
        <f aca="false">IF(AND(K503="Listed",P503&lt;&gt;"",N(P503)&gt;Settings!$B$19),"STALE","")</f>
        <v/>
      </c>
      <c r="R503" s="27" t="str">
        <f aca="false">IF(Q503="STALE",COUNTIF($Q$4:Q503,"STALE"),"")</f>
        <v/>
      </c>
    </row>
  </sheetData>
  <autoFilter ref="A3:R503"/>
  <conditionalFormatting sqref="A4:Q503">
    <cfRule type="expression" priority="2" aboveAverage="0" equalAverage="0" bottom="0" percent="0" rank="0" text="" dxfId="9">
      <formula>$Q4="STALE"</formula>
    </cfRule>
  </conditionalFormatting>
  <conditionalFormatting sqref="K4:K503">
    <cfRule type="expression" priority="3" aboveAverage="0" equalAverage="0" bottom="0" percent="0" rank="0" text="" dxfId="10">
      <formula>$K4="Sold"</formula>
    </cfRule>
  </conditionalFormatting>
  <dataValidations count="4">
    <dataValidation allowBlank="true" errorStyle="stop" operator="between" showDropDown="false" showErrorMessage="false" showInputMessage="false" sqref="C4:C503" type="list">
      <formula1>Settings!$H$4:$H$10</formula1>
      <formula2>0</formula2>
    </dataValidation>
    <dataValidation allowBlank="true" errorStyle="stop" operator="between" showDropDown="false" showErrorMessage="false" showInputMessage="false" sqref="F4:F503" type="list">
      <formula1>Settings!$I$4:$I$12</formula1>
      <formula2>0</formula2>
    </dataValidation>
    <dataValidation allowBlank="true" errorStyle="stop" operator="between" showDropDown="false" showErrorMessage="false" showInputMessage="false" sqref="K4:K503" type="list">
      <formula1>Settings!$J$4:$J$8</formula1>
      <formula2>0</formula2>
    </dataValidation>
    <dataValidation allowBlank="true" errorStyle="stop" operator="between" showDropDown="false" showErrorMessage="false" showInputMessage="false" sqref="N4:N503" type="list">
      <formula1>Settings!$A$4:$A$11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false"/>
  </sheetPr>
  <dimension ref="A1:P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4" min="13" style="0" width="9"/>
    <col collapsed="false" customWidth="true" hidden="false" outlineLevel="0" max="16" min="15" style="0" width="12"/>
  </cols>
  <sheetData>
    <row r="1" customFormat="false" ht="19.7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3" customFormat="false" ht="30" hidden="false" customHeight="true" outlineLevel="0" collapsed="false">
      <c r="A3" s="9" t="s">
        <v>160</v>
      </c>
      <c r="B3" s="9" t="s">
        <v>119</v>
      </c>
      <c r="C3" s="9" t="s">
        <v>123</v>
      </c>
      <c r="D3" s="9" t="s">
        <v>39</v>
      </c>
      <c r="E3" s="9" t="s">
        <v>161</v>
      </c>
      <c r="F3" s="9" t="s">
        <v>162</v>
      </c>
      <c r="G3" s="9" t="s">
        <v>163</v>
      </c>
      <c r="H3" s="9" t="s">
        <v>164</v>
      </c>
      <c r="I3" s="9" t="s">
        <v>165</v>
      </c>
      <c r="J3" s="9" t="s">
        <v>166</v>
      </c>
      <c r="K3" s="9" t="s">
        <v>167</v>
      </c>
      <c r="L3" s="9" t="s">
        <v>168</v>
      </c>
      <c r="M3" s="9" t="s">
        <v>169</v>
      </c>
      <c r="N3" s="9" t="s">
        <v>170</v>
      </c>
      <c r="O3" s="9" t="s">
        <v>171</v>
      </c>
      <c r="P3" s="9" t="s">
        <v>172</v>
      </c>
    </row>
    <row r="4" customFormat="false" ht="15" hidden="false" customHeight="false" outlineLevel="0" collapsed="false">
      <c r="A4" s="19" t="n">
        <v>46050</v>
      </c>
      <c r="B4" s="10" t="s">
        <v>173</v>
      </c>
      <c r="C4" s="23" t="str">
        <f aca="false">IF($B4="","",IFERROR(INDEX(Inventory!$E$4:$E$503,MATCH($B4,Inventory!$A$4:$A$503,0)),"SKU not found"))</f>
        <v>Men's Better Sweater Fleece Full-Zip, Navy</v>
      </c>
      <c r="D4" s="10" t="s">
        <v>50</v>
      </c>
      <c r="E4" s="12" t="n">
        <v>79</v>
      </c>
      <c r="F4" s="12" t="n">
        <v>0</v>
      </c>
      <c r="G4" s="12" t="n">
        <v>9.85</v>
      </c>
      <c r="H4" s="24" t="n">
        <f aca="false">IF(OR(B4="",D4="",E4=""),"",IFERROR(IF(AND(D4="Poshmark",E4&lt;Settings!$B$20),Settings!$B$21,(E4+IF(INDEX(Settings!$E$4:$E$11,MATCH($D4,Settings!$A$4:$A$11,0))="Y",N(F4),0))*(INDEX(Settings!$B$4:$B$11,MATCH($D4,Settings!$A$4:$A$11,0))+INDEX(Settings!$D$4:$D$11,MATCH($D4,Settings!$A$4:$A$11,0)))+INDEX(Settings!$C$4:$C$11,MATCH($D4,Settings!$A$4:$A$11,0))),0))</f>
        <v>11.144</v>
      </c>
      <c r="I4" s="12" t="n">
        <v>5.53</v>
      </c>
      <c r="J4" s="12" t="n">
        <v>0</v>
      </c>
      <c r="K4" s="24" t="n">
        <f aca="false">IF($B4="","",IFERROR(INDEX(Inventory!$J$4:$J$503,MATCH($B4,Inventory!$A$4:$A$503,0)),0))</f>
        <v>12.99</v>
      </c>
      <c r="L4" s="24" t="n">
        <f aca="false">IF(OR(B4="",E4=""),"",E4+N(F4)-N(G4)-N(H4)-N(J4)-N(K4))</f>
        <v>45.016</v>
      </c>
      <c r="M4" s="28" t="n">
        <f aca="false">IF(OR(L4="",N(K4)=0),"",L4/K4)</f>
        <v>3.46543494996151</v>
      </c>
      <c r="N4" s="25" t="n">
        <f aca="false">IF(OR(A4="",B4=""),"",IFERROR(A4-INDEX(Inventory!$B$4:$B$503,MATCH($B4,Inventory!$A$4:$A$503,0)),""))</f>
        <v>16</v>
      </c>
      <c r="O4" s="27" t="str">
        <f aca="false">IF($B4="","",IFERROR(INDEX(Inventory!$F$4:$F$503,MATCH($B4,Inventory!$A$4:$A$503,0)),""))</f>
        <v>Clothing</v>
      </c>
      <c r="P4" s="27" t="str">
        <f aca="false">IF($B4="","",IFERROR(INDEX(Inventory!$C$4:$C$503,MATCH($B4,Inventory!$A$4:$A$503,0)),""))</f>
        <v>Thrift</v>
      </c>
    </row>
    <row r="5" customFormat="false" ht="15" hidden="false" customHeight="false" outlineLevel="0" collapsed="false">
      <c r="A5" s="19" t="n">
        <v>46063</v>
      </c>
      <c r="B5" s="10" t="s">
        <v>174</v>
      </c>
      <c r="C5" s="23" t="str">
        <f aca="false">IF($B5="","",IFERROR(INDEX(Inventory!$E$4:$E$503,MATCH($B5,Inventory!$A$4:$A$503,0)),"SKU not found"))</f>
        <v>Vintage Butterfly Gold Mixing Bowl Set (3 pc)</v>
      </c>
      <c r="D5" s="10" t="s">
        <v>65</v>
      </c>
      <c r="E5" s="12" t="n">
        <v>65</v>
      </c>
      <c r="F5" s="12" t="n">
        <v>12.99</v>
      </c>
      <c r="G5" s="12" t="n">
        <v>14.2</v>
      </c>
      <c r="H5" s="24" t="n">
        <f aca="false">IF(OR(B5="",D5="",E5=""),"",IFERROR(IF(AND(D5="Poshmark",E5&lt;Settings!$B$20),Settings!$B$21,(E5+IF(INDEX(Settings!$E$4:$E$11,MATCH($D5,Settings!$A$4:$A$11,0))="Y",N(F5),0))*(INDEX(Settings!$B$4:$B$11,MATCH($D5,Settings!$A$4:$A$11,0))+INDEX(Settings!$D$4:$D$11,MATCH($D5,Settings!$A$4:$A$11,0)))+INDEX(Settings!$C$4:$C$11,MATCH($D5,Settings!$A$4:$A$11,0))),0))</f>
        <v>7.799</v>
      </c>
      <c r="I5" s="12" t="n">
        <v>5.85</v>
      </c>
      <c r="J5" s="12" t="n">
        <v>1.5</v>
      </c>
      <c r="K5" s="24" t="n">
        <f aca="false">IF($B5="","",IFERROR(INDEX(Inventory!$J$4:$J$503,MATCH($B5,Inventory!$A$4:$A$503,0)),0))</f>
        <v>20.5</v>
      </c>
      <c r="L5" s="24" t="n">
        <f aca="false">IF(OR(B5="",E5=""),"",E5+N(F5)-N(G5)-N(H5)-N(J5)-N(K5))</f>
        <v>33.991</v>
      </c>
      <c r="M5" s="28" t="n">
        <f aca="false">IF(OR(L5="",N(K5)=0),"",L5/K5)</f>
        <v>1.65809756097561</v>
      </c>
      <c r="N5" s="25" t="n">
        <f aca="false">IF(OR(A5="",B5=""),"",IFERROR(A5-INDEX(Inventory!$B$4:$B$503,MATCH($B5,Inventory!$A$4:$A$503,0)),""))</f>
        <v>21</v>
      </c>
      <c r="O5" s="27" t="str">
        <f aca="false">IF($B5="","",IFERROR(INDEX(Inventory!$F$4:$F$503,MATCH($B5,Inventory!$A$4:$A$503,0)),""))</f>
        <v>Home</v>
      </c>
      <c r="P5" s="27" t="str">
        <f aca="false">IF($B5="","",IFERROR(INDEX(Inventory!$C$4:$C$503,MATCH($B5,Inventory!$A$4:$A$503,0)),""))</f>
        <v>Estate Sale</v>
      </c>
    </row>
    <row r="6" customFormat="false" ht="15" hidden="false" customHeight="false" outlineLevel="0" collapsed="false">
      <c r="A6" s="19" t="n">
        <v>46074</v>
      </c>
      <c r="B6" s="10" t="s">
        <v>175</v>
      </c>
      <c r="C6" s="23" t="str">
        <f aca="false">IF($B6="","",IFERROR(INDEX(Inventory!$E$4:$E$503,MATCH($B6,Inventory!$A$4:$A$503,0)),"SKU not found"))</f>
        <v>Air Max 90 Sneakers, White/Grey</v>
      </c>
      <c r="D6" s="10" t="s">
        <v>58</v>
      </c>
      <c r="E6" s="12" t="n">
        <v>68</v>
      </c>
      <c r="F6" s="12" t="n">
        <v>0</v>
      </c>
      <c r="G6" s="12" t="n">
        <v>0</v>
      </c>
      <c r="H6" s="24" t="n">
        <f aca="false">IF(OR(B6="",D6="",E6=""),"",IFERROR(IF(AND(D6="Poshmark",E6&lt;Settings!$B$20),Settings!$B$21,(E6+IF(INDEX(Settings!$E$4:$E$11,MATCH($D6,Settings!$A$4:$A$11,0))="Y",N(F6),0))*(INDEX(Settings!$B$4:$B$11,MATCH($D6,Settings!$A$4:$A$11,0))+INDEX(Settings!$D$4:$D$11,MATCH($D6,Settings!$A$4:$A$11,0)))+INDEX(Settings!$C$4:$C$11,MATCH($D6,Settings!$A$4:$A$11,0))),0))</f>
        <v>13.6</v>
      </c>
      <c r="I6" s="12" t="n">
        <v>0</v>
      </c>
      <c r="J6" s="12" t="n">
        <v>0</v>
      </c>
      <c r="K6" s="24" t="n">
        <f aca="false">IF($B6="","",IFERROR(INDEX(Inventory!$J$4:$J$503,MATCH($B6,Inventory!$A$4:$A$503,0)),0))</f>
        <v>26</v>
      </c>
      <c r="L6" s="24" t="n">
        <f aca="false">IF(OR(B6="",E6=""),"",E6+N(F6)-N(G6)-N(H6)-N(J6)-N(K6))</f>
        <v>28.4</v>
      </c>
      <c r="M6" s="28" t="n">
        <f aca="false">IF(OR(L6="",N(K6)=0),"",L6/K6)</f>
        <v>1.09230769230769</v>
      </c>
      <c r="N6" s="25" t="n">
        <f aca="false">IF(OR(A6="",B6=""),"",IFERROR(A6-INDEX(Inventory!$B$4:$B$503,MATCH($B6,Inventory!$A$4:$A$503,0)),""))</f>
        <v>18</v>
      </c>
      <c r="O6" s="27" t="str">
        <f aca="false">IF($B6="","",IFERROR(INDEX(Inventory!$F$4:$F$503,MATCH($B6,Inventory!$A$4:$A$503,0)),""))</f>
        <v>Shoes</v>
      </c>
      <c r="P6" s="27" t="str">
        <f aca="false">IF($B6="","",IFERROR(INDEX(Inventory!$C$4:$C$503,MATCH($B6,Inventory!$A$4:$A$503,0)),""))</f>
        <v>Thrift</v>
      </c>
    </row>
    <row r="7" customFormat="false" ht="15" hidden="false" customHeight="false" outlineLevel="0" collapsed="false">
      <c r="A7" s="19" t="n">
        <v>46082</v>
      </c>
      <c r="B7" s="10" t="s">
        <v>176</v>
      </c>
      <c r="C7" s="23" t="str">
        <f aca="false">IF($B7="","",IFERROR(INDEX(Inventory!$E$4:$E$503,MATCH($B7,Inventory!$A$4:$A$503,0)),"SKU not found"))</f>
        <v>Denim Trucker Jacket, Medium Wash</v>
      </c>
      <c r="D7" s="10" t="s">
        <v>58</v>
      </c>
      <c r="E7" s="12" t="n">
        <v>14</v>
      </c>
      <c r="F7" s="12" t="n">
        <v>0</v>
      </c>
      <c r="G7" s="12" t="n">
        <v>0</v>
      </c>
      <c r="H7" s="24" t="n">
        <f aca="false">IF(OR(B7="",D7="",E7=""),"",IFERROR(IF(AND(D7="Poshmark",E7&lt;Settings!$B$20),Settings!$B$21,(E7+IF(INDEX(Settings!$E$4:$E$11,MATCH($D7,Settings!$A$4:$A$11,0))="Y",N(F7),0))*(INDEX(Settings!$B$4:$B$11,MATCH($D7,Settings!$A$4:$A$11,0))+INDEX(Settings!$D$4:$D$11,MATCH($D7,Settings!$A$4:$A$11,0)))+INDEX(Settings!$C$4:$C$11,MATCH($D7,Settings!$A$4:$A$11,0))),0))</f>
        <v>2.95</v>
      </c>
      <c r="I7" s="12" t="n">
        <v>0</v>
      </c>
      <c r="J7" s="12" t="n">
        <v>0</v>
      </c>
      <c r="K7" s="24" t="n">
        <f aca="false">IF($B7="","",IFERROR(INDEX(Inventory!$J$4:$J$503,MATCH($B7,Inventory!$A$4:$A$503,0)),0))</f>
        <v>3</v>
      </c>
      <c r="L7" s="24" t="n">
        <f aca="false">IF(OR(B7="",E7=""),"",E7+N(F7)-N(G7)-N(H7)-N(J7)-N(K7))</f>
        <v>8.05</v>
      </c>
      <c r="M7" s="28" t="n">
        <f aca="false">IF(OR(L7="",N(K7)=0),"",L7/K7)</f>
        <v>2.68333333333333</v>
      </c>
      <c r="N7" s="25" t="n">
        <f aca="false">IF(OR(A7="",B7=""),"",IFERROR(A7-INDEX(Inventory!$B$4:$B$503,MATCH($B7,Inventory!$A$4:$A$503,0)),""))</f>
        <v>15</v>
      </c>
      <c r="O7" s="27" t="str">
        <f aca="false">IF($B7="","",IFERROR(INDEX(Inventory!$F$4:$F$503,MATCH($B7,Inventory!$A$4:$A$503,0)),""))</f>
        <v>Clothing</v>
      </c>
      <c r="P7" s="27" t="str">
        <f aca="false">IF($B7="","",IFERROR(INDEX(Inventory!$C$4:$C$503,MATCH($B7,Inventory!$A$4:$A$503,0)),""))</f>
        <v>Garage Sale</v>
      </c>
    </row>
    <row r="8" customFormat="false" ht="15" hidden="false" customHeight="false" outlineLevel="0" collapsed="false">
      <c r="A8" s="19" t="n">
        <v>46137</v>
      </c>
      <c r="B8" s="10" t="s">
        <v>177</v>
      </c>
      <c r="C8" s="23" t="str">
        <f aca="false">IF($B8="","",IFERROR(INDEX(Inventory!$E$4:$E$503,MATCH($B8,Inventory!$A$4:$A$503,0)),"SKU not found"))</f>
        <v>Creator Expert 10265 Ford Mustang (sealed)</v>
      </c>
      <c r="D8" s="10" t="s">
        <v>79</v>
      </c>
      <c r="E8" s="12" t="n">
        <v>95</v>
      </c>
      <c r="F8" s="12" t="n">
        <v>8</v>
      </c>
      <c r="G8" s="12" t="n">
        <v>11.4</v>
      </c>
      <c r="H8" s="24" t="n">
        <f aca="false">IF(OR(B8="",D8="",E8=""),"",IFERROR(IF(AND(D8="Poshmark",E8&lt;Settings!$B$20),Settings!$B$21,(E8+IF(INDEX(Settings!$E$4:$E$11,MATCH($D8,Settings!$A$4:$A$11,0))="Y",N(F8),0))*(INDEX(Settings!$B$4:$B$11,MATCH($D8,Settings!$A$4:$A$11,0))+INDEX(Settings!$D$4:$D$11,MATCH($D8,Settings!$A$4:$A$11,0)))+INDEX(Settings!$C$4:$C$11,MATCH($D8,Settings!$A$4:$A$11,0))),0))</f>
        <v>10.655</v>
      </c>
      <c r="I8" s="12" t="n">
        <v>7.6</v>
      </c>
      <c r="J8" s="12" t="n">
        <v>0</v>
      </c>
      <c r="K8" s="24" t="n">
        <f aca="false">IF($B8="","",IFERROR(INDEX(Inventory!$J$4:$J$503,MATCH($B8,Inventory!$A$4:$A$503,0)),0))</f>
        <v>45</v>
      </c>
      <c r="L8" s="24" t="n">
        <f aca="false">IF(OR(B8="",E8=""),"",E8+N(F8)-N(G8)-N(H8)-N(J8)-N(K8))</f>
        <v>35.945</v>
      </c>
      <c r="M8" s="28" t="n">
        <f aca="false">IF(OR(L8="",N(K8)=0),"",L8/K8)</f>
        <v>0.798777777777778</v>
      </c>
      <c r="N8" s="25" t="n">
        <f aca="false">IF(OR(A8="",B8=""),"",IFERROR(A8-INDEX(Inventory!$B$4:$B$503,MATCH($B8,Inventory!$A$4:$A$503,0)),""))</f>
        <v>54</v>
      </c>
      <c r="O8" s="27" t="str">
        <f aca="false">IF($B8="","",IFERROR(INDEX(Inventory!$F$4:$F$503,MATCH($B8,Inventory!$A$4:$A$503,0)),""))</f>
        <v>Toys</v>
      </c>
      <c r="P8" s="27" t="str">
        <f aca="false">IF($B8="","",IFERROR(INDEX(Inventory!$C$4:$C$503,MATCH($B8,Inventory!$A$4:$A$503,0)),""))</f>
        <v>Online</v>
      </c>
    </row>
    <row r="9" customFormat="false" ht="15" hidden="false" customHeight="false" outlineLevel="0" collapsed="false">
      <c r="A9" s="19"/>
      <c r="B9" s="10"/>
      <c r="C9" s="23" t="str">
        <f aca="false">IF($B9="","",IFERROR(INDEX(Inventory!$E$4:$E$503,MATCH($B9,Inventory!$A$4:$A$503,0)),"SKU not found"))</f>
        <v/>
      </c>
      <c r="D9" s="10"/>
      <c r="E9" s="12"/>
      <c r="F9" s="12"/>
      <c r="G9" s="12"/>
      <c r="H9" s="24" t="str">
        <f aca="false">IF(OR(B9="",D9="",E9=""),"",IFERROR(IF(AND(D9="Poshmark",E9&lt;Settings!$B$20),Settings!$B$21,(E9+IF(INDEX(Settings!$E$4:$E$11,MATCH($D9,Settings!$A$4:$A$11,0))="Y",N(F9),0))*(INDEX(Settings!$B$4:$B$11,MATCH($D9,Settings!$A$4:$A$11,0))+INDEX(Settings!$D$4:$D$11,MATCH($D9,Settings!$A$4:$A$11,0)))+INDEX(Settings!$C$4:$C$11,MATCH($D9,Settings!$A$4:$A$11,0))),0))</f>
        <v/>
      </c>
      <c r="I9" s="12"/>
      <c r="J9" s="12"/>
      <c r="K9" s="24" t="str">
        <f aca="false">IF($B9="","",IFERROR(INDEX(Inventory!$J$4:$J$503,MATCH($B9,Inventory!$A$4:$A$503,0)),0))</f>
        <v/>
      </c>
      <c r="L9" s="24" t="str">
        <f aca="false">IF(OR(B9="",E9=""),"",E9+N(F9)-N(G9)-N(H9)-N(J9)-N(K9))</f>
        <v/>
      </c>
      <c r="M9" s="28" t="str">
        <f aca="false">IF(OR(L9="",N(K9)=0),"",L9/K9)</f>
        <v/>
      </c>
      <c r="N9" s="25" t="str">
        <f aca="false">IF(OR(A9="",B9=""),"",IFERROR(A9-INDEX(Inventory!$B$4:$B$503,MATCH($B9,Inventory!$A$4:$A$503,0)),""))</f>
        <v/>
      </c>
      <c r="O9" s="27" t="str">
        <f aca="false">IF($B9="","",IFERROR(INDEX(Inventory!$F$4:$F$503,MATCH($B9,Inventory!$A$4:$A$503,0)),""))</f>
        <v/>
      </c>
      <c r="P9" s="27" t="str">
        <f aca="false">IF($B9="","",IFERROR(INDEX(Inventory!$C$4:$C$503,MATCH($B9,Inventory!$A$4:$A$503,0)),""))</f>
        <v/>
      </c>
    </row>
    <row r="10" customFormat="false" ht="15" hidden="false" customHeight="false" outlineLevel="0" collapsed="false">
      <c r="A10" s="19"/>
      <c r="B10" s="10"/>
      <c r="C10" s="23" t="str">
        <f aca="false">IF($B10="","",IFERROR(INDEX(Inventory!$E$4:$E$503,MATCH($B10,Inventory!$A$4:$A$503,0)),"SKU not found"))</f>
        <v/>
      </c>
      <c r="D10" s="10"/>
      <c r="E10" s="12"/>
      <c r="F10" s="12"/>
      <c r="G10" s="12"/>
      <c r="H10" s="24" t="str">
        <f aca="false">IF(OR(B10="",D10="",E10=""),"",IFERROR(IF(AND(D10="Poshmark",E10&lt;Settings!$B$20),Settings!$B$21,(E10+IF(INDEX(Settings!$E$4:$E$11,MATCH($D10,Settings!$A$4:$A$11,0))="Y",N(F10),0))*(INDEX(Settings!$B$4:$B$11,MATCH($D10,Settings!$A$4:$A$11,0))+INDEX(Settings!$D$4:$D$11,MATCH($D10,Settings!$A$4:$A$11,0)))+INDEX(Settings!$C$4:$C$11,MATCH($D10,Settings!$A$4:$A$11,0))),0))</f>
        <v/>
      </c>
      <c r="I10" s="12"/>
      <c r="J10" s="12"/>
      <c r="K10" s="24" t="str">
        <f aca="false">IF($B10="","",IFERROR(INDEX(Inventory!$J$4:$J$503,MATCH($B10,Inventory!$A$4:$A$503,0)),0))</f>
        <v/>
      </c>
      <c r="L10" s="24" t="str">
        <f aca="false">IF(OR(B10="",E10=""),"",E10+N(F10)-N(G10)-N(H10)-N(J10)-N(K10))</f>
        <v/>
      </c>
      <c r="M10" s="28" t="str">
        <f aca="false">IF(OR(L10="",N(K10)=0),"",L10/K10)</f>
        <v/>
      </c>
      <c r="N10" s="25" t="str">
        <f aca="false">IF(OR(A10="",B10=""),"",IFERROR(A10-INDEX(Inventory!$B$4:$B$503,MATCH($B10,Inventory!$A$4:$A$503,0)),""))</f>
        <v/>
      </c>
      <c r="O10" s="27" t="str">
        <f aca="false">IF($B10="","",IFERROR(INDEX(Inventory!$F$4:$F$503,MATCH($B10,Inventory!$A$4:$A$503,0)),""))</f>
        <v/>
      </c>
      <c r="P10" s="27" t="str">
        <f aca="false">IF($B10="","",IFERROR(INDEX(Inventory!$C$4:$C$503,MATCH($B10,Inventory!$A$4:$A$503,0)),""))</f>
        <v/>
      </c>
    </row>
    <row r="11" customFormat="false" ht="15" hidden="false" customHeight="false" outlineLevel="0" collapsed="false">
      <c r="A11" s="19"/>
      <c r="B11" s="10"/>
      <c r="C11" s="23" t="str">
        <f aca="false">IF($B11="","",IFERROR(INDEX(Inventory!$E$4:$E$503,MATCH($B11,Inventory!$A$4:$A$503,0)),"SKU not found"))</f>
        <v/>
      </c>
      <c r="D11" s="10"/>
      <c r="E11" s="12"/>
      <c r="F11" s="12"/>
      <c r="G11" s="12"/>
      <c r="H11" s="24" t="str">
        <f aca="false">IF(OR(B11="",D11="",E11=""),"",IFERROR(IF(AND(D11="Poshmark",E11&lt;Settings!$B$20),Settings!$B$21,(E11+IF(INDEX(Settings!$E$4:$E$11,MATCH($D11,Settings!$A$4:$A$11,0))="Y",N(F11),0))*(INDEX(Settings!$B$4:$B$11,MATCH($D11,Settings!$A$4:$A$11,0))+INDEX(Settings!$D$4:$D$11,MATCH($D11,Settings!$A$4:$A$11,0)))+INDEX(Settings!$C$4:$C$11,MATCH($D11,Settings!$A$4:$A$11,0))),0))</f>
        <v/>
      </c>
      <c r="I11" s="12"/>
      <c r="J11" s="12"/>
      <c r="K11" s="24" t="str">
        <f aca="false">IF($B11="","",IFERROR(INDEX(Inventory!$J$4:$J$503,MATCH($B11,Inventory!$A$4:$A$503,0)),0))</f>
        <v/>
      </c>
      <c r="L11" s="24" t="str">
        <f aca="false">IF(OR(B11="",E11=""),"",E11+N(F11)-N(G11)-N(H11)-N(J11)-N(K11))</f>
        <v/>
      </c>
      <c r="M11" s="28" t="str">
        <f aca="false">IF(OR(L11="",N(K11)=0),"",L11/K11)</f>
        <v/>
      </c>
      <c r="N11" s="25" t="str">
        <f aca="false">IF(OR(A11="",B11=""),"",IFERROR(A11-INDEX(Inventory!$B$4:$B$503,MATCH($B11,Inventory!$A$4:$A$503,0)),""))</f>
        <v/>
      </c>
      <c r="O11" s="27" t="str">
        <f aca="false">IF($B11="","",IFERROR(INDEX(Inventory!$F$4:$F$503,MATCH($B11,Inventory!$A$4:$A$503,0)),""))</f>
        <v/>
      </c>
      <c r="P11" s="27" t="str">
        <f aca="false">IF($B11="","",IFERROR(INDEX(Inventory!$C$4:$C$503,MATCH($B11,Inventory!$A$4:$A$503,0)),""))</f>
        <v/>
      </c>
    </row>
    <row r="12" customFormat="false" ht="15" hidden="false" customHeight="false" outlineLevel="0" collapsed="false">
      <c r="A12" s="19"/>
      <c r="B12" s="10"/>
      <c r="C12" s="23" t="str">
        <f aca="false">IF($B12="","",IFERROR(INDEX(Inventory!$E$4:$E$503,MATCH($B12,Inventory!$A$4:$A$503,0)),"SKU not found"))</f>
        <v/>
      </c>
      <c r="D12" s="10"/>
      <c r="E12" s="12"/>
      <c r="F12" s="12"/>
      <c r="G12" s="12"/>
      <c r="H12" s="24" t="str">
        <f aca="false">IF(OR(B12="",D12="",E12=""),"",IFERROR(IF(AND(D12="Poshmark",E12&lt;Settings!$B$20),Settings!$B$21,(E12+IF(INDEX(Settings!$E$4:$E$11,MATCH($D12,Settings!$A$4:$A$11,0))="Y",N(F12),0))*(INDEX(Settings!$B$4:$B$11,MATCH($D12,Settings!$A$4:$A$11,0))+INDEX(Settings!$D$4:$D$11,MATCH($D12,Settings!$A$4:$A$11,0)))+INDEX(Settings!$C$4:$C$11,MATCH($D12,Settings!$A$4:$A$11,0))),0))</f>
        <v/>
      </c>
      <c r="I12" s="12"/>
      <c r="J12" s="12"/>
      <c r="K12" s="24" t="str">
        <f aca="false">IF($B12="","",IFERROR(INDEX(Inventory!$J$4:$J$503,MATCH($B12,Inventory!$A$4:$A$503,0)),0))</f>
        <v/>
      </c>
      <c r="L12" s="24" t="str">
        <f aca="false">IF(OR(B12="",E12=""),"",E12+N(F12)-N(G12)-N(H12)-N(J12)-N(K12))</f>
        <v/>
      </c>
      <c r="M12" s="28" t="str">
        <f aca="false">IF(OR(L12="",N(K12)=0),"",L12/K12)</f>
        <v/>
      </c>
      <c r="N12" s="25" t="str">
        <f aca="false">IF(OR(A12="",B12=""),"",IFERROR(A12-INDEX(Inventory!$B$4:$B$503,MATCH($B12,Inventory!$A$4:$A$503,0)),""))</f>
        <v/>
      </c>
      <c r="O12" s="27" t="str">
        <f aca="false">IF($B12="","",IFERROR(INDEX(Inventory!$F$4:$F$503,MATCH($B12,Inventory!$A$4:$A$503,0)),""))</f>
        <v/>
      </c>
      <c r="P12" s="27" t="str">
        <f aca="false">IF($B12="","",IFERROR(INDEX(Inventory!$C$4:$C$503,MATCH($B12,Inventory!$A$4:$A$503,0)),""))</f>
        <v/>
      </c>
    </row>
    <row r="13" customFormat="false" ht="15" hidden="false" customHeight="false" outlineLevel="0" collapsed="false">
      <c r="A13" s="19"/>
      <c r="B13" s="10"/>
      <c r="C13" s="23" t="str">
        <f aca="false">IF($B13="","",IFERROR(INDEX(Inventory!$E$4:$E$503,MATCH($B13,Inventory!$A$4:$A$503,0)),"SKU not found"))</f>
        <v/>
      </c>
      <c r="D13" s="10"/>
      <c r="E13" s="12"/>
      <c r="F13" s="12"/>
      <c r="G13" s="12"/>
      <c r="H13" s="24" t="str">
        <f aca="false">IF(OR(B13="",D13="",E13=""),"",IFERROR(IF(AND(D13="Poshmark",E13&lt;Settings!$B$20),Settings!$B$21,(E13+IF(INDEX(Settings!$E$4:$E$11,MATCH($D13,Settings!$A$4:$A$11,0))="Y",N(F13),0))*(INDEX(Settings!$B$4:$B$11,MATCH($D13,Settings!$A$4:$A$11,0))+INDEX(Settings!$D$4:$D$11,MATCH($D13,Settings!$A$4:$A$11,0)))+INDEX(Settings!$C$4:$C$11,MATCH($D13,Settings!$A$4:$A$11,0))),0))</f>
        <v/>
      </c>
      <c r="I13" s="12"/>
      <c r="J13" s="12"/>
      <c r="K13" s="24" t="str">
        <f aca="false">IF($B13="","",IFERROR(INDEX(Inventory!$J$4:$J$503,MATCH($B13,Inventory!$A$4:$A$503,0)),0))</f>
        <v/>
      </c>
      <c r="L13" s="24" t="str">
        <f aca="false">IF(OR(B13="",E13=""),"",E13+N(F13)-N(G13)-N(H13)-N(J13)-N(K13))</f>
        <v/>
      </c>
      <c r="M13" s="28" t="str">
        <f aca="false">IF(OR(L13="",N(K13)=0),"",L13/K13)</f>
        <v/>
      </c>
      <c r="N13" s="25" t="str">
        <f aca="false">IF(OR(A13="",B13=""),"",IFERROR(A13-INDEX(Inventory!$B$4:$B$503,MATCH($B13,Inventory!$A$4:$A$503,0)),""))</f>
        <v/>
      </c>
      <c r="O13" s="27" t="str">
        <f aca="false">IF($B13="","",IFERROR(INDEX(Inventory!$F$4:$F$503,MATCH($B13,Inventory!$A$4:$A$503,0)),""))</f>
        <v/>
      </c>
      <c r="P13" s="27" t="str">
        <f aca="false">IF($B13="","",IFERROR(INDEX(Inventory!$C$4:$C$503,MATCH($B13,Inventory!$A$4:$A$503,0)),""))</f>
        <v/>
      </c>
    </row>
    <row r="14" customFormat="false" ht="15" hidden="false" customHeight="false" outlineLevel="0" collapsed="false">
      <c r="A14" s="19"/>
      <c r="B14" s="10"/>
      <c r="C14" s="23" t="str">
        <f aca="false">IF($B14="","",IFERROR(INDEX(Inventory!$E$4:$E$503,MATCH($B14,Inventory!$A$4:$A$503,0)),"SKU not found"))</f>
        <v/>
      </c>
      <c r="D14" s="10"/>
      <c r="E14" s="12"/>
      <c r="F14" s="12"/>
      <c r="G14" s="12"/>
      <c r="H14" s="24" t="str">
        <f aca="false">IF(OR(B14="",D14="",E14=""),"",IFERROR(IF(AND(D14="Poshmark",E14&lt;Settings!$B$20),Settings!$B$21,(E14+IF(INDEX(Settings!$E$4:$E$11,MATCH($D14,Settings!$A$4:$A$11,0))="Y",N(F14),0))*(INDEX(Settings!$B$4:$B$11,MATCH($D14,Settings!$A$4:$A$11,0))+INDEX(Settings!$D$4:$D$11,MATCH($D14,Settings!$A$4:$A$11,0)))+INDEX(Settings!$C$4:$C$11,MATCH($D14,Settings!$A$4:$A$11,0))),0))</f>
        <v/>
      </c>
      <c r="I14" s="12"/>
      <c r="J14" s="12"/>
      <c r="K14" s="24" t="str">
        <f aca="false">IF($B14="","",IFERROR(INDEX(Inventory!$J$4:$J$503,MATCH($B14,Inventory!$A$4:$A$503,0)),0))</f>
        <v/>
      </c>
      <c r="L14" s="24" t="str">
        <f aca="false">IF(OR(B14="",E14=""),"",E14+N(F14)-N(G14)-N(H14)-N(J14)-N(K14))</f>
        <v/>
      </c>
      <c r="M14" s="28" t="str">
        <f aca="false">IF(OR(L14="",N(K14)=0),"",L14/K14)</f>
        <v/>
      </c>
      <c r="N14" s="25" t="str">
        <f aca="false">IF(OR(A14="",B14=""),"",IFERROR(A14-INDEX(Inventory!$B$4:$B$503,MATCH($B14,Inventory!$A$4:$A$503,0)),""))</f>
        <v/>
      </c>
      <c r="O14" s="27" t="str">
        <f aca="false">IF($B14="","",IFERROR(INDEX(Inventory!$F$4:$F$503,MATCH($B14,Inventory!$A$4:$A$503,0)),""))</f>
        <v/>
      </c>
      <c r="P14" s="27" t="str">
        <f aca="false">IF($B14="","",IFERROR(INDEX(Inventory!$C$4:$C$503,MATCH($B14,Inventory!$A$4:$A$503,0)),""))</f>
        <v/>
      </c>
    </row>
    <row r="15" customFormat="false" ht="15" hidden="false" customHeight="false" outlineLevel="0" collapsed="false">
      <c r="A15" s="19"/>
      <c r="B15" s="10"/>
      <c r="C15" s="23" t="str">
        <f aca="false">IF($B15="","",IFERROR(INDEX(Inventory!$E$4:$E$503,MATCH($B15,Inventory!$A$4:$A$503,0)),"SKU not found"))</f>
        <v/>
      </c>
      <c r="D15" s="10"/>
      <c r="E15" s="12"/>
      <c r="F15" s="12"/>
      <c r="G15" s="12"/>
      <c r="H15" s="24" t="str">
        <f aca="false">IF(OR(B15="",D15="",E15=""),"",IFERROR(IF(AND(D15="Poshmark",E15&lt;Settings!$B$20),Settings!$B$21,(E15+IF(INDEX(Settings!$E$4:$E$11,MATCH($D15,Settings!$A$4:$A$11,0))="Y",N(F15),0))*(INDEX(Settings!$B$4:$B$11,MATCH($D15,Settings!$A$4:$A$11,0))+INDEX(Settings!$D$4:$D$11,MATCH($D15,Settings!$A$4:$A$11,0)))+INDEX(Settings!$C$4:$C$11,MATCH($D15,Settings!$A$4:$A$11,0))),0))</f>
        <v/>
      </c>
      <c r="I15" s="12"/>
      <c r="J15" s="12"/>
      <c r="K15" s="24" t="str">
        <f aca="false">IF($B15="","",IFERROR(INDEX(Inventory!$J$4:$J$503,MATCH($B15,Inventory!$A$4:$A$503,0)),0))</f>
        <v/>
      </c>
      <c r="L15" s="24" t="str">
        <f aca="false">IF(OR(B15="",E15=""),"",E15+N(F15)-N(G15)-N(H15)-N(J15)-N(K15))</f>
        <v/>
      </c>
      <c r="M15" s="28" t="str">
        <f aca="false">IF(OR(L15="",N(K15)=0),"",L15/K15)</f>
        <v/>
      </c>
      <c r="N15" s="25" t="str">
        <f aca="false">IF(OR(A15="",B15=""),"",IFERROR(A15-INDEX(Inventory!$B$4:$B$503,MATCH($B15,Inventory!$A$4:$A$503,0)),""))</f>
        <v/>
      </c>
      <c r="O15" s="27" t="str">
        <f aca="false">IF($B15="","",IFERROR(INDEX(Inventory!$F$4:$F$503,MATCH($B15,Inventory!$A$4:$A$503,0)),""))</f>
        <v/>
      </c>
      <c r="P15" s="27" t="str">
        <f aca="false">IF($B15="","",IFERROR(INDEX(Inventory!$C$4:$C$503,MATCH($B15,Inventory!$A$4:$A$503,0)),""))</f>
        <v/>
      </c>
    </row>
    <row r="16" customFormat="false" ht="15" hidden="false" customHeight="false" outlineLevel="0" collapsed="false">
      <c r="A16" s="19"/>
      <c r="B16" s="10"/>
      <c r="C16" s="23" t="str">
        <f aca="false">IF($B16="","",IFERROR(INDEX(Inventory!$E$4:$E$503,MATCH($B16,Inventory!$A$4:$A$503,0)),"SKU not found"))</f>
        <v/>
      </c>
      <c r="D16" s="10"/>
      <c r="E16" s="12"/>
      <c r="F16" s="12"/>
      <c r="G16" s="12"/>
      <c r="H16" s="24" t="str">
        <f aca="false">IF(OR(B16="",D16="",E16=""),"",IFERROR(IF(AND(D16="Poshmark",E16&lt;Settings!$B$20),Settings!$B$21,(E16+IF(INDEX(Settings!$E$4:$E$11,MATCH($D16,Settings!$A$4:$A$11,0))="Y",N(F16),0))*(INDEX(Settings!$B$4:$B$11,MATCH($D16,Settings!$A$4:$A$11,0))+INDEX(Settings!$D$4:$D$11,MATCH($D16,Settings!$A$4:$A$11,0)))+INDEX(Settings!$C$4:$C$11,MATCH($D16,Settings!$A$4:$A$11,0))),0))</f>
        <v/>
      </c>
      <c r="I16" s="12"/>
      <c r="J16" s="12"/>
      <c r="K16" s="24" t="str">
        <f aca="false">IF($B16="","",IFERROR(INDEX(Inventory!$J$4:$J$503,MATCH($B16,Inventory!$A$4:$A$503,0)),0))</f>
        <v/>
      </c>
      <c r="L16" s="24" t="str">
        <f aca="false">IF(OR(B16="",E16=""),"",E16+N(F16)-N(G16)-N(H16)-N(J16)-N(K16))</f>
        <v/>
      </c>
      <c r="M16" s="28" t="str">
        <f aca="false">IF(OR(L16="",N(K16)=0),"",L16/K16)</f>
        <v/>
      </c>
      <c r="N16" s="25" t="str">
        <f aca="false">IF(OR(A16="",B16=""),"",IFERROR(A16-INDEX(Inventory!$B$4:$B$503,MATCH($B16,Inventory!$A$4:$A$503,0)),""))</f>
        <v/>
      </c>
      <c r="O16" s="27" t="str">
        <f aca="false">IF($B16="","",IFERROR(INDEX(Inventory!$F$4:$F$503,MATCH($B16,Inventory!$A$4:$A$503,0)),""))</f>
        <v/>
      </c>
      <c r="P16" s="27" t="str">
        <f aca="false">IF($B16="","",IFERROR(INDEX(Inventory!$C$4:$C$503,MATCH($B16,Inventory!$A$4:$A$503,0)),""))</f>
        <v/>
      </c>
    </row>
    <row r="17" customFormat="false" ht="15" hidden="false" customHeight="false" outlineLevel="0" collapsed="false">
      <c r="A17" s="19"/>
      <c r="B17" s="10"/>
      <c r="C17" s="23" t="str">
        <f aca="false">IF($B17="","",IFERROR(INDEX(Inventory!$E$4:$E$503,MATCH($B17,Inventory!$A$4:$A$503,0)),"SKU not found"))</f>
        <v/>
      </c>
      <c r="D17" s="10"/>
      <c r="E17" s="12"/>
      <c r="F17" s="12"/>
      <c r="G17" s="12"/>
      <c r="H17" s="24" t="str">
        <f aca="false">IF(OR(B17="",D17="",E17=""),"",IFERROR(IF(AND(D17="Poshmark",E17&lt;Settings!$B$20),Settings!$B$21,(E17+IF(INDEX(Settings!$E$4:$E$11,MATCH($D17,Settings!$A$4:$A$11,0))="Y",N(F17),0))*(INDEX(Settings!$B$4:$B$11,MATCH($D17,Settings!$A$4:$A$11,0))+INDEX(Settings!$D$4:$D$11,MATCH($D17,Settings!$A$4:$A$11,0)))+INDEX(Settings!$C$4:$C$11,MATCH($D17,Settings!$A$4:$A$11,0))),0))</f>
        <v/>
      </c>
      <c r="I17" s="12"/>
      <c r="J17" s="12"/>
      <c r="K17" s="24" t="str">
        <f aca="false">IF($B17="","",IFERROR(INDEX(Inventory!$J$4:$J$503,MATCH($B17,Inventory!$A$4:$A$503,0)),0))</f>
        <v/>
      </c>
      <c r="L17" s="24" t="str">
        <f aca="false">IF(OR(B17="",E17=""),"",E17+N(F17)-N(G17)-N(H17)-N(J17)-N(K17))</f>
        <v/>
      </c>
      <c r="M17" s="28" t="str">
        <f aca="false">IF(OR(L17="",N(K17)=0),"",L17/K17)</f>
        <v/>
      </c>
      <c r="N17" s="25" t="str">
        <f aca="false">IF(OR(A17="",B17=""),"",IFERROR(A17-INDEX(Inventory!$B$4:$B$503,MATCH($B17,Inventory!$A$4:$A$503,0)),""))</f>
        <v/>
      </c>
      <c r="O17" s="27" t="str">
        <f aca="false">IF($B17="","",IFERROR(INDEX(Inventory!$F$4:$F$503,MATCH($B17,Inventory!$A$4:$A$503,0)),""))</f>
        <v/>
      </c>
      <c r="P17" s="27" t="str">
        <f aca="false">IF($B17="","",IFERROR(INDEX(Inventory!$C$4:$C$503,MATCH($B17,Inventory!$A$4:$A$503,0)),""))</f>
        <v/>
      </c>
    </row>
    <row r="18" customFormat="false" ht="15" hidden="false" customHeight="false" outlineLevel="0" collapsed="false">
      <c r="A18" s="19"/>
      <c r="B18" s="10"/>
      <c r="C18" s="23" t="str">
        <f aca="false">IF($B18="","",IFERROR(INDEX(Inventory!$E$4:$E$503,MATCH($B18,Inventory!$A$4:$A$503,0)),"SKU not found"))</f>
        <v/>
      </c>
      <c r="D18" s="10"/>
      <c r="E18" s="12"/>
      <c r="F18" s="12"/>
      <c r="G18" s="12"/>
      <c r="H18" s="24" t="str">
        <f aca="false">IF(OR(B18="",D18="",E18=""),"",IFERROR(IF(AND(D18="Poshmark",E18&lt;Settings!$B$20),Settings!$B$21,(E18+IF(INDEX(Settings!$E$4:$E$11,MATCH($D18,Settings!$A$4:$A$11,0))="Y",N(F18),0))*(INDEX(Settings!$B$4:$B$11,MATCH($D18,Settings!$A$4:$A$11,0))+INDEX(Settings!$D$4:$D$11,MATCH($D18,Settings!$A$4:$A$11,0)))+INDEX(Settings!$C$4:$C$11,MATCH($D18,Settings!$A$4:$A$11,0))),0))</f>
        <v/>
      </c>
      <c r="I18" s="12"/>
      <c r="J18" s="12"/>
      <c r="K18" s="24" t="str">
        <f aca="false">IF($B18="","",IFERROR(INDEX(Inventory!$J$4:$J$503,MATCH($B18,Inventory!$A$4:$A$503,0)),0))</f>
        <v/>
      </c>
      <c r="L18" s="24" t="str">
        <f aca="false">IF(OR(B18="",E18=""),"",E18+N(F18)-N(G18)-N(H18)-N(J18)-N(K18))</f>
        <v/>
      </c>
      <c r="M18" s="28" t="str">
        <f aca="false">IF(OR(L18="",N(K18)=0),"",L18/K18)</f>
        <v/>
      </c>
      <c r="N18" s="25" t="str">
        <f aca="false">IF(OR(A18="",B18=""),"",IFERROR(A18-INDEX(Inventory!$B$4:$B$503,MATCH($B18,Inventory!$A$4:$A$503,0)),""))</f>
        <v/>
      </c>
      <c r="O18" s="27" t="str">
        <f aca="false">IF($B18="","",IFERROR(INDEX(Inventory!$F$4:$F$503,MATCH($B18,Inventory!$A$4:$A$503,0)),""))</f>
        <v/>
      </c>
      <c r="P18" s="27" t="str">
        <f aca="false">IF($B18="","",IFERROR(INDEX(Inventory!$C$4:$C$503,MATCH($B18,Inventory!$A$4:$A$503,0)),""))</f>
        <v/>
      </c>
    </row>
    <row r="19" customFormat="false" ht="15" hidden="false" customHeight="false" outlineLevel="0" collapsed="false">
      <c r="A19" s="19"/>
      <c r="B19" s="10"/>
      <c r="C19" s="23" t="str">
        <f aca="false">IF($B19="","",IFERROR(INDEX(Inventory!$E$4:$E$503,MATCH($B19,Inventory!$A$4:$A$503,0)),"SKU not found"))</f>
        <v/>
      </c>
      <c r="D19" s="10"/>
      <c r="E19" s="12"/>
      <c r="F19" s="12"/>
      <c r="G19" s="12"/>
      <c r="H19" s="24" t="str">
        <f aca="false">IF(OR(B19="",D19="",E19=""),"",IFERROR(IF(AND(D19="Poshmark",E19&lt;Settings!$B$20),Settings!$B$21,(E19+IF(INDEX(Settings!$E$4:$E$11,MATCH($D19,Settings!$A$4:$A$11,0))="Y",N(F19),0))*(INDEX(Settings!$B$4:$B$11,MATCH($D19,Settings!$A$4:$A$11,0))+INDEX(Settings!$D$4:$D$11,MATCH($D19,Settings!$A$4:$A$11,0)))+INDEX(Settings!$C$4:$C$11,MATCH($D19,Settings!$A$4:$A$11,0))),0))</f>
        <v/>
      </c>
      <c r="I19" s="12"/>
      <c r="J19" s="12"/>
      <c r="K19" s="24" t="str">
        <f aca="false">IF($B19="","",IFERROR(INDEX(Inventory!$J$4:$J$503,MATCH($B19,Inventory!$A$4:$A$503,0)),0))</f>
        <v/>
      </c>
      <c r="L19" s="24" t="str">
        <f aca="false">IF(OR(B19="",E19=""),"",E19+N(F19)-N(G19)-N(H19)-N(J19)-N(K19))</f>
        <v/>
      </c>
      <c r="M19" s="28" t="str">
        <f aca="false">IF(OR(L19="",N(K19)=0),"",L19/K19)</f>
        <v/>
      </c>
      <c r="N19" s="25" t="str">
        <f aca="false">IF(OR(A19="",B19=""),"",IFERROR(A19-INDEX(Inventory!$B$4:$B$503,MATCH($B19,Inventory!$A$4:$A$503,0)),""))</f>
        <v/>
      </c>
      <c r="O19" s="27" t="str">
        <f aca="false">IF($B19="","",IFERROR(INDEX(Inventory!$F$4:$F$503,MATCH($B19,Inventory!$A$4:$A$503,0)),""))</f>
        <v/>
      </c>
      <c r="P19" s="27" t="str">
        <f aca="false">IF($B19="","",IFERROR(INDEX(Inventory!$C$4:$C$503,MATCH($B19,Inventory!$A$4:$A$503,0)),""))</f>
        <v/>
      </c>
    </row>
    <row r="20" customFormat="false" ht="15" hidden="false" customHeight="false" outlineLevel="0" collapsed="false">
      <c r="A20" s="19"/>
      <c r="B20" s="10"/>
      <c r="C20" s="23" t="str">
        <f aca="false">IF($B20="","",IFERROR(INDEX(Inventory!$E$4:$E$503,MATCH($B20,Inventory!$A$4:$A$503,0)),"SKU not found"))</f>
        <v/>
      </c>
      <c r="D20" s="10"/>
      <c r="E20" s="12"/>
      <c r="F20" s="12"/>
      <c r="G20" s="12"/>
      <c r="H20" s="24" t="str">
        <f aca="false">IF(OR(B20="",D20="",E20=""),"",IFERROR(IF(AND(D20="Poshmark",E20&lt;Settings!$B$20),Settings!$B$21,(E20+IF(INDEX(Settings!$E$4:$E$11,MATCH($D20,Settings!$A$4:$A$11,0))="Y",N(F20),0))*(INDEX(Settings!$B$4:$B$11,MATCH($D20,Settings!$A$4:$A$11,0))+INDEX(Settings!$D$4:$D$11,MATCH($D20,Settings!$A$4:$A$11,0)))+INDEX(Settings!$C$4:$C$11,MATCH($D20,Settings!$A$4:$A$11,0))),0))</f>
        <v/>
      </c>
      <c r="I20" s="12"/>
      <c r="J20" s="12"/>
      <c r="K20" s="24" t="str">
        <f aca="false">IF($B20="","",IFERROR(INDEX(Inventory!$J$4:$J$503,MATCH($B20,Inventory!$A$4:$A$503,0)),0))</f>
        <v/>
      </c>
      <c r="L20" s="24" t="str">
        <f aca="false">IF(OR(B20="",E20=""),"",E20+N(F20)-N(G20)-N(H20)-N(J20)-N(K20))</f>
        <v/>
      </c>
      <c r="M20" s="28" t="str">
        <f aca="false">IF(OR(L20="",N(K20)=0),"",L20/K20)</f>
        <v/>
      </c>
      <c r="N20" s="25" t="str">
        <f aca="false">IF(OR(A20="",B20=""),"",IFERROR(A20-INDEX(Inventory!$B$4:$B$503,MATCH($B20,Inventory!$A$4:$A$503,0)),""))</f>
        <v/>
      </c>
      <c r="O20" s="27" t="str">
        <f aca="false">IF($B20="","",IFERROR(INDEX(Inventory!$F$4:$F$503,MATCH($B20,Inventory!$A$4:$A$503,0)),""))</f>
        <v/>
      </c>
      <c r="P20" s="27" t="str">
        <f aca="false">IF($B20="","",IFERROR(INDEX(Inventory!$C$4:$C$503,MATCH($B20,Inventory!$A$4:$A$503,0)),""))</f>
        <v/>
      </c>
    </row>
    <row r="21" customFormat="false" ht="15" hidden="false" customHeight="false" outlineLevel="0" collapsed="false">
      <c r="A21" s="19"/>
      <c r="B21" s="10"/>
      <c r="C21" s="23" t="str">
        <f aca="false">IF($B21="","",IFERROR(INDEX(Inventory!$E$4:$E$503,MATCH($B21,Inventory!$A$4:$A$503,0)),"SKU not found"))</f>
        <v/>
      </c>
      <c r="D21" s="10"/>
      <c r="E21" s="12"/>
      <c r="F21" s="12"/>
      <c r="G21" s="12"/>
      <c r="H21" s="24" t="str">
        <f aca="false">IF(OR(B21="",D21="",E21=""),"",IFERROR(IF(AND(D21="Poshmark",E21&lt;Settings!$B$20),Settings!$B$21,(E21+IF(INDEX(Settings!$E$4:$E$11,MATCH($D21,Settings!$A$4:$A$11,0))="Y",N(F21),0))*(INDEX(Settings!$B$4:$B$11,MATCH($D21,Settings!$A$4:$A$11,0))+INDEX(Settings!$D$4:$D$11,MATCH($D21,Settings!$A$4:$A$11,0)))+INDEX(Settings!$C$4:$C$11,MATCH($D21,Settings!$A$4:$A$11,0))),0))</f>
        <v/>
      </c>
      <c r="I21" s="12"/>
      <c r="J21" s="12"/>
      <c r="K21" s="24" t="str">
        <f aca="false">IF($B21="","",IFERROR(INDEX(Inventory!$J$4:$J$503,MATCH($B21,Inventory!$A$4:$A$503,0)),0))</f>
        <v/>
      </c>
      <c r="L21" s="24" t="str">
        <f aca="false">IF(OR(B21="",E21=""),"",E21+N(F21)-N(G21)-N(H21)-N(J21)-N(K21))</f>
        <v/>
      </c>
      <c r="M21" s="28" t="str">
        <f aca="false">IF(OR(L21="",N(K21)=0),"",L21/K21)</f>
        <v/>
      </c>
      <c r="N21" s="25" t="str">
        <f aca="false">IF(OR(A21="",B21=""),"",IFERROR(A21-INDEX(Inventory!$B$4:$B$503,MATCH($B21,Inventory!$A$4:$A$503,0)),""))</f>
        <v/>
      </c>
      <c r="O21" s="27" t="str">
        <f aca="false">IF($B21="","",IFERROR(INDEX(Inventory!$F$4:$F$503,MATCH($B21,Inventory!$A$4:$A$503,0)),""))</f>
        <v/>
      </c>
      <c r="P21" s="27" t="str">
        <f aca="false">IF($B21="","",IFERROR(INDEX(Inventory!$C$4:$C$503,MATCH($B21,Inventory!$A$4:$A$503,0)),""))</f>
        <v/>
      </c>
    </row>
    <row r="22" customFormat="false" ht="15" hidden="false" customHeight="false" outlineLevel="0" collapsed="false">
      <c r="A22" s="19"/>
      <c r="B22" s="10"/>
      <c r="C22" s="23" t="str">
        <f aca="false">IF($B22="","",IFERROR(INDEX(Inventory!$E$4:$E$503,MATCH($B22,Inventory!$A$4:$A$503,0)),"SKU not found"))</f>
        <v/>
      </c>
      <c r="D22" s="10"/>
      <c r="E22" s="12"/>
      <c r="F22" s="12"/>
      <c r="G22" s="12"/>
      <c r="H22" s="24" t="str">
        <f aca="false">IF(OR(B22="",D22="",E22=""),"",IFERROR(IF(AND(D22="Poshmark",E22&lt;Settings!$B$20),Settings!$B$21,(E22+IF(INDEX(Settings!$E$4:$E$11,MATCH($D22,Settings!$A$4:$A$11,0))="Y",N(F22),0))*(INDEX(Settings!$B$4:$B$11,MATCH($D22,Settings!$A$4:$A$11,0))+INDEX(Settings!$D$4:$D$11,MATCH($D22,Settings!$A$4:$A$11,0)))+INDEX(Settings!$C$4:$C$11,MATCH($D22,Settings!$A$4:$A$11,0))),0))</f>
        <v/>
      </c>
      <c r="I22" s="12"/>
      <c r="J22" s="12"/>
      <c r="K22" s="24" t="str">
        <f aca="false">IF($B22="","",IFERROR(INDEX(Inventory!$J$4:$J$503,MATCH($B22,Inventory!$A$4:$A$503,0)),0))</f>
        <v/>
      </c>
      <c r="L22" s="24" t="str">
        <f aca="false">IF(OR(B22="",E22=""),"",E22+N(F22)-N(G22)-N(H22)-N(J22)-N(K22))</f>
        <v/>
      </c>
      <c r="M22" s="28" t="str">
        <f aca="false">IF(OR(L22="",N(K22)=0),"",L22/K22)</f>
        <v/>
      </c>
      <c r="N22" s="25" t="str">
        <f aca="false">IF(OR(A22="",B22=""),"",IFERROR(A22-INDEX(Inventory!$B$4:$B$503,MATCH($B22,Inventory!$A$4:$A$503,0)),""))</f>
        <v/>
      </c>
      <c r="O22" s="27" t="str">
        <f aca="false">IF($B22="","",IFERROR(INDEX(Inventory!$F$4:$F$503,MATCH($B22,Inventory!$A$4:$A$503,0)),""))</f>
        <v/>
      </c>
      <c r="P22" s="27" t="str">
        <f aca="false">IF($B22="","",IFERROR(INDEX(Inventory!$C$4:$C$503,MATCH($B22,Inventory!$A$4:$A$503,0)),""))</f>
        <v/>
      </c>
    </row>
    <row r="23" customFormat="false" ht="15" hidden="false" customHeight="false" outlineLevel="0" collapsed="false">
      <c r="A23" s="19"/>
      <c r="B23" s="10"/>
      <c r="C23" s="23" t="str">
        <f aca="false">IF($B23="","",IFERROR(INDEX(Inventory!$E$4:$E$503,MATCH($B23,Inventory!$A$4:$A$503,0)),"SKU not found"))</f>
        <v/>
      </c>
      <c r="D23" s="10"/>
      <c r="E23" s="12"/>
      <c r="F23" s="12"/>
      <c r="G23" s="12"/>
      <c r="H23" s="24" t="str">
        <f aca="false">IF(OR(B23="",D23="",E23=""),"",IFERROR(IF(AND(D23="Poshmark",E23&lt;Settings!$B$20),Settings!$B$21,(E23+IF(INDEX(Settings!$E$4:$E$11,MATCH($D23,Settings!$A$4:$A$11,0))="Y",N(F23),0))*(INDEX(Settings!$B$4:$B$11,MATCH($D23,Settings!$A$4:$A$11,0))+INDEX(Settings!$D$4:$D$11,MATCH($D23,Settings!$A$4:$A$11,0)))+INDEX(Settings!$C$4:$C$11,MATCH($D23,Settings!$A$4:$A$11,0))),0))</f>
        <v/>
      </c>
      <c r="I23" s="12"/>
      <c r="J23" s="12"/>
      <c r="K23" s="24" t="str">
        <f aca="false">IF($B23="","",IFERROR(INDEX(Inventory!$J$4:$J$503,MATCH($B23,Inventory!$A$4:$A$503,0)),0))</f>
        <v/>
      </c>
      <c r="L23" s="24" t="str">
        <f aca="false">IF(OR(B23="",E23=""),"",E23+N(F23)-N(G23)-N(H23)-N(J23)-N(K23))</f>
        <v/>
      </c>
      <c r="M23" s="28" t="str">
        <f aca="false">IF(OR(L23="",N(K23)=0),"",L23/K23)</f>
        <v/>
      </c>
      <c r="N23" s="25" t="str">
        <f aca="false">IF(OR(A23="",B23=""),"",IFERROR(A23-INDEX(Inventory!$B$4:$B$503,MATCH($B23,Inventory!$A$4:$A$503,0)),""))</f>
        <v/>
      </c>
      <c r="O23" s="27" t="str">
        <f aca="false">IF($B23="","",IFERROR(INDEX(Inventory!$F$4:$F$503,MATCH($B23,Inventory!$A$4:$A$503,0)),""))</f>
        <v/>
      </c>
      <c r="P23" s="27" t="str">
        <f aca="false">IF($B23="","",IFERROR(INDEX(Inventory!$C$4:$C$503,MATCH($B23,Inventory!$A$4:$A$503,0)),""))</f>
        <v/>
      </c>
    </row>
    <row r="24" customFormat="false" ht="15" hidden="false" customHeight="false" outlineLevel="0" collapsed="false">
      <c r="A24" s="19"/>
      <c r="B24" s="10"/>
      <c r="C24" s="23" t="str">
        <f aca="false">IF($B24="","",IFERROR(INDEX(Inventory!$E$4:$E$503,MATCH($B24,Inventory!$A$4:$A$503,0)),"SKU not found"))</f>
        <v/>
      </c>
      <c r="D24" s="10"/>
      <c r="E24" s="12"/>
      <c r="F24" s="12"/>
      <c r="G24" s="12"/>
      <c r="H24" s="24" t="str">
        <f aca="false">IF(OR(B24="",D24="",E24=""),"",IFERROR(IF(AND(D24="Poshmark",E24&lt;Settings!$B$20),Settings!$B$21,(E24+IF(INDEX(Settings!$E$4:$E$11,MATCH($D24,Settings!$A$4:$A$11,0))="Y",N(F24),0))*(INDEX(Settings!$B$4:$B$11,MATCH($D24,Settings!$A$4:$A$11,0))+INDEX(Settings!$D$4:$D$11,MATCH($D24,Settings!$A$4:$A$11,0)))+INDEX(Settings!$C$4:$C$11,MATCH($D24,Settings!$A$4:$A$11,0))),0))</f>
        <v/>
      </c>
      <c r="I24" s="12"/>
      <c r="J24" s="12"/>
      <c r="K24" s="24" t="str">
        <f aca="false">IF($B24="","",IFERROR(INDEX(Inventory!$J$4:$J$503,MATCH($B24,Inventory!$A$4:$A$503,0)),0))</f>
        <v/>
      </c>
      <c r="L24" s="24" t="str">
        <f aca="false">IF(OR(B24="",E24=""),"",E24+N(F24)-N(G24)-N(H24)-N(J24)-N(K24))</f>
        <v/>
      </c>
      <c r="M24" s="28" t="str">
        <f aca="false">IF(OR(L24="",N(K24)=0),"",L24/K24)</f>
        <v/>
      </c>
      <c r="N24" s="25" t="str">
        <f aca="false">IF(OR(A24="",B24=""),"",IFERROR(A24-INDEX(Inventory!$B$4:$B$503,MATCH($B24,Inventory!$A$4:$A$503,0)),""))</f>
        <v/>
      </c>
      <c r="O24" s="27" t="str">
        <f aca="false">IF($B24="","",IFERROR(INDEX(Inventory!$F$4:$F$503,MATCH($B24,Inventory!$A$4:$A$503,0)),""))</f>
        <v/>
      </c>
      <c r="P24" s="27" t="str">
        <f aca="false">IF($B24="","",IFERROR(INDEX(Inventory!$C$4:$C$503,MATCH($B24,Inventory!$A$4:$A$503,0)),""))</f>
        <v/>
      </c>
    </row>
    <row r="25" customFormat="false" ht="15" hidden="false" customHeight="false" outlineLevel="0" collapsed="false">
      <c r="A25" s="19"/>
      <c r="B25" s="10"/>
      <c r="C25" s="23" t="str">
        <f aca="false">IF($B25="","",IFERROR(INDEX(Inventory!$E$4:$E$503,MATCH($B25,Inventory!$A$4:$A$503,0)),"SKU not found"))</f>
        <v/>
      </c>
      <c r="D25" s="10"/>
      <c r="E25" s="12"/>
      <c r="F25" s="12"/>
      <c r="G25" s="12"/>
      <c r="H25" s="24" t="str">
        <f aca="false">IF(OR(B25="",D25="",E25=""),"",IFERROR(IF(AND(D25="Poshmark",E25&lt;Settings!$B$20),Settings!$B$21,(E25+IF(INDEX(Settings!$E$4:$E$11,MATCH($D25,Settings!$A$4:$A$11,0))="Y",N(F25),0))*(INDEX(Settings!$B$4:$B$11,MATCH($D25,Settings!$A$4:$A$11,0))+INDEX(Settings!$D$4:$D$11,MATCH($D25,Settings!$A$4:$A$11,0)))+INDEX(Settings!$C$4:$C$11,MATCH($D25,Settings!$A$4:$A$11,0))),0))</f>
        <v/>
      </c>
      <c r="I25" s="12"/>
      <c r="J25" s="12"/>
      <c r="K25" s="24" t="str">
        <f aca="false">IF($B25="","",IFERROR(INDEX(Inventory!$J$4:$J$503,MATCH($B25,Inventory!$A$4:$A$503,0)),0))</f>
        <v/>
      </c>
      <c r="L25" s="24" t="str">
        <f aca="false">IF(OR(B25="",E25=""),"",E25+N(F25)-N(G25)-N(H25)-N(J25)-N(K25))</f>
        <v/>
      </c>
      <c r="M25" s="28" t="str">
        <f aca="false">IF(OR(L25="",N(K25)=0),"",L25/K25)</f>
        <v/>
      </c>
      <c r="N25" s="25" t="str">
        <f aca="false">IF(OR(A25="",B25=""),"",IFERROR(A25-INDEX(Inventory!$B$4:$B$503,MATCH($B25,Inventory!$A$4:$A$503,0)),""))</f>
        <v/>
      </c>
      <c r="O25" s="27" t="str">
        <f aca="false">IF($B25="","",IFERROR(INDEX(Inventory!$F$4:$F$503,MATCH($B25,Inventory!$A$4:$A$503,0)),""))</f>
        <v/>
      </c>
      <c r="P25" s="27" t="str">
        <f aca="false">IF($B25="","",IFERROR(INDEX(Inventory!$C$4:$C$503,MATCH($B25,Inventory!$A$4:$A$503,0)),""))</f>
        <v/>
      </c>
    </row>
    <row r="26" customFormat="false" ht="15" hidden="false" customHeight="false" outlineLevel="0" collapsed="false">
      <c r="A26" s="19"/>
      <c r="B26" s="10"/>
      <c r="C26" s="23" t="str">
        <f aca="false">IF($B26="","",IFERROR(INDEX(Inventory!$E$4:$E$503,MATCH($B26,Inventory!$A$4:$A$503,0)),"SKU not found"))</f>
        <v/>
      </c>
      <c r="D26" s="10"/>
      <c r="E26" s="12"/>
      <c r="F26" s="12"/>
      <c r="G26" s="12"/>
      <c r="H26" s="24" t="str">
        <f aca="false">IF(OR(B26="",D26="",E26=""),"",IFERROR(IF(AND(D26="Poshmark",E26&lt;Settings!$B$20),Settings!$B$21,(E26+IF(INDEX(Settings!$E$4:$E$11,MATCH($D26,Settings!$A$4:$A$11,0))="Y",N(F26),0))*(INDEX(Settings!$B$4:$B$11,MATCH($D26,Settings!$A$4:$A$11,0))+INDEX(Settings!$D$4:$D$11,MATCH($D26,Settings!$A$4:$A$11,0)))+INDEX(Settings!$C$4:$C$11,MATCH($D26,Settings!$A$4:$A$11,0))),0))</f>
        <v/>
      </c>
      <c r="I26" s="12"/>
      <c r="J26" s="12"/>
      <c r="K26" s="24" t="str">
        <f aca="false">IF($B26="","",IFERROR(INDEX(Inventory!$J$4:$J$503,MATCH($B26,Inventory!$A$4:$A$503,0)),0))</f>
        <v/>
      </c>
      <c r="L26" s="24" t="str">
        <f aca="false">IF(OR(B26="",E26=""),"",E26+N(F26)-N(G26)-N(H26)-N(J26)-N(K26))</f>
        <v/>
      </c>
      <c r="M26" s="28" t="str">
        <f aca="false">IF(OR(L26="",N(K26)=0),"",L26/K26)</f>
        <v/>
      </c>
      <c r="N26" s="25" t="str">
        <f aca="false">IF(OR(A26="",B26=""),"",IFERROR(A26-INDEX(Inventory!$B$4:$B$503,MATCH($B26,Inventory!$A$4:$A$503,0)),""))</f>
        <v/>
      </c>
      <c r="O26" s="27" t="str">
        <f aca="false">IF($B26="","",IFERROR(INDEX(Inventory!$F$4:$F$503,MATCH($B26,Inventory!$A$4:$A$503,0)),""))</f>
        <v/>
      </c>
      <c r="P26" s="27" t="str">
        <f aca="false">IF($B26="","",IFERROR(INDEX(Inventory!$C$4:$C$503,MATCH($B26,Inventory!$A$4:$A$503,0)),""))</f>
        <v/>
      </c>
    </row>
    <row r="27" customFormat="false" ht="15" hidden="false" customHeight="false" outlineLevel="0" collapsed="false">
      <c r="A27" s="19"/>
      <c r="B27" s="10"/>
      <c r="C27" s="23" t="str">
        <f aca="false">IF($B27="","",IFERROR(INDEX(Inventory!$E$4:$E$503,MATCH($B27,Inventory!$A$4:$A$503,0)),"SKU not found"))</f>
        <v/>
      </c>
      <c r="D27" s="10"/>
      <c r="E27" s="12"/>
      <c r="F27" s="12"/>
      <c r="G27" s="12"/>
      <c r="H27" s="24" t="str">
        <f aca="false">IF(OR(B27="",D27="",E27=""),"",IFERROR(IF(AND(D27="Poshmark",E27&lt;Settings!$B$20),Settings!$B$21,(E27+IF(INDEX(Settings!$E$4:$E$11,MATCH($D27,Settings!$A$4:$A$11,0))="Y",N(F27),0))*(INDEX(Settings!$B$4:$B$11,MATCH($D27,Settings!$A$4:$A$11,0))+INDEX(Settings!$D$4:$D$11,MATCH($D27,Settings!$A$4:$A$11,0)))+INDEX(Settings!$C$4:$C$11,MATCH($D27,Settings!$A$4:$A$11,0))),0))</f>
        <v/>
      </c>
      <c r="I27" s="12"/>
      <c r="J27" s="12"/>
      <c r="K27" s="24" t="str">
        <f aca="false">IF($B27="","",IFERROR(INDEX(Inventory!$J$4:$J$503,MATCH($B27,Inventory!$A$4:$A$503,0)),0))</f>
        <v/>
      </c>
      <c r="L27" s="24" t="str">
        <f aca="false">IF(OR(B27="",E27=""),"",E27+N(F27)-N(G27)-N(H27)-N(J27)-N(K27))</f>
        <v/>
      </c>
      <c r="M27" s="28" t="str">
        <f aca="false">IF(OR(L27="",N(K27)=0),"",L27/K27)</f>
        <v/>
      </c>
      <c r="N27" s="25" t="str">
        <f aca="false">IF(OR(A27="",B27=""),"",IFERROR(A27-INDEX(Inventory!$B$4:$B$503,MATCH($B27,Inventory!$A$4:$A$503,0)),""))</f>
        <v/>
      </c>
      <c r="O27" s="27" t="str">
        <f aca="false">IF($B27="","",IFERROR(INDEX(Inventory!$F$4:$F$503,MATCH($B27,Inventory!$A$4:$A$503,0)),""))</f>
        <v/>
      </c>
      <c r="P27" s="27" t="str">
        <f aca="false">IF($B27="","",IFERROR(INDEX(Inventory!$C$4:$C$503,MATCH($B27,Inventory!$A$4:$A$503,0)),""))</f>
        <v/>
      </c>
    </row>
    <row r="28" customFormat="false" ht="15" hidden="false" customHeight="false" outlineLevel="0" collapsed="false">
      <c r="A28" s="19"/>
      <c r="B28" s="10"/>
      <c r="C28" s="23" t="str">
        <f aca="false">IF($B28="","",IFERROR(INDEX(Inventory!$E$4:$E$503,MATCH($B28,Inventory!$A$4:$A$503,0)),"SKU not found"))</f>
        <v/>
      </c>
      <c r="D28" s="10"/>
      <c r="E28" s="12"/>
      <c r="F28" s="12"/>
      <c r="G28" s="12"/>
      <c r="H28" s="24" t="str">
        <f aca="false">IF(OR(B28="",D28="",E28=""),"",IFERROR(IF(AND(D28="Poshmark",E28&lt;Settings!$B$20),Settings!$B$21,(E28+IF(INDEX(Settings!$E$4:$E$11,MATCH($D28,Settings!$A$4:$A$11,0))="Y",N(F28),0))*(INDEX(Settings!$B$4:$B$11,MATCH($D28,Settings!$A$4:$A$11,0))+INDEX(Settings!$D$4:$D$11,MATCH($D28,Settings!$A$4:$A$11,0)))+INDEX(Settings!$C$4:$C$11,MATCH($D28,Settings!$A$4:$A$11,0))),0))</f>
        <v/>
      </c>
      <c r="I28" s="12"/>
      <c r="J28" s="12"/>
      <c r="K28" s="24" t="str">
        <f aca="false">IF($B28="","",IFERROR(INDEX(Inventory!$J$4:$J$503,MATCH($B28,Inventory!$A$4:$A$503,0)),0))</f>
        <v/>
      </c>
      <c r="L28" s="24" t="str">
        <f aca="false">IF(OR(B28="",E28=""),"",E28+N(F28)-N(G28)-N(H28)-N(J28)-N(K28))</f>
        <v/>
      </c>
      <c r="M28" s="28" t="str">
        <f aca="false">IF(OR(L28="",N(K28)=0),"",L28/K28)</f>
        <v/>
      </c>
      <c r="N28" s="25" t="str">
        <f aca="false">IF(OR(A28="",B28=""),"",IFERROR(A28-INDEX(Inventory!$B$4:$B$503,MATCH($B28,Inventory!$A$4:$A$503,0)),""))</f>
        <v/>
      </c>
      <c r="O28" s="27" t="str">
        <f aca="false">IF($B28="","",IFERROR(INDEX(Inventory!$F$4:$F$503,MATCH($B28,Inventory!$A$4:$A$503,0)),""))</f>
        <v/>
      </c>
      <c r="P28" s="27" t="str">
        <f aca="false">IF($B28="","",IFERROR(INDEX(Inventory!$C$4:$C$503,MATCH($B28,Inventory!$A$4:$A$503,0)),""))</f>
        <v/>
      </c>
    </row>
    <row r="29" customFormat="false" ht="15" hidden="false" customHeight="false" outlineLevel="0" collapsed="false">
      <c r="A29" s="19"/>
      <c r="B29" s="10"/>
      <c r="C29" s="23" t="str">
        <f aca="false">IF($B29="","",IFERROR(INDEX(Inventory!$E$4:$E$503,MATCH($B29,Inventory!$A$4:$A$503,0)),"SKU not found"))</f>
        <v/>
      </c>
      <c r="D29" s="10"/>
      <c r="E29" s="12"/>
      <c r="F29" s="12"/>
      <c r="G29" s="12"/>
      <c r="H29" s="24" t="str">
        <f aca="false">IF(OR(B29="",D29="",E29=""),"",IFERROR(IF(AND(D29="Poshmark",E29&lt;Settings!$B$20),Settings!$B$21,(E29+IF(INDEX(Settings!$E$4:$E$11,MATCH($D29,Settings!$A$4:$A$11,0))="Y",N(F29),0))*(INDEX(Settings!$B$4:$B$11,MATCH($D29,Settings!$A$4:$A$11,0))+INDEX(Settings!$D$4:$D$11,MATCH($D29,Settings!$A$4:$A$11,0)))+INDEX(Settings!$C$4:$C$11,MATCH($D29,Settings!$A$4:$A$11,0))),0))</f>
        <v/>
      </c>
      <c r="I29" s="12"/>
      <c r="J29" s="12"/>
      <c r="K29" s="24" t="str">
        <f aca="false">IF($B29="","",IFERROR(INDEX(Inventory!$J$4:$J$503,MATCH($B29,Inventory!$A$4:$A$503,0)),0))</f>
        <v/>
      </c>
      <c r="L29" s="24" t="str">
        <f aca="false">IF(OR(B29="",E29=""),"",E29+N(F29)-N(G29)-N(H29)-N(J29)-N(K29))</f>
        <v/>
      </c>
      <c r="M29" s="28" t="str">
        <f aca="false">IF(OR(L29="",N(K29)=0),"",L29/K29)</f>
        <v/>
      </c>
      <c r="N29" s="25" t="str">
        <f aca="false">IF(OR(A29="",B29=""),"",IFERROR(A29-INDEX(Inventory!$B$4:$B$503,MATCH($B29,Inventory!$A$4:$A$503,0)),""))</f>
        <v/>
      </c>
      <c r="O29" s="27" t="str">
        <f aca="false">IF($B29="","",IFERROR(INDEX(Inventory!$F$4:$F$503,MATCH($B29,Inventory!$A$4:$A$503,0)),""))</f>
        <v/>
      </c>
      <c r="P29" s="27" t="str">
        <f aca="false">IF($B29="","",IFERROR(INDEX(Inventory!$C$4:$C$503,MATCH($B29,Inventory!$A$4:$A$503,0)),""))</f>
        <v/>
      </c>
    </row>
    <row r="30" customFormat="false" ht="15" hidden="false" customHeight="false" outlineLevel="0" collapsed="false">
      <c r="A30" s="19"/>
      <c r="B30" s="10"/>
      <c r="C30" s="23" t="str">
        <f aca="false">IF($B30="","",IFERROR(INDEX(Inventory!$E$4:$E$503,MATCH($B30,Inventory!$A$4:$A$503,0)),"SKU not found"))</f>
        <v/>
      </c>
      <c r="D30" s="10"/>
      <c r="E30" s="12"/>
      <c r="F30" s="12"/>
      <c r="G30" s="12"/>
      <c r="H30" s="24" t="str">
        <f aca="false">IF(OR(B30="",D30="",E30=""),"",IFERROR(IF(AND(D30="Poshmark",E30&lt;Settings!$B$20),Settings!$B$21,(E30+IF(INDEX(Settings!$E$4:$E$11,MATCH($D30,Settings!$A$4:$A$11,0))="Y",N(F30),0))*(INDEX(Settings!$B$4:$B$11,MATCH($D30,Settings!$A$4:$A$11,0))+INDEX(Settings!$D$4:$D$11,MATCH($D30,Settings!$A$4:$A$11,0)))+INDEX(Settings!$C$4:$C$11,MATCH($D30,Settings!$A$4:$A$11,0))),0))</f>
        <v/>
      </c>
      <c r="I30" s="12"/>
      <c r="J30" s="12"/>
      <c r="K30" s="24" t="str">
        <f aca="false">IF($B30="","",IFERROR(INDEX(Inventory!$J$4:$J$503,MATCH($B30,Inventory!$A$4:$A$503,0)),0))</f>
        <v/>
      </c>
      <c r="L30" s="24" t="str">
        <f aca="false">IF(OR(B30="",E30=""),"",E30+N(F30)-N(G30)-N(H30)-N(J30)-N(K30))</f>
        <v/>
      </c>
      <c r="M30" s="28" t="str">
        <f aca="false">IF(OR(L30="",N(K30)=0),"",L30/K30)</f>
        <v/>
      </c>
      <c r="N30" s="25" t="str">
        <f aca="false">IF(OR(A30="",B30=""),"",IFERROR(A30-INDEX(Inventory!$B$4:$B$503,MATCH($B30,Inventory!$A$4:$A$503,0)),""))</f>
        <v/>
      </c>
      <c r="O30" s="27" t="str">
        <f aca="false">IF($B30="","",IFERROR(INDEX(Inventory!$F$4:$F$503,MATCH($B30,Inventory!$A$4:$A$503,0)),""))</f>
        <v/>
      </c>
      <c r="P30" s="27" t="str">
        <f aca="false">IF($B30="","",IFERROR(INDEX(Inventory!$C$4:$C$503,MATCH($B30,Inventory!$A$4:$A$503,0)),""))</f>
        <v/>
      </c>
    </row>
    <row r="31" customFormat="false" ht="15" hidden="false" customHeight="false" outlineLevel="0" collapsed="false">
      <c r="A31" s="19"/>
      <c r="B31" s="10"/>
      <c r="C31" s="23" t="str">
        <f aca="false">IF($B31="","",IFERROR(INDEX(Inventory!$E$4:$E$503,MATCH($B31,Inventory!$A$4:$A$503,0)),"SKU not found"))</f>
        <v/>
      </c>
      <c r="D31" s="10"/>
      <c r="E31" s="12"/>
      <c r="F31" s="12"/>
      <c r="G31" s="12"/>
      <c r="H31" s="24" t="str">
        <f aca="false">IF(OR(B31="",D31="",E31=""),"",IFERROR(IF(AND(D31="Poshmark",E31&lt;Settings!$B$20),Settings!$B$21,(E31+IF(INDEX(Settings!$E$4:$E$11,MATCH($D31,Settings!$A$4:$A$11,0))="Y",N(F31),0))*(INDEX(Settings!$B$4:$B$11,MATCH($D31,Settings!$A$4:$A$11,0))+INDEX(Settings!$D$4:$D$11,MATCH($D31,Settings!$A$4:$A$11,0)))+INDEX(Settings!$C$4:$C$11,MATCH($D31,Settings!$A$4:$A$11,0))),0))</f>
        <v/>
      </c>
      <c r="I31" s="12"/>
      <c r="J31" s="12"/>
      <c r="K31" s="24" t="str">
        <f aca="false">IF($B31="","",IFERROR(INDEX(Inventory!$J$4:$J$503,MATCH($B31,Inventory!$A$4:$A$503,0)),0))</f>
        <v/>
      </c>
      <c r="L31" s="24" t="str">
        <f aca="false">IF(OR(B31="",E31=""),"",E31+N(F31)-N(G31)-N(H31)-N(J31)-N(K31))</f>
        <v/>
      </c>
      <c r="M31" s="28" t="str">
        <f aca="false">IF(OR(L31="",N(K31)=0),"",L31/K31)</f>
        <v/>
      </c>
      <c r="N31" s="25" t="str">
        <f aca="false">IF(OR(A31="",B31=""),"",IFERROR(A31-INDEX(Inventory!$B$4:$B$503,MATCH($B31,Inventory!$A$4:$A$503,0)),""))</f>
        <v/>
      </c>
      <c r="O31" s="27" t="str">
        <f aca="false">IF($B31="","",IFERROR(INDEX(Inventory!$F$4:$F$503,MATCH($B31,Inventory!$A$4:$A$503,0)),""))</f>
        <v/>
      </c>
      <c r="P31" s="27" t="str">
        <f aca="false">IF($B31="","",IFERROR(INDEX(Inventory!$C$4:$C$503,MATCH($B31,Inventory!$A$4:$A$503,0)),""))</f>
        <v/>
      </c>
    </row>
    <row r="32" customFormat="false" ht="15" hidden="false" customHeight="false" outlineLevel="0" collapsed="false">
      <c r="A32" s="19"/>
      <c r="B32" s="10"/>
      <c r="C32" s="23" t="str">
        <f aca="false">IF($B32="","",IFERROR(INDEX(Inventory!$E$4:$E$503,MATCH($B32,Inventory!$A$4:$A$503,0)),"SKU not found"))</f>
        <v/>
      </c>
      <c r="D32" s="10"/>
      <c r="E32" s="12"/>
      <c r="F32" s="12"/>
      <c r="G32" s="12"/>
      <c r="H32" s="24" t="str">
        <f aca="false">IF(OR(B32="",D32="",E32=""),"",IFERROR(IF(AND(D32="Poshmark",E32&lt;Settings!$B$20),Settings!$B$21,(E32+IF(INDEX(Settings!$E$4:$E$11,MATCH($D32,Settings!$A$4:$A$11,0))="Y",N(F32),0))*(INDEX(Settings!$B$4:$B$11,MATCH($D32,Settings!$A$4:$A$11,0))+INDEX(Settings!$D$4:$D$11,MATCH($D32,Settings!$A$4:$A$11,0)))+INDEX(Settings!$C$4:$C$11,MATCH($D32,Settings!$A$4:$A$11,0))),0))</f>
        <v/>
      </c>
      <c r="I32" s="12"/>
      <c r="J32" s="12"/>
      <c r="K32" s="24" t="str">
        <f aca="false">IF($B32="","",IFERROR(INDEX(Inventory!$J$4:$J$503,MATCH($B32,Inventory!$A$4:$A$503,0)),0))</f>
        <v/>
      </c>
      <c r="L32" s="24" t="str">
        <f aca="false">IF(OR(B32="",E32=""),"",E32+N(F32)-N(G32)-N(H32)-N(J32)-N(K32))</f>
        <v/>
      </c>
      <c r="M32" s="28" t="str">
        <f aca="false">IF(OR(L32="",N(K32)=0),"",L32/K32)</f>
        <v/>
      </c>
      <c r="N32" s="25" t="str">
        <f aca="false">IF(OR(A32="",B32=""),"",IFERROR(A32-INDEX(Inventory!$B$4:$B$503,MATCH($B32,Inventory!$A$4:$A$503,0)),""))</f>
        <v/>
      </c>
      <c r="O32" s="27" t="str">
        <f aca="false">IF($B32="","",IFERROR(INDEX(Inventory!$F$4:$F$503,MATCH($B32,Inventory!$A$4:$A$503,0)),""))</f>
        <v/>
      </c>
      <c r="P32" s="27" t="str">
        <f aca="false">IF($B32="","",IFERROR(INDEX(Inventory!$C$4:$C$503,MATCH($B32,Inventory!$A$4:$A$503,0)),""))</f>
        <v/>
      </c>
    </row>
    <row r="33" customFormat="false" ht="15" hidden="false" customHeight="false" outlineLevel="0" collapsed="false">
      <c r="A33" s="19"/>
      <c r="B33" s="10"/>
      <c r="C33" s="23" t="str">
        <f aca="false">IF($B33="","",IFERROR(INDEX(Inventory!$E$4:$E$503,MATCH($B33,Inventory!$A$4:$A$503,0)),"SKU not found"))</f>
        <v/>
      </c>
      <c r="D33" s="10"/>
      <c r="E33" s="12"/>
      <c r="F33" s="12"/>
      <c r="G33" s="12"/>
      <c r="H33" s="24" t="str">
        <f aca="false">IF(OR(B33="",D33="",E33=""),"",IFERROR(IF(AND(D33="Poshmark",E33&lt;Settings!$B$20),Settings!$B$21,(E33+IF(INDEX(Settings!$E$4:$E$11,MATCH($D33,Settings!$A$4:$A$11,0))="Y",N(F33),0))*(INDEX(Settings!$B$4:$B$11,MATCH($D33,Settings!$A$4:$A$11,0))+INDEX(Settings!$D$4:$D$11,MATCH($D33,Settings!$A$4:$A$11,0)))+INDEX(Settings!$C$4:$C$11,MATCH($D33,Settings!$A$4:$A$11,0))),0))</f>
        <v/>
      </c>
      <c r="I33" s="12"/>
      <c r="J33" s="12"/>
      <c r="K33" s="24" t="str">
        <f aca="false">IF($B33="","",IFERROR(INDEX(Inventory!$J$4:$J$503,MATCH($B33,Inventory!$A$4:$A$503,0)),0))</f>
        <v/>
      </c>
      <c r="L33" s="24" t="str">
        <f aca="false">IF(OR(B33="",E33=""),"",E33+N(F33)-N(G33)-N(H33)-N(J33)-N(K33))</f>
        <v/>
      </c>
      <c r="M33" s="28" t="str">
        <f aca="false">IF(OR(L33="",N(K33)=0),"",L33/K33)</f>
        <v/>
      </c>
      <c r="N33" s="25" t="str">
        <f aca="false">IF(OR(A33="",B33=""),"",IFERROR(A33-INDEX(Inventory!$B$4:$B$503,MATCH($B33,Inventory!$A$4:$A$503,0)),""))</f>
        <v/>
      </c>
      <c r="O33" s="27" t="str">
        <f aca="false">IF($B33="","",IFERROR(INDEX(Inventory!$F$4:$F$503,MATCH($B33,Inventory!$A$4:$A$503,0)),""))</f>
        <v/>
      </c>
      <c r="P33" s="27" t="str">
        <f aca="false">IF($B33="","",IFERROR(INDEX(Inventory!$C$4:$C$503,MATCH($B33,Inventory!$A$4:$A$503,0)),""))</f>
        <v/>
      </c>
    </row>
    <row r="34" customFormat="false" ht="15" hidden="false" customHeight="false" outlineLevel="0" collapsed="false">
      <c r="A34" s="19"/>
      <c r="B34" s="10"/>
      <c r="C34" s="23" t="str">
        <f aca="false">IF($B34="","",IFERROR(INDEX(Inventory!$E$4:$E$503,MATCH($B34,Inventory!$A$4:$A$503,0)),"SKU not found"))</f>
        <v/>
      </c>
      <c r="D34" s="10"/>
      <c r="E34" s="12"/>
      <c r="F34" s="12"/>
      <c r="G34" s="12"/>
      <c r="H34" s="24" t="str">
        <f aca="false">IF(OR(B34="",D34="",E34=""),"",IFERROR(IF(AND(D34="Poshmark",E34&lt;Settings!$B$20),Settings!$B$21,(E34+IF(INDEX(Settings!$E$4:$E$11,MATCH($D34,Settings!$A$4:$A$11,0))="Y",N(F34),0))*(INDEX(Settings!$B$4:$B$11,MATCH($D34,Settings!$A$4:$A$11,0))+INDEX(Settings!$D$4:$D$11,MATCH($D34,Settings!$A$4:$A$11,0)))+INDEX(Settings!$C$4:$C$11,MATCH($D34,Settings!$A$4:$A$11,0))),0))</f>
        <v/>
      </c>
      <c r="I34" s="12"/>
      <c r="J34" s="12"/>
      <c r="K34" s="24" t="str">
        <f aca="false">IF($B34="","",IFERROR(INDEX(Inventory!$J$4:$J$503,MATCH($B34,Inventory!$A$4:$A$503,0)),0))</f>
        <v/>
      </c>
      <c r="L34" s="24" t="str">
        <f aca="false">IF(OR(B34="",E34=""),"",E34+N(F34)-N(G34)-N(H34)-N(J34)-N(K34))</f>
        <v/>
      </c>
      <c r="M34" s="28" t="str">
        <f aca="false">IF(OR(L34="",N(K34)=0),"",L34/K34)</f>
        <v/>
      </c>
      <c r="N34" s="25" t="str">
        <f aca="false">IF(OR(A34="",B34=""),"",IFERROR(A34-INDEX(Inventory!$B$4:$B$503,MATCH($B34,Inventory!$A$4:$A$503,0)),""))</f>
        <v/>
      </c>
      <c r="O34" s="27" t="str">
        <f aca="false">IF($B34="","",IFERROR(INDEX(Inventory!$F$4:$F$503,MATCH($B34,Inventory!$A$4:$A$503,0)),""))</f>
        <v/>
      </c>
      <c r="P34" s="27" t="str">
        <f aca="false">IF($B34="","",IFERROR(INDEX(Inventory!$C$4:$C$503,MATCH($B34,Inventory!$A$4:$A$503,0)),""))</f>
        <v/>
      </c>
    </row>
    <row r="35" customFormat="false" ht="15" hidden="false" customHeight="false" outlineLevel="0" collapsed="false">
      <c r="A35" s="19"/>
      <c r="B35" s="10"/>
      <c r="C35" s="23" t="str">
        <f aca="false">IF($B35="","",IFERROR(INDEX(Inventory!$E$4:$E$503,MATCH($B35,Inventory!$A$4:$A$503,0)),"SKU not found"))</f>
        <v/>
      </c>
      <c r="D35" s="10"/>
      <c r="E35" s="12"/>
      <c r="F35" s="12"/>
      <c r="G35" s="12"/>
      <c r="H35" s="24" t="str">
        <f aca="false">IF(OR(B35="",D35="",E35=""),"",IFERROR(IF(AND(D35="Poshmark",E35&lt;Settings!$B$20),Settings!$B$21,(E35+IF(INDEX(Settings!$E$4:$E$11,MATCH($D35,Settings!$A$4:$A$11,0))="Y",N(F35),0))*(INDEX(Settings!$B$4:$B$11,MATCH($D35,Settings!$A$4:$A$11,0))+INDEX(Settings!$D$4:$D$11,MATCH($D35,Settings!$A$4:$A$11,0)))+INDEX(Settings!$C$4:$C$11,MATCH($D35,Settings!$A$4:$A$11,0))),0))</f>
        <v/>
      </c>
      <c r="I35" s="12"/>
      <c r="J35" s="12"/>
      <c r="K35" s="24" t="str">
        <f aca="false">IF($B35="","",IFERROR(INDEX(Inventory!$J$4:$J$503,MATCH($B35,Inventory!$A$4:$A$503,0)),0))</f>
        <v/>
      </c>
      <c r="L35" s="24" t="str">
        <f aca="false">IF(OR(B35="",E35=""),"",E35+N(F35)-N(G35)-N(H35)-N(J35)-N(K35))</f>
        <v/>
      </c>
      <c r="M35" s="28" t="str">
        <f aca="false">IF(OR(L35="",N(K35)=0),"",L35/K35)</f>
        <v/>
      </c>
      <c r="N35" s="25" t="str">
        <f aca="false">IF(OR(A35="",B35=""),"",IFERROR(A35-INDEX(Inventory!$B$4:$B$503,MATCH($B35,Inventory!$A$4:$A$503,0)),""))</f>
        <v/>
      </c>
      <c r="O35" s="27" t="str">
        <f aca="false">IF($B35="","",IFERROR(INDEX(Inventory!$F$4:$F$503,MATCH($B35,Inventory!$A$4:$A$503,0)),""))</f>
        <v/>
      </c>
      <c r="P35" s="27" t="str">
        <f aca="false">IF($B35="","",IFERROR(INDEX(Inventory!$C$4:$C$503,MATCH($B35,Inventory!$A$4:$A$503,0)),""))</f>
        <v/>
      </c>
    </row>
    <row r="36" customFormat="false" ht="15" hidden="false" customHeight="false" outlineLevel="0" collapsed="false">
      <c r="A36" s="19"/>
      <c r="B36" s="10"/>
      <c r="C36" s="23" t="str">
        <f aca="false">IF($B36="","",IFERROR(INDEX(Inventory!$E$4:$E$503,MATCH($B36,Inventory!$A$4:$A$503,0)),"SKU not found"))</f>
        <v/>
      </c>
      <c r="D36" s="10"/>
      <c r="E36" s="12"/>
      <c r="F36" s="12"/>
      <c r="G36" s="12"/>
      <c r="H36" s="24" t="str">
        <f aca="false">IF(OR(B36="",D36="",E36=""),"",IFERROR(IF(AND(D36="Poshmark",E36&lt;Settings!$B$20),Settings!$B$21,(E36+IF(INDEX(Settings!$E$4:$E$11,MATCH($D36,Settings!$A$4:$A$11,0))="Y",N(F36),0))*(INDEX(Settings!$B$4:$B$11,MATCH($D36,Settings!$A$4:$A$11,0))+INDEX(Settings!$D$4:$D$11,MATCH($D36,Settings!$A$4:$A$11,0)))+INDEX(Settings!$C$4:$C$11,MATCH($D36,Settings!$A$4:$A$11,0))),0))</f>
        <v/>
      </c>
      <c r="I36" s="12"/>
      <c r="J36" s="12"/>
      <c r="K36" s="24" t="str">
        <f aca="false">IF($B36="","",IFERROR(INDEX(Inventory!$J$4:$J$503,MATCH($B36,Inventory!$A$4:$A$503,0)),0))</f>
        <v/>
      </c>
      <c r="L36" s="24" t="str">
        <f aca="false">IF(OR(B36="",E36=""),"",E36+N(F36)-N(G36)-N(H36)-N(J36)-N(K36))</f>
        <v/>
      </c>
      <c r="M36" s="28" t="str">
        <f aca="false">IF(OR(L36="",N(K36)=0),"",L36/K36)</f>
        <v/>
      </c>
      <c r="N36" s="25" t="str">
        <f aca="false">IF(OR(A36="",B36=""),"",IFERROR(A36-INDEX(Inventory!$B$4:$B$503,MATCH($B36,Inventory!$A$4:$A$503,0)),""))</f>
        <v/>
      </c>
      <c r="O36" s="27" t="str">
        <f aca="false">IF($B36="","",IFERROR(INDEX(Inventory!$F$4:$F$503,MATCH($B36,Inventory!$A$4:$A$503,0)),""))</f>
        <v/>
      </c>
      <c r="P36" s="27" t="str">
        <f aca="false">IF($B36="","",IFERROR(INDEX(Inventory!$C$4:$C$503,MATCH($B36,Inventory!$A$4:$A$503,0)),""))</f>
        <v/>
      </c>
    </row>
    <row r="37" customFormat="false" ht="15" hidden="false" customHeight="false" outlineLevel="0" collapsed="false">
      <c r="A37" s="19"/>
      <c r="B37" s="10"/>
      <c r="C37" s="23" t="str">
        <f aca="false">IF($B37="","",IFERROR(INDEX(Inventory!$E$4:$E$503,MATCH($B37,Inventory!$A$4:$A$503,0)),"SKU not found"))</f>
        <v/>
      </c>
      <c r="D37" s="10"/>
      <c r="E37" s="12"/>
      <c r="F37" s="12"/>
      <c r="G37" s="12"/>
      <c r="H37" s="24" t="str">
        <f aca="false">IF(OR(B37="",D37="",E37=""),"",IFERROR(IF(AND(D37="Poshmark",E37&lt;Settings!$B$20),Settings!$B$21,(E37+IF(INDEX(Settings!$E$4:$E$11,MATCH($D37,Settings!$A$4:$A$11,0))="Y",N(F37),0))*(INDEX(Settings!$B$4:$B$11,MATCH($D37,Settings!$A$4:$A$11,0))+INDEX(Settings!$D$4:$D$11,MATCH($D37,Settings!$A$4:$A$11,0)))+INDEX(Settings!$C$4:$C$11,MATCH($D37,Settings!$A$4:$A$11,0))),0))</f>
        <v/>
      </c>
      <c r="I37" s="12"/>
      <c r="J37" s="12"/>
      <c r="K37" s="24" t="str">
        <f aca="false">IF($B37="","",IFERROR(INDEX(Inventory!$J$4:$J$503,MATCH($B37,Inventory!$A$4:$A$503,0)),0))</f>
        <v/>
      </c>
      <c r="L37" s="24" t="str">
        <f aca="false">IF(OR(B37="",E37=""),"",E37+N(F37)-N(G37)-N(H37)-N(J37)-N(K37))</f>
        <v/>
      </c>
      <c r="M37" s="28" t="str">
        <f aca="false">IF(OR(L37="",N(K37)=0),"",L37/K37)</f>
        <v/>
      </c>
      <c r="N37" s="25" t="str">
        <f aca="false">IF(OR(A37="",B37=""),"",IFERROR(A37-INDEX(Inventory!$B$4:$B$503,MATCH($B37,Inventory!$A$4:$A$503,0)),""))</f>
        <v/>
      </c>
      <c r="O37" s="27" t="str">
        <f aca="false">IF($B37="","",IFERROR(INDEX(Inventory!$F$4:$F$503,MATCH($B37,Inventory!$A$4:$A$503,0)),""))</f>
        <v/>
      </c>
      <c r="P37" s="27" t="str">
        <f aca="false">IF($B37="","",IFERROR(INDEX(Inventory!$C$4:$C$503,MATCH($B37,Inventory!$A$4:$A$503,0)),""))</f>
        <v/>
      </c>
    </row>
    <row r="38" customFormat="false" ht="15" hidden="false" customHeight="false" outlineLevel="0" collapsed="false">
      <c r="A38" s="19"/>
      <c r="B38" s="10"/>
      <c r="C38" s="23" t="str">
        <f aca="false">IF($B38="","",IFERROR(INDEX(Inventory!$E$4:$E$503,MATCH($B38,Inventory!$A$4:$A$503,0)),"SKU not found"))</f>
        <v/>
      </c>
      <c r="D38" s="10"/>
      <c r="E38" s="12"/>
      <c r="F38" s="12"/>
      <c r="G38" s="12"/>
      <c r="H38" s="24" t="str">
        <f aca="false">IF(OR(B38="",D38="",E38=""),"",IFERROR(IF(AND(D38="Poshmark",E38&lt;Settings!$B$20),Settings!$B$21,(E38+IF(INDEX(Settings!$E$4:$E$11,MATCH($D38,Settings!$A$4:$A$11,0))="Y",N(F38),0))*(INDEX(Settings!$B$4:$B$11,MATCH($D38,Settings!$A$4:$A$11,0))+INDEX(Settings!$D$4:$D$11,MATCH($D38,Settings!$A$4:$A$11,0)))+INDEX(Settings!$C$4:$C$11,MATCH($D38,Settings!$A$4:$A$11,0))),0))</f>
        <v/>
      </c>
      <c r="I38" s="12"/>
      <c r="J38" s="12"/>
      <c r="K38" s="24" t="str">
        <f aca="false">IF($B38="","",IFERROR(INDEX(Inventory!$J$4:$J$503,MATCH($B38,Inventory!$A$4:$A$503,0)),0))</f>
        <v/>
      </c>
      <c r="L38" s="24" t="str">
        <f aca="false">IF(OR(B38="",E38=""),"",E38+N(F38)-N(G38)-N(H38)-N(J38)-N(K38))</f>
        <v/>
      </c>
      <c r="M38" s="28" t="str">
        <f aca="false">IF(OR(L38="",N(K38)=0),"",L38/K38)</f>
        <v/>
      </c>
      <c r="N38" s="25" t="str">
        <f aca="false">IF(OR(A38="",B38=""),"",IFERROR(A38-INDEX(Inventory!$B$4:$B$503,MATCH($B38,Inventory!$A$4:$A$503,0)),""))</f>
        <v/>
      </c>
      <c r="O38" s="27" t="str">
        <f aca="false">IF($B38="","",IFERROR(INDEX(Inventory!$F$4:$F$503,MATCH($B38,Inventory!$A$4:$A$503,0)),""))</f>
        <v/>
      </c>
      <c r="P38" s="27" t="str">
        <f aca="false">IF($B38="","",IFERROR(INDEX(Inventory!$C$4:$C$503,MATCH($B38,Inventory!$A$4:$A$503,0)),""))</f>
        <v/>
      </c>
    </row>
    <row r="39" customFormat="false" ht="15" hidden="false" customHeight="false" outlineLevel="0" collapsed="false">
      <c r="A39" s="19"/>
      <c r="B39" s="10"/>
      <c r="C39" s="23" t="str">
        <f aca="false">IF($B39="","",IFERROR(INDEX(Inventory!$E$4:$E$503,MATCH($B39,Inventory!$A$4:$A$503,0)),"SKU not found"))</f>
        <v/>
      </c>
      <c r="D39" s="10"/>
      <c r="E39" s="12"/>
      <c r="F39" s="12"/>
      <c r="G39" s="12"/>
      <c r="H39" s="24" t="str">
        <f aca="false">IF(OR(B39="",D39="",E39=""),"",IFERROR(IF(AND(D39="Poshmark",E39&lt;Settings!$B$20),Settings!$B$21,(E39+IF(INDEX(Settings!$E$4:$E$11,MATCH($D39,Settings!$A$4:$A$11,0))="Y",N(F39),0))*(INDEX(Settings!$B$4:$B$11,MATCH($D39,Settings!$A$4:$A$11,0))+INDEX(Settings!$D$4:$D$11,MATCH($D39,Settings!$A$4:$A$11,0)))+INDEX(Settings!$C$4:$C$11,MATCH($D39,Settings!$A$4:$A$11,0))),0))</f>
        <v/>
      </c>
      <c r="I39" s="12"/>
      <c r="J39" s="12"/>
      <c r="K39" s="24" t="str">
        <f aca="false">IF($B39="","",IFERROR(INDEX(Inventory!$J$4:$J$503,MATCH($B39,Inventory!$A$4:$A$503,0)),0))</f>
        <v/>
      </c>
      <c r="L39" s="24" t="str">
        <f aca="false">IF(OR(B39="",E39=""),"",E39+N(F39)-N(G39)-N(H39)-N(J39)-N(K39))</f>
        <v/>
      </c>
      <c r="M39" s="28" t="str">
        <f aca="false">IF(OR(L39="",N(K39)=0),"",L39/K39)</f>
        <v/>
      </c>
      <c r="N39" s="25" t="str">
        <f aca="false">IF(OR(A39="",B39=""),"",IFERROR(A39-INDEX(Inventory!$B$4:$B$503,MATCH($B39,Inventory!$A$4:$A$503,0)),""))</f>
        <v/>
      </c>
      <c r="O39" s="27" t="str">
        <f aca="false">IF($B39="","",IFERROR(INDEX(Inventory!$F$4:$F$503,MATCH($B39,Inventory!$A$4:$A$503,0)),""))</f>
        <v/>
      </c>
      <c r="P39" s="27" t="str">
        <f aca="false">IF($B39="","",IFERROR(INDEX(Inventory!$C$4:$C$503,MATCH($B39,Inventory!$A$4:$A$503,0)),""))</f>
        <v/>
      </c>
    </row>
    <row r="40" customFormat="false" ht="15" hidden="false" customHeight="false" outlineLevel="0" collapsed="false">
      <c r="A40" s="19"/>
      <c r="B40" s="10"/>
      <c r="C40" s="23" t="str">
        <f aca="false">IF($B40="","",IFERROR(INDEX(Inventory!$E$4:$E$503,MATCH($B40,Inventory!$A$4:$A$503,0)),"SKU not found"))</f>
        <v/>
      </c>
      <c r="D40" s="10"/>
      <c r="E40" s="12"/>
      <c r="F40" s="12"/>
      <c r="G40" s="12"/>
      <c r="H40" s="24" t="str">
        <f aca="false">IF(OR(B40="",D40="",E40=""),"",IFERROR(IF(AND(D40="Poshmark",E40&lt;Settings!$B$20),Settings!$B$21,(E40+IF(INDEX(Settings!$E$4:$E$11,MATCH($D40,Settings!$A$4:$A$11,0))="Y",N(F40),0))*(INDEX(Settings!$B$4:$B$11,MATCH($D40,Settings!$A$4:$A$11,0))+INDEX(Settings!$D$4:$D$11,MATCH($D40,Settings!$A$4:$A$11,0)))+INDEX(Settings!$C$4:$C$11,MATCH($D40,Settings!$A$4:$A$11,0))),0))</f>
        <v/>
      </c>
      <c r="I40" s="12"/>
      <c r="J40" s="12"/>
      <c r="K40" s="24" t="str">
        <f aca="false">IF($B40="","",IFERROR(INDEX(Inventory!$J$4:$J$503,MATCH($B40,Inventory!$A$4:$A$503,0)),0))</f>
        <v/>
      </c>
      <c r="L40" s="24" t="str">
        <f aca="false">IF(OR(B40="",E40=""),"",E40+N(F40)-N(G40)-N(H40)-N(J40)-N(K40))</f>
        <v/>
      </c>
      <c r="M40" s="28" t="str">
        <f aca="false">IF(OR(L40="",N(K40)=0),"",L40/K40)</f>
        <v/>
      </c>
      <c r="N40" s="25" t="str">
        <f aca="false">IF(OR(A40="",B40=""),"",IFERROR(A40-INDEX(Inventory!$B$4:$B$503,MATCH($B40,Inventory!$A$4:$A$503,0)),""))</f>
        <v/>
      </c>
      <c r="O40" s="27" t="str">
        <f aca="false">IF($B40="","",IFERROR(INDEX(Inventory!$F$4:$F$503,MATCH($B40,Inventory!$A$4:$A$503,0)),""))</f>
        <v/>
      </c>
      <c r="P40" s="27" t="str">
        <f aca="false">IF($B40="","",IFERROR(INDEX(Inventory!$C$4:$C$503,MATCH($B40,Inventory!$A$4:$A$503,0)),""))</f>
        <v/>
      </c>
    </row>
    <row r="41" customFormat="false" ht="15" hidden="false" customHeight="false" outlineLevel="0" collapsed="false">
      <c r="A41" s="19"/>
      <c r="B41" s="10"/>
      <c r="C41" s="23" t="str">
        <f aca="false">IF($B41="","",IFERROR(INDEX(Inventory!$E$4:$E$503,MATCH($B41,Inventory!$A$4:$A$503,0)),"SKU not found"))</f>
        <v/>
      </c>
      <c r="D41" s="10"/>
      <c r="E41" s="12"/>
      <c r="F41" s="12"/>
      <c r="G41" s="12"/>
      <c r="H41" s="24" t="str">
        <f aca="false">IF(OR(B41="",D41="",E41=""),"",IFERROR(IF(AND(D41="Poshmark",E41&lt;Settings!$B$20),Settings!$B$21,(E41+IF(INDEX(Settings!$E$4:$E$11,MATCH($D41,Settings!$A$4:$A$11,0))="Y",N(F41),0))*(INDEX(Settings!$B$4:$B$11,MATCH($D41,Settings!$A$4:$A$11,0))+INDEX(Settings!$D$4:$D$11,MATCH($D41,Settings!$A$4:$A$11,0)))+INDEX(Settings!$C$4:$C$11,MATCH($D41,Settings!$A$4:$A$11,0))),0))</f>
        <v/>
      </c>
      <c r="I41" s="12"/>
      <c r="J41" s="12"/>
      <c r="K41" s="24" t="str">
        <f aca="false">IF($B41="","",IFERROR(INDEX(Inventory!$J$4:$J$503,MATCH($B41,Inventory!$A$4:$A$503,0)),0))</f>
        <v/>
      </c>
      <c r="L41" s="24" t="str">
        <f aca="false">IF(OR(B41="",E41=""),"",E41+N(F41)-N(G41)-N(H41)-N(J41)-N(K41))</f>
        <v/>
      </c>
      <c r="M41" s="28" t="str">
        <f aca="false">IF(OR(L41="",N(K41)=0),"",L41/K41)</f>
        <v/>
      </c>
      <c r="N41" s="25" t="str">
        <f aca="false">IF(OR(A41="",B41=""),"",IFERROR(A41-INDEX(Inventory!$B$4:$B$503,MATCH($B41,Inventory!$A$4:$A$503,0)),""))</f>
        <v/>
      </c>
      <c r="O41" s="27" t="str">
        <f aca="false">IF($B41="","",IFERROR(INDEX(Inventory!$F$4:$F$503,MATCH($B41,Inventory!$A$4:$A$503,0)),""))</f>
        <v/>
      </c>
      <c r="P41" s="27" t="str">
        <f aca="false">IF($B41="","",IFERROR(INDEX(Inventory!$C$4:$C$503,MATCH($B41,Inventory!$A$4:$A$503,0)),""))</f>
        <v/>
      </c>
    </row>
    <row r="42" customFormat="false" ht="15" hidden="false" customHeight="false" outlineLevel="0" collapsed="false">
      <c r="A42" s="19"/>
      <c r="B42" s="10"/>
      <c r="C42" s="23" t="str">
        <f aca="false">IF($B42="","",IFERROR(INDEX(Inventory!$E$4:$E$503,MATCH($B42,Inventory!$A$4:$A$503,0)),"SKU not found"))</f>
        <v/>
      </c>
      <c r="D42" s="10"/>
      <c r="E42" s="12"/>
      <c r="F42" s="12"/>
      <c r="G42" s="12"/>
      <c r="H42" s="24" t="str">
        <f aca="false">IF(OR(B42="",D42="",E42=""),"",IFERROR(IF(AND(D42="Poshmark",E42&lt;Settings!$B$20),Settings!$B$21,(E42+IF(INDEX(Settings!$E$4:$E$11,MATCH($D42,Settings!$A$4:$A$11,0))="Y",N(F42),0))*(INDEX(Settings!$B$4:$B$11,MATCH($D42,Settings!$A$4:$A$11,0))+INDEX(Settings!$D$4:$D$11,MATCH($D42,Settings!$A$4:$A$11,0)))+INDEX(Settings!$C$4:$C$11,MATCH($D42,Settings!$A$4:$A$11,0))),0))</f>
        <v/>
      </c>
      <c r="I42" s="12"/>
      <c r="J42" s="12"/>
      <c r="K42" s="24" t="str">
        <f aca="false">IF($B42="","",IFERROR(INDEX(Inventory!$J$4:$J$503,MATCH($B42,Inventory!$A$4:$A$503,0)),0))</f>
        <v/>
      </c>
      <c r="L42" s="24" t="str">
        <f aca="false">IF(OR(B42="",E42=""),"",E42+N(F42)-N(G42)-N(H42)-N(J42)-N(K42))</f>
        <v/>
      </c>
      <c r="M42" s="28" t="str">
        <f aca="false">IF(OR(L42="",N(K42)=0),"",L42/K42)</f>
        <v/>
      </c>
      <c r="N42" s="25" t="str">
        <f aca="false">IF(OR(A42="",B42=""),"",IFERROR(A42-INDEX(Inventory!$B$4:$B$503,MATCH($B42,Inventory!$A$4:$A$503,0)),""))</f>
        <v/>
      </c>
      <c r="O42" s="27" t="str">
        <f aca="false">IF($B42="","",IFERROR(INDEX(Inventory!$F$4:$F$503,MATCH($B42,Inventory!$A$4:$A$503,0)),""))</f>
        <v/>
      </c>
      <c r="P42" s="27" t="str">
        <f aca="false">IF($B42="","",IFERROR(INDEX(Inventory!$C$4:$C$503,MATCH($B42,Inventory!$A$4:$A$503,0)),""))</f>
        <v/>
      </c>
    </row>
    <row r="43" customFormat="false" ht="15" hidden="false" customHeight="false" outlineLevel="0" collapsed="false">
      <c r="A43" s="19"/>
      <c r="B43" s="10"/>
      <c r="C43" s="23" t="str">
        <f aca="false">IF($B43="","",IFERROR(INDEX(Inventory!$E$4:$E$503,MATCH($B43,Inventory!$A$4:$A$503,0)),"SKU not found"))</f>
        <v/>
      </c>
      <c r="D43" s="10"/>
      <c r="E43" s="12"/>
      <c r="F43" s="12"/>
      <c r="G43" s="12"/>
      <c r="H43" s="24" t="str">
        <f aca="false">IF(OR(B43="",D43="",E43=""),"",IFERROR(IF(AND(D43="Poshmark",E43&lt;Settings!$B$20),Settings!$B$21,(E43+IF(INDEX(Settings!$E$4:$E$11,MATCH($D43,Settings!$A$4:$A$11,0))="Y",N(F43),0))*(INDEX(Settings!$B$4:$B$11,MATCH($D43,Settings!$A$4:$A$11,0))+INDEX(Settings!$D$4:$D$11,MATCH($D43,Settings!$A$4:$A$11,0)))+INDEX(Settings!$C$4:$C$11,MATCH($D43,Settings!$A$4:$A$11,0))),0))</f>
        <v/>
      </c>
      <c r="I43" s="12"/>
      <c r="J43" s="12"/>
      <c r="K43" s="24" t="str">
        <f aca="false">IF($B43="","",IFERROR(INDEX(Inventory!$J$4:$J$503,MATCH($B43,Inventory!$A$4:$A$503,0)),0))</f>
        <v/>
      </c>
      <c r="L43" s="24" t="str">
        <f aca="false">IF(OR(B43="",E43=""),"",E43+N(F43)-N(G43)-N(H43)-N(J43)-N(K43))</f>
        <v/>
      </c>
      <c r="M43" s="28" t="str">
        <f aca="false">IF(OR(L43="",N(K43)=0),"",L43/K43)</f>
        <v/>
      </c>
      <c r="N43" s="25" t="str">
        <f aca="false">IF(OR(A43="",B43=""),"",IFERROR(A43-INDEX(Inventory!$B$4:$B$503,MATCH($B43,Inventory!$A$4:$A$503,0)),""))</f>
        <v/>
      </c>
      <c r="O43" s="27" t="str">
        <f aca="false">IF($B43="","",IFERROR(INDEX(Inventory!$F$4:$F$503,MATCH($B43,Inventory!$A$4:$A$503,0)),""))</f>
        <v/>
      </c>
      <c r="P43" s="27" t="str">
        <f aca="false">IF($B43="","",IFERROR(INDEX(Inventory!$C$4:$C$503,MATCH($B43,Inventory!$A$4:$A$503,0)),""))</f>
        <v/>
      </c>
    </row>
    <row r="44" customFormat="false" ht="15" hidden="false" customHeight="false" outlineLevel="0" collapsed="false">
      <c r="A44" s="19"/>
      <c r="B44" s="10"/>
      <c r="C44" s="23" t="str">
        <f aca="false">IF($B44="","",IFERROR(INDEX(Inventory!$E$4:$E$503,MATCH($B44,Inventory!$A$4:$A$503,0)),"SKU not found"))</f>
        <v/>
      </c>
      <c r="D44" s="10"/>
      <c r="E44" s="12"/>
      <c r="F44" s="12"/>
      <c r="G44" s="12"/>
      <c r="H44" s="24" t="str">
        <f aca="false">IF(OR(B44="",D44="",E44=""),"",IFERROR(IF(AND(D44="Poshmark",E44&lt;Settings!$B$20),Settings!$B$21,(E44+IF(INDEX(Settings!$E$4:$E$11,MATCH($D44,Settings!$A$4:$A$11,0))="Y",N(F44),0))*(INDEX(Settings!$B$4:$B$11,MATCH($D44,Settings!$A$4:$A$11,0))+INDEX(Settings!$D$4:$D$11,MATCH($D44,Settings!$A$4:$A$11,0)))+INDEX(Settings!$C$4:$C$11,MATCH($D44,Settings!$A$4:$A$11,0))),0))</f>
        <v/>
      </c>
      <c r="I44" s="12"/>
      <c r="J44" s="12"/>
      <c r="K44" s="24" t="str">
        <f aca="false">IF($B44="","",IFERROR(INDEX(Inventory!$J$4:$J$503,MATCH($B44,Inventory!$A$4:$A$503,0)),0))</f>
        <v/>
      </c>
      <c r="L44" s="24" t="str">
        <f aca="false">IF(OR(B44="",E44=""),"",E44+N(F44)-N(G44)-N(H44)-N(J44)-N(K44))</f>
        <v/>
      </c>
      <c r="M44" s="28" t="str">
        <f aca="false">IF(OR(L44="",N(K44)=0),"",L44/K44)</f>
        <v/>
      </c>
      <c r="N44" s="25" t="str">
        <f aca="false">IF(OR(A44="",B44=""),"",IFERROR(A44-INDEX(Inventory!$B$4:$B$503,MATCH($B44,Inventory!$A$4:$A$503,0)),""))</f>
        <v/>
      </c>
      <c r="O44" s="27" t="str">
        <f aca="false">IF($B44="","",IFERROR(INDEX(Inventory!$F$4:$F$503,MATCH($B44,Inventory!$A$4:$A$503,0)),""))</f>
        <v/>
      </c>
      <c r="P44" s="27" t="str">
        <f aca="false">IF($B44="","",IFERROR(INDEX(Inventory!$C$4:$C$503,MATCH($B44,Inventory!$A$4:$A$503,0)),""))</f>
        <v/>
      </c>
    </row>
    <row r="45" customFormat="false" ht="15" hidden="false" customHeight="false" outlineLevel="0" collapsed="false">
      <c r="A45" s="19"/>
      <c r="B45" s="10"/>
      <c r="C45" s="23" t="str">
        <f aca="false">IF($B45="","",IFERROR(INDEX(Inventory!$E$4:$E$503,MATCH($B45,Inventory!$A$4:$A$503,0)),"SKU not found"))</f>
        <v/>
      </c>
      <c r="D45" s="10"/>
      <c r="E45" s="12"/>
      <c r="F45" s="12"/>
      <c r="G45" s="12"/>
      <c r="H45" s="24" t="str">
        <f aca="false">IF(OR(B45="",D45="",E45=""),"",IFERROR(IF(AND(D45="Poshmark",E45&lt;Settings!$B$20),Settings!$B$21,(E45+IF(INDEX(Settings!$E$4:$E$11,MATCH($D45,Settings!$A$4:$A$11,0))="Y",N(F45),0))*(INDEX(Settings!$B$4:$B$11,MATCH($D45,Settings!$A$4:$A$11,0))+INDEX(Settings!$D$4:$D$11,MATCH($D45,Settings!$A$4:$A$11,0)))+INDEX(Settings!$C$4:$C$11,MATCH($D45,Settings!$A$4:$A$11,0))),0))</f>
        <v/>
      </c>
      <c r="I45" s="12"/>
      <c r="J45" s="12"/>
      <c r="K45" s="24" t="str">
        <f aca="false">IF($B45="","",IFERROR(INDEX(Inventory!$J$4:$J$503,MATCH($B45,Inventory!$A$4:$A$503,0)),0))</f>
        <v/>
      </c>
      <c r="L45" s="24" t="str">
        <f aca="false">IF(OR(B45="",E45=""),"",E45+N(F45)-N(G45)-N(H45)-N(J45)-N(K45))</f>
        <v/>
      </c>
      <c r="M45" s="28" t="str">
        <f aca="false">IF(OR(L45="",N(K45)=0),"",L45/K45)</f>
        <v/>
      </c>
      <c r="N45" s="25" t="str">
        <f aca="false">IF(OR(A45="",B45=""),"",IFERROR(A45-INDEX(Inventory!$B$4:$B$503,MATCH($B45,Inventory!$A$4:$A$503,0)),""))</f>
        <v/>
      </c>
      <c r="O45" s="27" t="str">
        <f aca="false">IF($B45="","",IFERROR(INDEX(Inventory!$F$4:$F$503,MATCH($B45,Inventory!$A$4:$A$503,0)),""))</f>
        <v/>
      </c>
      <c r="P45" s="27" t="str">
        <f aca="false">IF($B45="","",IFERROR(INDEX(Inventory!$C$4:$C$503,MATCH($B45,Inventory!$A$4:$A$503,0)),""))</f>
        <v/>
      </c>
    </row>
    <row r="46" customFormat="false" ht="15" hidden="false" customHeight="false" outlineLevel="0" collapsed="false">
      <c r="A46" s="19"/>
      <c r="B46" s="10"/>
      <c r="C46" s="23" t="str">
        <f aca="false">IF($B46="","",IFERROR(INDEX(Inventory!$E$4:$E$503,MATCH($B46,Inventory!$A$4:$A$503,0)),"SKU not found"))</f>
        <v/>
      </c>
      <c r="D46" s="10"/>
      <c r="E46" s="12"/>
      <c r="F46" s="12"/>
      <c r="G46" s="12"/>
      <c r="H46" s="24" t="str">
        <f aca="false">IF(OR(B46="",D46="",E46=""),"",IFERROR(IF(AND(D46="Poshmark",E46&lt;Settings!$B$20),Settings!$B$21,(E46+IF(INDEX(Settings!$E$4:$E$11,MATCH($D46,Settings!$A$4:$A$11,0))="Y",N(F46),0))*(INDEX(Settings!$B$4:$B$11,MATCH($D46,Settings!$A$4:$A$11,0))+INDEX(Settings!$D$4:$D$11,MATCH($D46,Settings!$A$4:$A$11,0)))+INDEX(Settings!$C$4:$C$11,MATCH($D46,Settings!$A$4:$A$11,0))),0))</f>
        <v/>
      </c>
      <c r="I46" s="12"/>
      <c r="J46" s="12"/>
      <c r="K46" s="24" t="str">
        <f aca="false">IF($B46="","",IFERROR(INDEX(Inventory!$J$4:$J$503,MATCH($B46,Inventory!$A$4:$A$503,0)),0))</f>
        <v/>
      </c>
      <c r="L46" s="24" t="str">
        <f aca="false">IF(OR(B46="",E46=""),"",E46+N(F46)-N(G46)-N(H46)-N(J46)-N(K46))</f>
        <v/>
      </c>
      <c r="M46" s="28" t="str">
        <f aca="false">IF(OR(L46="",N(K46)=0),"",L46/K46)</f>
        <v/>
      </c>
      <c r="N46" s="25" t="str">
        <f aca="false">IF(OR(A46="",B46=""),"",IFERROR(A46-INDEX(Inventory!$B$4:$B$503,MATCH($B46,Inventory!$A$4:$A$503,0)),""))</f>
        <v/>
      </c>
      <c r="O46" s="27" t="str">
        <f aca="false">IF($B46="","",IFERROR(INDEX(Inventory!$F$4:$F$503,MATCH($B46,Inventory!$A$4:$A$503,0)),""))</f>
        <v/>
      </c>
      <c r="P46" s="27" t="str">
        <f aca="false">IF($B46="","",IFERROR(INDEX(Inventory!$C$4:$C$503,MATCH($B46,Inventory!$A$4:$A$503,0)),""))</f>
        <v/>
      </c>
    </row>
    <row r="47" customFormat="false" ht="15" hidden="false" customHeight="false" outlineLevel="0" collapsed="false">
      <c r="A47" s="19"/>
      <c r="B47" s="10"/>
      <c r="C47" s="23" t="str">
        <f aca="false">IF($B47="","",IFERROR(INDEX(Inventory!$E$4:$E$503,MATCH($B47,Inventory!$A$4:$A$503,0)),"SKU not found"))</f>
        <v/>
      </c>
      <c r="D47" s="10"/>
      <c r="E47" s="12"/>
      <c r="F47" s="12"/>
      <c r="G47" s="12"/>
      <c r="H47" s="24" t="str">
        <f aca="false">IF(OR(B47="",D47="",E47=""),"",IFERROR(IF(AND(D47="Poshmark",E47&lt;Settings!$B$20),Settings!$B$21,(E47+IF(INDEX(Settings!$E$4:$E$11,MATCH($D47,Settings!$A$4:$A$11,0))="Y",N(F47),0))*(INDEX(Settings!$B$4:$B$11,MATCH($D47,Settings!$A$4:$A$11,0))+INDEX(Settings!$D$4:$D$11,MATCH($D47,Settings!$A$4:$A$11,0)))+INDEX(Settings!$C$4:$C$11,MATCH($D47,Settings!$A$4:$A$11,0))),0))</f>
        <v/>
      </c>
      <c r="I47" s="12"/>
      <c r="J47" s="12"/>
      <c r="K47" s="24" t="str">
        <f aca="false">IF($B47="","",IFERROR(INDEX(Inventory!$J$4:$J$503,MATCH($B47,Inventory!$A$4:$A$503,0)),0))</f>
        <v/>
      </c>
      <c r="L47" s="24" t="str">
        <f aca="false">IF(OR(B47="",E47=""),"",E47+N(F47)-N(G47)-N(H47)-N(J47)-N(K47))</f>
        <v/>
      </c>
      <c r="M47" s="28" t="str">
        <f aca="false">IF(OR(L47="",N(K47)=0),"",L47/K47)</f>
        <v/>
      </c>
      <c r="N47" s="25" t="str">
        <f aca="false">IF(OR(A47="",B47=""),"",IFERROR(A47-INDEX(Inventory!$B$4:$B$503,MATCH($B47,Inventory!$A$4:$A$503,0)),""))</f>
        <v/>
      </c>
      <c r="O47" s="27" t="str">
        <f aca="false">IF($B47="","",IFERROR(INDEX(Inventory!$F$4:$F$503,MATCH($B47,Inventory!$A$4:$A$503,0)),""))</f>
        <v/>
      </c>
      <c r="P47" s="27" t="str">
        <f aca="false">IF($B47="","",IFERROR(INDEX(Inventory!$C$4:$C$503,MATCH($B47,Inventory!$A$4:$A$503,0)),""))</f>
        <v/>
      </c>
    </row>
    <row r="48" customFormat="false" ht="15" hidden="false" customHeight="false" outlineLevel="0" collapsed="false">
      <c r="A48" s="19"/>
      <c r="B48" s="10"/>
      <c r="C48" s="23" t="str">
        <f aca="false">IF($B48="","",IFERROR(INDEX(Inventory!$E$4:$E$503,MATCH($B48,Inventory!$A$4:$A$503,0)),"SKU not found"))</f>
        <v/>
      </c>
      <c r="D48" s="10"/>
      <c r="E48" s="12"/>
      <c r="F48" s="12"/>
      <c r="G48" s="12"/>
      <c r="H48" s="24" t="str">
        <f aca="false">IF(OR(B48="",D48="",E48=""),"",IFERROR(IF(AND(D48="Poshmark",E48&lt;Settings!$B$20),Settings!$B$21,(E48+IF(INDEX(Settings!$E$4:$E$11,MATCH($D48,Settings!$A$4:$A$11,0))="Y",N(F48),0))*(INDEX(Settings!$B$4:$B$11,MATCH($D48,Settings!$A$4:$A$11,0))+INDEX(Settings!$D$4:$D$11,MATCH($D48,Settings!$A$4:$A$11,0)))+INDEX(Settings!$C$4:$C$11,MATCH($D48,Settings!$A$4:$A$11,0))),0))</f>
        <v/>
      </c>
      <c r="I48" s="12"/>
      <c r="J48" s="12"/>
      <c r="K48" s="24" t="str">
        <f aca="false">IF($B48="","",IFERROR(INDEX(Inventory!$J$4:$J$503,MATCH($B48,Inventory!$A$4:$A$503,0)),0))</f>
        <v/>
      </c>
      <c r="L48" s="24" t="str">
        <f aca="false">IF(OR(B48="",E48=""),"",E48+N(F48)-N(G48)-N(H48)-N(J48)-N(K48))</f>
        <v/>
      </c>
      <c r="M48" s="28" t="str">
        <f aca="false">IF(OR(L48="",N(K48)=0),"",L48/K48)</f>
        <v/>
      </c>
      <c r="N48" s="25" t="str">
        <f aca="false">IF(OR(A48="",B48=""),"",IFERROR(A48-INDEX(Inventory!$B$4:$B$503,MATCH($B48,Inventory!$A$4:$A$503,0)),""))</f>
        <v/>
      </c>
      <c r="O48" s="27" t="str">
        <f aca="false">IF($B48="","",IFERROR(INDEX(Inventory!$F$4:$F$503,MATCH($B48,Inventory!$A$4:$A$503,0)),""))</f>
        <v/>
      </c>
      <c r="P48" s="27" t="str">
        <f aca="false">IF($B48="","",IFERROR(INDEX(Inventory!$C$4:$C$503,MATCH($B48,Inventory!$A$4:$A$503,0)),""))</f>
        <v/>
      </c>
    </row>
    <row r="49" customFormat="false" ht="15" hidden="false" customHeight="false" outlineLevel="0" collapsed="false">
      <c r="A49" s="19"/>
      <c r="B49" s="10"/>
      <c r="C49" s="23" t="str">
        <f aca="false">IF($B49="","",IFERROR(INDEX(Inventory!$E$4:$E$503,MATCH($B49,Inventory!$A$4:$A$503,0)),"SKU not found"))</f>
        <v/>
      </c>
      <c r="D49" s="10"/>
      <c r="E49" s="12"/>
      <c r="F49" s="12"/>
      <c r="G49" s="12"/>
      <c r="H49" s="24" t="str">
        <f aca="false">IF(OR(B49="",D49="",E49=""),"",IFERROR(IF(AND(D49="Poshmark",E49&lt;Settings!$B$20),Settings!$B$21,(E49+IF(INDEX(Settings!$E$4:$E$11,MATCH($D49,Settings!$A$4:$A$11,0))="Y",N(F49),0))*(INDEX(Settings!$B$4:$B$11,MATCH($D49,Settings!$A$4:$A$11,0))+INDEX(Settings!$D$4:$D$11,MATCH($D49,Settings!$A$4:$A$11,0)))+INDEX(Settings!$C$4:$C$11,MATCH($D49,Settings!$A$4:$A$11,0))),0))</f>
        <v/>
      </c>
      <c r="I49" s="12"/>
      <c r="J49" s="12"/>
      <c r="K49" s="24" t="str">
        <f aca="false">IF($B49="","",IFERROR(INDEX(Inventory!$J$4:$J$503,MATCH($B49,Inventory!$A$4:$A$503,0)),0))</f>
        <v/>
      </c>
      <c r="L49" s="24" t="str">
        <f aca="false">IF(OR(B49="",E49=""),"",E49+N(F49)-N(G49)-N(H49)-N(J49)-N(K49))</f>
        <v/>
      </c>
      <c r="M49" s="28" t="str">
        <f aca="false">IF(OR(L49="",N(K49)=0),"",L49/K49)</f>
        <v/>
      </c>
      <c r="N49" s="25" t="str">
        <f aca="false">IF(OR(A49="",B49=""),"",IFERROR(A49-INDEX(Inventory!$B$4:$B$503,MATCH($B49,Inventory!$A$4:$A$503,0)),""))</f>
        <v/>
      </c>
      <c r="O49" s="27" t="str">
        <f aca="false">IF($B49="","",IFERROR(INDEX(Inventory!$F$4:$F$503,MATCH($B49,Inventory!$A$4:$A$503,0)),""))</f>
        <v/>
      </c>
      <c r="P49" s="27" t="str">
        <f aca="false">IF($B49="","",IFERROR(INDEX(Inventory!$C$4:$C$503,MATCH($B49,Inventory!$A$4:$A$503,0)),""))</f>
        <v/>
      </c>
    </row>
    <row r="50" customFormat="false" ht="15" hidden="false" customHeight="false" outlineLevel="0" collapsed="false">
      <c r="A50" s="19"/>
      <c r="B50" s="10"/>
      <c r="C50" s="23" t="str">
        <f aca="false">IF($B50="","",IFERROR(INDEX(Inventory!$E$4:$E$503,MATCH($B50,Inventory!$A$4:$A$503,0)),"SKU not found"))</f>
        <v/>
      </c>
      <c r="D50" s="10"/>
      <c r="E50" s="12"/>
      <c r="F50" s="12"/>
      <c r="G50" s="12"/>
      <c r="H50" s="24" t="str">
        <f aca="false">IF(OR(B50="",D50="",E50=""),"",IFERROR(IF(AND(D50="Poshmark",E50&lt;Settings!$B$20),Settings!$B$21,(E50+IF(INDEX(Settings!$E$4:$E$11,MATCH($D50,Settings!$A$4:$A$11,0))="Y",N(F50),0))*(INDEX(Settings!$B$4:$B$11,MATCH($D50,Settings!$A$4:$A$11,0))+INDEX(Settings!$D$4:$D$11,MATCH($D50,Settings!$A$4:$A$11,0)))+INDEX(Settings!$C$4:$C$11,MATCH($D50,Settings!$A$4:$A$11,0))),0))</f>
        <v/>
      </c>
      <c r="I50" s="12"/>
      <c r="J50" s="12"/>
      <c r="K50" s="24" t="str">
        <f aca="false">IF($B50="","",IFERROR(INDEX(Inventory!$J$4:$J$503,MATCH($B50,Inventory!$A$4:$A$503,0)),0))</f>
        <v/>
      </c>
      <c r="L50" s="24" t="str">
        <f aca="false">IF(OR(B50="",E50=""),"",E50+N(F50)-N(G50)-N(H50)-N(J50)-N(K50))</f>
        <v/>
      </c>
      <c r="M50" s="28" t="str">
        <f aca="false">IF(OR(L50="",N(K50)=0),"",L50/K50)</f>
        <v/>
      </c>
      <c r="N50" s="25" t="str">
        <f aca="false">IF(OR(A50="",B50=""),"",IFERROR(A50-INDEX(Inventory!$B$4:$B$503,MATCH($B50,Inventory!$A$4:$A$503,0)),""))</f>
        <v/>
      </c>
      <c r="O50" s="27" t="str">
        <f aca="false">IF($B50="","",IFERROR(INDEX(Inventory!$F$4:$F$503,MATCH($B50,Inventory!$A$4:$A$503,0)),""))</f>
        <v/>
      </c>
      <c r="P50" s="27" t="str">
        <f aca="false">IF($B50="","",IFERROR(INDEX(Inventory!$C$4:$C$503,MATCH($B50,Inventory!$A$4:$A$503,0)),""))</f>
        <v/>
      </c>
    </row>
    <row r="51" customFormat="false" ht="15" hidden="false" customHeight="false" outlineLevel="0" collapsed="false">
      <c r="A51" s="19"/>
      <c r="B51" s="10"/>
      <c r="C51" s="23" t="str">
        <f aca="false">IF($B51="","",IFERROR(INDEX(Inventory!$E$4:$E$503,MATCH($B51,Inventory!$A$4:$A$503,0)),"SKU not found"))</f>
        <v/>
      </c>
      <c r="D51" s="10"/>
      <c r="E51" s="12"/>
      <c r="F51" s="12"/>
      <c r="G51" s="12"/>
      <c r="H51" s="24" t="str">
        <f aca="false">IF(OR(B51="",D51="",E51=""),"",IFERROR(IF(AND(D51="Poshmark",E51&lt;Settings!$B$20),Settings!$B$21,(E51+IF(INDEX(Settings!$E$4:$E$11,MATCH($D51,Settings!$A$4:$A$11,0))="Y",N(F51),0))*(INDEX(Settings!$B$4:$B$11,MATCH($D51,Settings!$A$4:$A$11,0))+INDEX(Settings!$D$4:$D$11,MATCH($D51,Settings!$A$4:$A$11,0)))+INDEX(Settings!$C$4:$C$11,MATCH($D51,Settings!$A$4:$A$11,0))),0))</f>
        <v/>
      </c>
      <c r="I51" s="12"/>
      <c r="J51" s="12"/>
      <c r="K51" s="24" t="str">
        <f aca="false">IF($B51="","",IFERROR(INDEX(Inventory!$J$4:$J$503,MATCH($B51,Inventory!$A$4:$A$503,0)),0))</f>
        <v/>
      </c>
      <c r="L51" s="24" t="str">
        <f aca="false">IF(OR(B51="",E51=""),"",E51+N(F51)-N(G51)-N(H51)-N(J51)-N(K51))</f>
        <v/>
      </c>
      <c r="M51" s="28" t="str">
        <f aca="false">IF(OR(L51="",N(K51)=0),"",L51/K51)</f>
        <v/>
      </c>
      <c r="N51" s="25" t="str">
        <f aca="false">IF(OR(A51="",B51=""),"",IFERROR(A51-INDEX(Inventory!$B$4:$B$503,MATCH($B51,Inventory!$A$4:$A$503,0)),""))</f>
        <v/>
      </c>
      <c r="O51" s="27" t="str">
        <f aca="false">IF($B51="","",IFERROR(INDEX(Inventory!$F$4:$F$503,MATCH($B51,Inventory!$A$4:$A$503,0)),""))</f>
        <v/>
      </c>
      <c r="P51" s="27" t="str">
        <f aca="false">IF($B51="","",IFERROR(INDEX(Inventory!$C$4:$C$503,MATCH($B51,Inventory!$A$4:$A$503,0)),""))</f>
        <v/>
      </c>
    </row>
    <row r="52" customFormat="false" ht="15" hidden="false" customHeight="false" outlineLevel="0" collapsed="false">
      <c r="A52" s="19"/>
      <c r="B52" s="10"/>
      <c r="C52" s="23" t="str">
        <f aca="false">IF($B52="","",IFERROR(INDEX(Inventory!$E$4:$E$503,MATCH($B52,Inventory!$A$4:$A$503,0)),"SKU not found"))</f>
        <v/>
      </c>
      <c r="D52" s="10"/>
      <c r="E52" s="12"/>
      <c r="F52" s="12"/>
      <c r="G52" s="12"/>
      <c r="H52" s="24" t="str">
        <f aca="false">IF(OR(B52="",D52="",E52=""),"",IFERROR(IF(AND(D52="Poshmark",E52&lt;Settings!$B$20),Settings!$B$21,(E52+IF(INDEX(Settings!$E$4:$E$11,MATCH($D52,Settings!$A$4:$A$11,0))="Y",N(F52),0))*(INDEX(Settings!$B$4:$B$11,MATCH($D52,Settings!$A$4:$A$11,0))+INDEX(Settings!$D$4:$D$11,MATCH($D52,Settings!$A$4:$A$11,0)))+INDEX(Settings!$C$4:$C$11,MATCH($D52,Settings!$A$4:$A$11,0))),0))</f>
        <v/>
      </c>
      <c r="I52" s="12"/>
      <c r="J52" s="12"/>
      <c r="K52" s="24" t="str">
        <f aca="false">IF($B52="","",IFERROR(INDEX(Inventory!$J$4:$J$503,MATCH($B52,Inventory!$A$4:$A$503,0)),0))</f>
        <v/>
      </c>
      <c r="L52" s="24" t="str">
        <f aca="false">IF(OR(B52="",E52=""),"",E52+N(F52)-N(G52)-N(H52)-N(J52)-N(K52))</f>
        <v/>
      </c>
      <c r="M52" s="28" t="str">
        <f aca="false">IF(OR(L52="",N(K52)=0),"",L52/K52)</f>
        <v/>
      </c>
      <c r="N52" s="25" t="str">
        <f aca="false">IF(OR(A52="",B52=""),"",IFERROR(A52-INDEX(Inventory!$B$4:$B$503,MATCH($B52,Inventory!$A$4:$A$503,0)),""))</f>
        <v/>
      </c>
      <c r="O52" s="27" t="str">
        <f aca="false">IF($B52="","",IFERROR(INDEX(Inventory!$F$4:$F$503,MATCH($B52,Inventory!$A$4:$A$503,0)),""))</f>
        <v/>
      </c>
      <c r="P52" s="27" t="str">
        <f aca="false">IF($B52="","",IFERROR(INDEX(Inventory!$C$4:$C$503,MATCH($B52,Inventory!$A$4:$A$503,0)),""))</f>
        <v/>
      </c>
    </row>
    <row r="53" customFormat="false" ht="15" hidden="false" customHeight="false" outlineLevel="0" collapsed="false">
      <c r="A53" s="19"/>
      <c r="B53" s="10"/>
      <c r="C53" s="23" t="str">
        <f aca="false">IF($B53="","",IFERROR(INDEX(Inventory!$E$4:$E$503,MATCH($B53,Inventory!$A$4:$A$503,0)),"SKU not found"))</f>
        <v/>
      </c>
      <c r="D53" s="10"/>
      <c r="E53" s="12"/>
      <c r="F53" s="12"/>
      <c r="G53" s="12"/>
      <c r="H53" s="24" t="str">
        <f aca="false">IF(OR(B53="",D53="",E53=""),"",IFERROR(IF(AND(D53="Poshmark",E53&lt;Settings!$B$20),Settings!$B$21,(E53+IF(INDEX(Settings!$E$4:$E$11,MATCH($D53,Settings!$A$4:$A$11,0))="Y",N(F53),0))*(INDEX(Settings!$B$4:$B$11,MATCH($D53,Settings!$A$4:$A$11,0))+INDEX(Settings!$D$4:$D$11,MATCH($D53,Settings!$A$4:$A$11,0)))+INDEX(Settings!$C$4:$C$11,MATCH($D53,Settings!$A$4:$A$11,0))),0))</f>
        <v/>
      </c>
      <c r="I53" s="12"/>
      <c r="J53" s="12"/>
      <c r="K53" s="24" t="str">
        <f aca="false">IF($B53="","",IFERROR(INDEX(Inventory!$J$4:$J$503,MATCH($B53,Inventory!$A$4:$A$503,0)),0))</f>
        <v/>
      </c>
      <c r="L53" s="24" t="str">
        <f aca="false">IF(OR(B53="",E53=""),"",E53+N(F53)-N(G53)-N(H53)-N(J53)-N(K53))</f>
        <v/>
      </c>
      <c r="M53" s="28" t="str">
        <f aca="false">IF(OR(L53="",N(K53)=0),"",L53/K53)</f>
        <v/>
      </c>
      <c r="N53" s="25" t="str">
        <f aca="false">IF(OR(A53="",B53=""),"",IFERROR(A53-INDEX(Inventory!$B$4:$B$503,MATCH($B53,Inventory!$A$4:$A$503,0)),""))</f>
        <v/>
      </c>
      <c r="O53" s="27" t="str">
        <f aca="false">IF($B53="","",IFERROR(INDEX(Inventory!$F$4:$F$503,MATCH($B53,Inventory!$A$4:$A$503,0)),""))</f>
        <v/>
      </c>
      <c r="P53" s="27" t="str">
        <f aca="false">IF($B53="","",IFERROR(INDEX(Inventory!$C$4:$C$503,MATCH($B53,Inventory!$A$4:$A$503,0)),""))</f>
        <v/>
      </c>
    </row>
    <row r="54" customFormat="false" ht="15" hidden="false" customHeight="false" outlineLevel="0" collapsed="false">
      <c r="A54" s="19"/>
      <c r="B54" s="10"/>
      <c r="C54" s="23" t="str">
        <f aca="false">IF($B54="","",IFERROR(INDEX(Inventory!$E$4:$E$503,MATCH($B54,Inventory!$A$4:$A$503,0)),"SKU not found"))</f>
        <v/>
      </c>
      <c r="D54" s="10"/>
      <c r="E54" s="12"/>
      <c r="F54" s="12"/>
      <c r="G54" s="12"/>
      <c r="H54" s="24" t="str">
        <f aca="false">IF(OR(B54="",D54="",E54=""),"",IFERROR(IF(AND(D54="Poshmark",E54&lt;Settings!$B$20),Settings!$B$21,(E54+IF(INDEX(Settings!$E$4:$E$11,MATCH($D54,Settings!$A$4:$A$11,0))="Y",N(F54),0))*(INDEX(Settings!$B$4:$B$11,MATCH($D54,Settings!$A$4:$A$11,0))+INDEX(Settings!$D$4:$D$11,MATCH($D54,Settings!$A$4:$A$11,0)))+INDEX(Settings!$C$4:$C$11,MATCH($D54,Settings!$A$4:$A$11,0))),0))</f>
        <v/>
      </c>
      <c r="I54" s="12"/>
      <c r="J54" s="12"/>
      <c r="K54" s="24" t="str">
        <f aca="false">IF($B54="","",IFERROR(INDEX(Inventory!$J$4:$J$503,MATCH($B54,Inventory!$A$4:$A$503,0)),0))</f>
        <v/>
      </c>
      <c r="L54" s="24" t="str">
        <f aca="false">IF(OR(B54="",E54=""),"",E54+N(F54)-N(G54)-N(H54)-N(J54)-N(K54))</f>
        <v/>
      </c>
      <c r="M54" s="28" t="str">
        <f aca="false">IF(OR(L54="",N(K54)=0),"",L54/K54)</f>
        <v/>
      </c>
      <c r="N54" s="25" t="str">
        <f aca="false">IF(OR(A54="",B54=""),"",IFERROR(A54-INDEX(Inventory!$B$4:$B$503,MATCH($B54,Inventory!$A$4:$A$503,0)),""))</f>
        <v/>
      </c>
      <c r="O54" s="27" t="str">
        <f aca="false">IF($B54="","",IFERROR(INDEX(Inventory!$F$4:$F$503,MATCH($B54,Inventory!$A$4:$A$503,0)),""))</f>
        <v/>
      </c>
      <c r="P54" s="27" t="str">
        <f aca="false">IF($B54="","",IFERROR(INDEX(Inventory!$C$4:$C$503,MATCH($B54,Inventory!$A$4:$A$503,0)),""))</f>
        <v/>
      </c>
    </row>
    <row r="55" customFormat="false" ht="15" hidden="false" customHeight="false" outlineLevel="0" collapsed="false">
      <c r="A55" s="19"/>
      <c r="B55" s="10"/>
      <c r="C55" s="23" t="str">
        <f aca="false">IF($B55="","",IFERROR(INDEX(Inventory!$E$4:$E$503,MATCH($B55,Inventory!$A$4:$A$503,0)),"SKU not found"))</f>
        <v/>
      </c>
      <c r="D55" s="10"/>
      <c r="E55" s="12"/>
      <c r="F55" s="12"/>
      <c r="G55" s="12"/>
      <c r="H55" s="24" t="str">
        <f aca="false">IF(OR(B55="",D55="",E55=""),"",IFERROR(IF(AND(D55="Poshmark",E55&lt;Settings!$B$20),Settings!$B$21,(E55+IF(INDEX(Settings!$E$4:$E$11,MATCH($D55,Settings!$A$4:$A$11,0))="Y",N(F55),0))*(INDEX(Settings!$B$4:$B$11,MATCH($D55,Settings!$A$4:$A$11,0))+INDEX(Settings!$D$4:$D$11,MATCH($D55,Settings!$A$4:$A$11,0)))+INDEX(Settings!$C$4:$C$11,MATCH($D55,Settings!$A$4:$A$11,0))),0))</f>
        <v/>
      </c>
      <c r="I55" s="12"/>
      <c r="J55" s="12"/>
      <c r="K55" s="24" t="str">
        <f aca="false">IF($B55="","",IFERROR(INDEX(Inventory!$J$4:$J$503,MATCH($B55,Inventory!$A$4:$A$503,0)),0))</f>
        <v/>
      </c>
      <c r="L55" s="24" t="str">
        <f aca="false">IF(OR(B55="",E55=""),"",E55+N(F55)-N(G55)-N(H55)-N(J55)-N(K55))</f>
        <v/>
      </c>
      <c r="M55" s="28" t="str">
        <f aca="false">IF(OR(L55="",N(K55)=0),"",L55/K55)</f>
        <v/>
      </c>
      <c r="N55" s="25" t="str">
        <f aca="false">IF(OR(A55="",B55=""),"",IFERROR(A55-INDEX(Inventory!$B$4:$B$503,MATCH($B55,Inventory!$A$4:$A$503,0)),""))</f>
        <v/>
      </c>
      <c r="O55" s="27" t="str">
        <f aca="false">IF($B55="","",IFERROR(INDEX(Inventory!$F$4:$F$503,MATCH($B55,Inventory!$A$4:$A$503,0)),""))</f>
        <v/>
      </c>
      <c r="P55" s="27" t="str">
        <f aca="false">IF($B55="","",IFERROR(INDEX(Inventory!$C$4:$C$503,MATCH($B55,Inventory!$A$4:$A$503,0)),""))</f>
        <v/>
      </c>
    </row>
    <row r="56" customFormat="false" ht="15" hidden="false" customHeight="false" outlineLevel="0" collapsed="false">
      <c r="A56" s="19"/>
      <c r="B56" s="10"/>
      <c r="C56" s="23" t="str">
        <f aca="false">IF($B56="","",IFERROR(INDEX(Inventory!$E$4:$E$503,MATCH($B56,Inventory!$A$4:$A$503,0)),"SKU not found"))</f>
        <v/>
      </c>
      <c r="D56" s="10"/>
      <c r="E56" s="12"/>
      <c r="F56" s="12"/>
      <c r="G56" s="12"/>
      <c r="H56" s="24" t="str">
        <f aca="false">IF(OR(B56="",D56="",E56=""),"",IFERROR(IF(AND(D56="Poshmark",E56&lt;Settings!$B$20),Settings!$B$21,(E56+IF(INDEX(Settings!$E$4:$E$11,MATCH($D56,Settings!$A$4:$A$11,0))="Y",N(F56),0))*(INDEX(Settings!$B$4:$B$11,MATCH($D56,Settings!$A$4:$A$11,0))+INDEX(Settings!$D$4:$D$11,MATCH($D56,Settings!$A$4:$A$11,0)))+INDEX(Settings!$C$4:$C$11,MATCH($D56,Settings!$A$4:$A$11,0))),0))</f>
        <v/>
      </c>
      <c r="I56" s="12"/>
      <c r="J56" s="12"/>
      <c r="K56" s="24" t="str">
        <f aca="false">IF($B56="","",IFERROR(INDEX(Inventory!$J$4:$J$503,MATCH($B56,Inventory!$A$4:$A$503,0)),0))</f>
        <v/>
      </c>
      <c r="L56" s="24" t="str">
        <f aca="false">IF(OR(B56="",E56=""),"",E56+N(F56)-N(G56)-N(H56)-N(J56)-N(K56))</f>
        <v/>
      </c>
      <c r="M56" s="28" t="str">
        <f aca="false">IF(OR(L56="",N(K56)=0),"",L56/K56)</f>
        <v/>
      </c>
      <c r="N56" s="25" t="str">
        <f aca="false">IF(OR(A56="",B56=""),"",IFERROR(A56-INDEX(Inventory!$B$4:$B$503,MATCH($B56,Inventory!$A$4:$A$503,0)),""))</f>
        <v/>
      </c>
      <c r="O56" s="27" t="str">
        <f aca="false">IF($B56="","",IFERROR(INDEX(Inventory!$F$4:$F$503,MATCH($B56,Inventory!$A$4:$A$503,0)),""))</f>
        <v/>
      </c>
      <c r="P56" s="27" t="str">
        <f aca="false">IF($B56="","",IFERROR(INDEX(Inventory!$C$4:$C$503,MATCH($B56,Inventory!$A$4:$A$503,0)),""))</f>
        <v/>
      </c>
    </row>
    <row r="57" customFormat="false" ht="15" hidden="false" customHeight="false" outlineLevel="0" collapsed="false">
      <c r="A57" s="19"/>
      <c r="B57" s="10"/>
      <c r="C57" s="23" t="str">
        <f aca="false">IF($B57="","",IFERROR(INDEX(Inventory!$E$4:$E$503,MATCH($B57,Inventory!$A$4:$A$503,0)),"SKU not found"))</f>
        <v/>
      </c>
      <c r="D57" s="10"/>
      <c r="E57" s="12"/>
      <c r="F57" s="12"/>
      <c r="G57" s="12"/>
      <c r="H57" s="24" t="str">
        <f aca="false">IF(OR(B57="",D57="",E57=""),"",IFERROR(IF(AND(D57="Poshmark",E57&lt;Settings!$B$20),Settings!$B$21,(E57+IF(INDEX(Settings!$E$4:$E$11,MATCH($D57,Settings!$A$4:$A$11,0))="Y",N(F57),0))*(INDEX(Settings!$B$4:$B$11,MATCH($D57,Settings!$A$4:$A$11,0))+INDEX(Settings!$D$4:$D$11,MATCH($D57,Settings!$A$4:$A$11,0)))+INDEX(Settings!$C$4:$C$11,MATCH($D57,Settings!$A$4:$A$11,0))),0))</f>
        <v/>
      </c>
      <c r="I57" s="12"/>
      <c r="J57" s="12"/>
      <c r="K57" s="24" t="str">
        <f aca="false">IF($B57="","",IFERROR(INDEX(Inventory!$J$4:$J$503,MATCH($B57,Inventory!$A$4:$A$503,0)),0))</f>
        <v/>
      </c>
      <c r="L57" s="24" t="str">
        <f aca="false">IF(OR(B57="",E57=""),"",E57+N(F57)-N(G57)-N(H57)-N(J57)-N(K57))</f>
        <v/>
      </c>
      <c r="M57" s="28" t="str">
        <f aca="false">IF(OR(L57="",N(K57)=0),"",L57/K57)</f>
        <v/>
      </c>
      <c r="N57" s="25" t="str">
        <f aca="false">IF(OR(A57="",B57=""),"",IFERROR(A57-INDEX(Inventory!$B$4:$B$503,MATCH($B57,Inventory!$A$4:$A$503,0)),""))</f>
        <v/>
      </c>
      <c r="O57" s="27" t="str">
        <f aca="false">IF($B57="","",IFERROR(INDEX(Inventory!$F$4:$F$503,MATCH($B57,Inventory!$A$4:$A$503,0)),""))</f>
        <v/>
      </c>
      <c r="P57" s="27" t="str">
        <f aca="false">IF($B57="","",IFERROR(INDEX(Inventory!$C$4:$C$503,MATCH($B57,Inventory!$A$4:$A$503,0)),""))</f>
        <v/>
      </c>
    </row>
    <row r="58" customFormat="false" ht="15" hidden="false" customHeight="false" outlineLevel="0" collapsed="false">
      <c r="A58" s="19"/>
      <c r="B58" s="10"/>
      <c r="C58" s="23" t="str">
        <f aca="false">IF($B58="","",IFERROR(INDEX(Inventory!$E$4:$E$503,MATCH($B58,Inventory!$A$4:$A$503,0)),"SKU not found"))</f>
        <v/>
      </c>
      <c r="D58" s="10"/>
      <c r="E58" s="12"/>
      <c r="F58" s="12"/>
      <c r="G58" s="12"/>
      <c r="H58" s="24" t="str">
        <f aca="false">IF(OR(B58="",D58="",E58=""),"",IFERROR(IF(AND(D58="Poshmark",E58&lt;Settings!$B$20),Settings!$B$21,(E58+IF(INDEX(Settings!$E$4:$E$11,MATCH($D58,Settings!$A$4:$A$11,0))="Y",N(F58),0))*(INDEX(Settings!$B$4:$B$11,MATCH($D58,Settings!$A$4:$A$11,0))+INDEX(Settings!$D$4:$D$11,MATCH($D58,Settings!$A$4:$A$11,0)))+INDEX(Settings!$C$4:$C$11,MATCH($D58,Settings!$A$4:$A$11,0))),0))</f>
        <v/>
      </c>
      <c r="I58" s="12"/>
      <c r="J58" s="12"/>
      <c r="K58" s="24" t="str">
        <f aca="false">IF($B58="","",IFERROR(INDEX(Inventory!$J$4:$J$503,MATCH($B58,Inventory!$A$4:$A$503,0)),0))</f>
        <v/>
      </c>
      <c r="L58" s="24" t="str">
        <f aca="false">IF(OR(B58="",E58=""),"",E58+N(F58)-N(G58)-N(H58)-N(J58)-N(K58))</f>
        <v/>
      </c>
      <c r="M58" s="28" t="str">
        <f aca="false">IF(OR(L58="",N(K58)=0),"",L58/K58)</f>
        <v/>
      </c>
      <c r="N58" s="25" t="str">
        <f aca="false">IF(OR(A58="",B58=""),"",IFERROR(A58-INDEX(Inventory!$B$4:$B$503,MATCH($B58,Inventory!$A$4:$A$503,0)),""))</f>
        <v/>
      </c>
      <c r="O58" s="27" t="str">
        <f aca="false">IF($B58="","",IFERROR(INDEX(Inventory!$F$4:$F$503,MATCH($B58,Inventory!$A$4:$A$503,0)),""))</f>
        <v/>
      </c>
      <c r="P58" s="27" t="str">
        <f aca="false">IF($B58="","",IFERROR(INDEX(Inventory!$C$4:$C$503,MATCH($B58,Inventory!$A$4:$A$503,0)),""))</f>
        <v/>
      </c>
    </row>
    <row r="59" customFormat="false" ht="15" hidden="false" customHeight="false" outlineLevel="0" collapsed="false">
      <c r="A59" s="19"/>
      <c r="B59" s="10"/>
      <c r="C59" s="23" t="str">
        <f aca="false">IF($B59="","",IFERROR(INDEX(Inventory!$E$4:$E$503,MATCH($B59,Inventory!$A$4:$A$503,0)),"SKU not found"))</f>
        <v/>
      </c>
      <c r="D59" s="10"/>
      <c r="E59" s="12"/>
      <c r="F59" s="12"/>
      <c r="G59" s="12"/>
      <c r="H59" s="24" t="str">
        <f aca="false">IF(OR(B59="",D59="",E59=""),"",IFERROR(IF(AND(D59="Poshmark",E59&lt;Settings!$B$20),Settings!$B$21,(E59+IF(INDEX(Settings!$E$4:$E$11,MATCH($D59,Settings!$A$4:$A$11,0))="Y",N(F59),0))*(INDEX(Settings!$B$4:$B$11,MATCH($D59,Settings!$A$4:$A$11,0))+INDEX(Settings!$D$4:$D$11,MATCH($D59,Settings!$A$4:$A$11,0)))+INDEX(Settings!$C$4:$C$11,MATCH($D59,Settings!$A$4:$A$11,0))),0))</f>
        <v/>
      </c>
      <c r="I59" s="12"/>
      <c r="J59" s="12"/>
      <c r="K59" s="24" t="str">
        <f aca="false">IF($B59="","",IFERROR(INDEX(Inventory!$J$4:$J$503,MATCH($B59,Inventory!$A$4:$A$503,0)),0))</f>
        <v/>
      </c>
      <c r="L59" s="24" t="str">
        <f aca="false">IF(OR(B59="",E59=""),"",E59+N(F59)-N(G59)-N(H59)-N(J59)-N(K59))</f>
        <v/>
      </c>
      <c r="M59" s="28" t="str">
        <f aca="false">IF(OR(L59="",N(K59)=0),"",L59/K59)</f>
        <v/>
      </c>
      <c r="N59" s="25" t="str">
        <f aca="false">IF(OR(A59="",B59=""),"",IFERROR(A59-INDEX(Inventory!$B$4:$B$503,MATCH($B59,Inventory!$A$4:$A$503,0)),""))</f>
        <v/>
      </c>
      <c r="O59" s="27" t="str">
        <f aca="false">IF($B59="","",IFERROR(INDEX(Inventory!$F$4:$F$503,MATCH($B59,Inventory!$A$4:$A$503,0)),""))</f>
        <v/>
      </c>
      <c r="P59" s="27" t="str">
        <f aca="false">IF($B59="","",IFERROR(INDEX(Inventory!$C$4:$C$503,MATCH($B59,Inventory!$A$4:$A$503,0)),""))</f>
        <v/>
      </c>
    </row>
    <row r="60" customFormat="false" ht="15" hidden="false" customHeight="false" outlineLevel="0" collapsed="false">
      <c r="A60" s="19"/>
      <c r="B60" s="10"/>
      <c r="C60" s="23" t="str">
        <f aca="false">IF($B60="","",IFERROR(INDEX(Inventory!$E$4:$E$503,MATCH($B60,Inventory!$A$4:$A$503,0)),"SKU not found"))</f>
        <v/>
      </c>
      <c r="D60" s="10"/>
      <c r="E60" s="12"/>
      <c r="F60" s="12"/>
      <c r="G60" s="12"/>
      <c r="H60" s="24" t="str">
        <f aca="false">IF(OR(B60="",D60="",E60=""),"",IFERROR(IF(AND(D60="Poshmark",E60&lt;Settings!$B$20),Settings!$B$21,(E60+IF(INDEX(Settings!$E$4:$E$11,MATCH($D60,Settings!$A$4:$A$11,0))="Y",N(F60),0))*(INDEX(Settings!$B$4:$B$11,MATCH($D60,Settings!$A$4:$A$11,0))+INDEX(Settings!$D$4:$D$11,MATCH($D60,Settings!$A$4:$A$11,0)))+INDEX(Settings!$C$4:$C$11,MATCH($D60,Settings!$A$4:$A$11,0))),0))</f>
        <v/>
      </c>
      <c r="I60" s="12"/>
      <c r="J60" s="12"/>
      <c r="K60" s="24" t="str">
        <f aca="false">IF($B60="","",IFERROR(INDEX(Inventory!$J$4:$J$503,MATCH($B60,Inventory!$A$4:$A$503,0)),0))</f>
        <v/>
      </c>
      <c r="L60" s="24" t="str">
        <f aca="false">IF(OR(B60="",E60=""),"",E60+N(F60)-N(G60)-N(H60)-N(J60)-N(K60))</f>
        <v/>
      </c>
      <c r="M60" s="28" t="str">
        <f aca="false">IF(OR(L60="",N(K60)=0),"",L60/K60)</f>
        <v/>
      </c>
      <c r="N60" s="25" t="str">
        <f aca="false">IF(OR(A60="",B60=""),"",IFERROR(A60-INDEX(Inventory!$B$4:$B$503,MATCH($B60,Inventory!$A$4:$A$503,0)),""))</f>
        <v/>
      </c>
      <c r="O60" s="27" t="str">
        <f aca="false">IF($B60="","",IFERROR(INDEX(Inventory!$F$4:$F$503,MATCH($B60,Inventory!$A$4:$A$503,0)),""))</f>
        <v/>
      </c>
      <c r="P60" s="27" t="str">
        <f aca="false">IF($B60="","",IFERROR(INDEX(Inventory!$C$4:$C$503,MATCH($B60,Inventory!$A$4:$A$503,0)),""))</f>
        <v/>
      </c>
    </row>
    <row r="61" customFormat="false" ht="15" hidden="false" customHeight="false" outlineLevel="0" collapsed="false">
      <c r="A61" s="19"/>
      <c r="B61" s="10"/>
      <c r="C61" s="23" t="str">
        <f aca="false">IF($B61="","",IFERROR(INDEX(Inventory!$E$4:$E$503,MATCH($B61,Inventory!$A$4:$A$503,0)),"SKU not found"))</f>
        <v/>
      </c>
      <c r="D61" s="10"/>
      <c r="E61" s="12"/>
      <c r="F61" s="12"/>
      <c r="G61" s="12"/>
      <c r="H61" s="24" t="str">
        <f aca="false">IF(OR(B61="",D61="",E61=""),"",IFERROR(IF(AND(D61="Poshmark",E61&lt;Settings!$B$20),Settings!$B$21,(E61+IF(INDEX(Settings!$E$4:$E$11,MATCH($D61,Settings!$A$4:$A$11,0))="Y",N(F61),0))*(INDEX(Settings!$B$4:$B$11,MATCH($D61,Settings!$A$4:$A$11,0))+INDEX(Settings!$D$4:$D$11,MATCH($D61,Settings!$A$4:$A$11,0)))+INDEX(Settings!$C$4:$C$11,MATCH($D61,Settings!$A$4:$A$11,0))),0))</f>
        <v/>
      </c>
      <c r="I61" s="12"/>
      <c r="J61" s="12"/>
      <c r="K61" s="24" t="str">
        <f aca="false">IF($B61="","",IFERROR(INDEX(Inventory!$J$4:$J$503,MATCH($B61,Inventory!$A$4:$A$503,0)),0))</f>
        <v/>
      </c>
      <c r="L61" s="24" t="str">
        <f aca="false">IF(OR(B61="",E61=""),"",E61+N(F61)-N(G61)-N(H61)-N(J61)-N(K61))</f>
        <v/>
      </c>
      <c r="M61" s="28" t="str">
        <f aca="false">IF(OR(L61="",N(K61)=0),"",L61/K61)</f>
        <v/>
      </c>
      <c r="N61" s="25" t="str">
        <f aca="false">IF(OR(A61="",B61=""),"",IFERROR(A61-INDEX(Inventory!$B$4:$B$503,MATCH($B61,Inventory!$A$4:$A$503,0)),""))</f>
        <v/>
      </c>
      <c r="O61" s="27" t="str">
        <f aca="false">IF($B61="","",IFERROR(INDEX(Inventory!$F$4:$F$503,MATCH($B61,Inventory!$A$4:$A$503,0)),""))</f>
        <v/>
      </c>
      <c r="P61" s="27" t="str">
        <f aca="false">IF($B61="","",IFERROR(INDEX(Inventory!$C$4:$C$503,MATCH($B61,Inventory!$A$4:$A$503,0)),""))</f>
        <v/>
      </c>
    </row>
    <row r="62" customFormat="false" ht="15" hidden="false" customHeight="false" outlineLevel="0" collapsed="false">
      <c r="A62" s="19"/>
      <c r="B62" s="10"/>
      <c r="C62" s="23" t="str">
        <f aca="false">IF($B62="","",IFERROR(INDEX(Inventory!$E$4:$E$503,MATCH($B62,Inventory!$A$4:$A$503,0)),"SKU not found"))</f>
        <v/>
      </c>
      <c r="D62" s="10"/>
      <c r="E62" s="12"/>
      <c r="F62" s="12"/>
      <c r="G62" s="12"/>
      <c r="H62" s="24" t="str">
        <f aca="false">IF(OR(B62="",D62="",E62=""),"",IFERROR(IF(AND(D62="Poshmark",E62&lt;Settings!$B$20),Settings!$B$21,(E62+IF(INDEX(Settings!$E$4:$E$11,MATCH($D62,Settings!$A$4:$A$11,0))="Y",N(F62),0))*(INDEX(Settings!$B$4:$B$11,MATCH($D62,Settings!$A$4:$A$11,0))+INDEX(Settings!$D$4:$D$11,MATCH($D62,Settings!$A$4:$A$11,0)))+INDEX(Settings!$C$4:$C$11,MATCH($D62,Settings!$A$4:$A$11,0))),0))</f>
        <v/>
      </c>
      <c r="I62" s="12"/>
      <c r="J62" s="12"/>
      <c r="K62" s="24" t="str">
        <f aca="false">IF($B62="","",IFERROR(INDEX(Inventory!$J$4:$J$503,MATCH($B62,Inventory!$A$4:$A$503,0)),0))</f>
        <v/>
      </c>
      <c r="L62" s="24" t="str">
        <f aca="false">IF(OR(B62="",E62=""),"",E62+N(F62)-N(G62)-N(H62)-N(J62)-N(K62))</f>
        <v/>
      </c>
      <c r="M62" s="28" t="str">
        <f aca="false">IF(OR(L62="",N(K62)=0),"",L62/K62)</f>
        <v/>
      </c>
      <c r="N62" s="25" t="str">
        <f aca="false">IF(OR(A62="",B62=""),"",IFERROR(A62-INDEX(Inventory!$B$4:$B$503,MATCH($B62,Inventory!$A$4:$A$503,0)),""))</f>
        <v/>
      </c>
      <c r="O62" s="27" t="str">
        <f aca="false">IF($B62="","",IFERROR(INDEX(Inventory!$F$4:$F$503,MATCH($B62,Inventory!$A$4:$A$503,0)),""))</f>
        <v/>
      </c>
      <c r="P62" s="27" t="str">
        <f aca="false">IF($B62="","",IFERROR(INDEX(Inventory!$C$4:$C$503,MATCH($B62,Inventory!$A$4:$A$503,0)),""))</f>
        <v/>
      </c>
    </row>
    <row r="63" customFormat="false" ht="15" hidden="false" customHeight="false" outlineLevel="0" collapsed="false">
      <c r="A63" s="19"/>
      <c r="B63" s="10"/>
      <c r="C63" s="23" t="str">
        <f aca="false">IF($B63="","",IFERROR(INDEX(Inventory!$E$4:$E$503,MATCH($B63,Inventory!$A$4:$A$503,0)),"SKU not found"))</f>
        <v/>
      </c>
      <c r="D63" s="10"/>
      <c r="E63" s="12"/>
      <c r="F63" s="12"/>
      <c r="G63" s="12"/>
      <c r="H63" s="24" t="str">
        <f aca="false">IF(OR(B63="",D63="",E63=""),"",IFERROR(IF(AND(D63="Poshmark",E63&lt;Settings!$B$20),Settings!$B$21,(E63+IF(INDEX(Settings!$E$4:$E$11,MATCH($D63,Settings!$A$4:$A$11,0))="Y",N(F63),0))*(INDEX(Settings!$B$4:$B$11,MATCH($D63,Settings!$A$4:$A$11,0))+INDEX(Settings!$D$4:$D$11,MATCH($D63,Settings!$A$4:$A$11,0)))+INDEX(Settings!$C$4:$C$11,MATCH($D63,Settings!$A$4:$A$11,0))),0))</f>
        <v/>
      </c>
      <c r="I63" s="12"/>
      <c r="J63" s="12"/>
      <c r="K63" s="24" t="str">
        <f aca="false">IF($B63="","",IFERROR(INDEX(Inventory!$J$4:$J$503,MATCH($B63,Inventory!$A$4:$A$503,0)),0))</f>
        <v/>
      </c>
      <c r="L63" s="24" t="str">
        <f aca="false">IF(OR(B63="",E63=""),"",E63+N(F63)-N(G63)-N(H63)-N(J63)-N(K63))</f>
        <v/>
      </c>
      <c r="M63" s="28" t="str">
        <f aca="false">IF(OR(L63="",N(K63)=0),"",L63/K63)</f>
        <v/>
      </c>
      <c r="N63" s="25" t="str">
        <f aca="false">IF(OR(A63="",B63=""),"",IFERROR(A63-INDEX(Inventory!$B$4:$B$503,MATCH($B63,Inventory!$A$4:$A$503,0)),""))</f>
        <v/>
      </c>
      <c r="O63" s="27" t="str">
        <f aca="false">IF($B63="","",IFERROR(INDEX(Inventory!$F$4:$F$503,MATCH($B63,Inventory!$A$4:$A$503,0)),""))</f>
        <v/>
      </c>
      <c r="P63" s="27" t="str">
        <f aca="false">IF($B63="","",IFERROR(INDEX(Inventory!$C$4:$C$503,MATCH($B63,Inventory!$A$4:$A$503,0)),""))</f>
        <v/>
      </c>
    </row>
    <row r="64" customFormat="false" ht="15" hidden="false" customHeight="false" outlineLevel="0" collapsed="false">
      <c r="A64" s="19"/>
      <c r="B64" s="10"/>
      <c r="C64" s="23" t="str">
        <f aca="false">IF($B64="","",IFERROR(INDEX(Inventory!$E$4:$E$503,MATCH($B64,Inventory!$A$4:$A$503,0)),"SKU not found"))</f>
        <v/>
      </c>
      <c r="D64" s="10"/>
      <c r="E64" s="12"/>
      <c r="F64" s="12"/>
      <c r="G64" s="12"/>
      <c r="H64" s="24" t="str">
        <f aca="false">IF(OR(B64="",D64="",E64=""),"",IFERROR(IF(AND(D64="Poshmark",E64&lt;Settings!$B$20),Settings!$B$21,(E64+IF(INDEX(Settings!$E$4:$E$11,MATCH($D64,Settings!$A$4:$A$11,0))="Y",N(F64),0))*(INDEX(Settings!$B$4:$B$11,MATCH($D64,Settings!$A$4:$A$11,0))+INDEX(Settings!$D$4:$D$11,MATCH($D64,Settings!$A$4:$A$11,0)))+INDEX(Settings!$C$4:$C$11,MATCH($D64,Settings!$A$4:$A$11,0))),0))</f>
        <v/>
      </c>
      <c r="I64" s="12"/>
      <c r="J64" s="12"/>
      <c r="K64" s="24" t="str">
        <f aca="false">IF($B64="","",IFERROR(INDEX(Inventory!$J$4:$J$503,MATCH($B64,Inventory!$A$4:$A$503,0)),0))</f>
        <v/>
      </c>
      <c r="L64" s="24" t="str">
        <f aca="false">IF(OR(B64="",E64=""),"",E64+N(F64)-N(G64)-N(H64)-N(J64)-N(K64))</f>
        <v/>
      </c>
      <c r="M64" s="28" t="str">
        <f aca="false">IF(OR(L64="",N(K64)=0),"",L64/K64)</f>
        <v/>
      </c>
      <c r="N64" s="25" t="str">
        <f aca="false">IF(OR(A64="",B64=""),"",IFERROR(A64-INDEX(Inventory!$B$4:$B$503,MATCH($B64,Inventory!$A$4:$A$503,0)),""))</f>
        <v/>
      </c>
      <c r="O64" s="27" t="str">
        <f aca="false">IF($B64="","",IFERROR(INDEX(Inventory!$F$4:$F$503,MATCH($B64,Inventory!$A$4:$A$503,0)),""))</f>
        <v/>
      </c>
      <c r="P64" s="27" t="str">
        <f aca="false">IF($B64="","",IFERROR(INDEX(Inventory!$C$4:$C$503,MATCH($B64,Inventory!$A$4:$A$503,0)),""))</f>
        <v/>
      </c>
    </row>
    <row r="65" customFormat="false" ht="15" hidden="false" customHeight="false" outlineLevel="0" collapsed="false">
      <c r="A65" s="19"/>
      <c r="B65" s="10"/>
      <c r="C65" s="23" t="str">
        <f aca="false">IF($B65="","",IFERROR(INDEX(Inventory!$E$4:$E$503,MATCH($B65,Inventory!$A$4:$A$503,0)),"SKU not found"))</f>
        <v/>
      </c>
      <c r="D65" s="10"/>
      <c r="E65" s="12"/>
      <c r="F65" s="12"/>
      <c r="G65" s="12"/>
      <c r="H65" s="24" t="str">
        <f aca="false">IF(OR(B65="",D65="",E65=""),"",IFERROR(IF(AND(D65="Poshmark",E65&lt;Settings!$B$20),Settings!$B$21,(E65+IF(INDEX(Settings!$E$4:$E$11,MATCH($D65,Settings!$A$4:$A$11,0))="Y",N(F65),0))*(INDEX(Settings!$B$4:$B$11,MATCH($D65,Settings!$A$4:$A$11,0))+INDEX(Settings!$D$4:$D$11,MATCH($D65,Settings!$A$4:$A$11,0)))+INDEX(Settings!$C$4:$C$11,MATCH($D65,Settings!$A$4:$A$11,0))),0))</f>
        <v/>
      </c>
      <c r="I65" s="12"/>
      <c r="J65" s="12"/>
      <c r="K65" s="24" t="str">
        <f aca="false">IF($B65="","",IFERROR(INDEX(Inventory!$J$4:$J$503,MATCH($B65,Inventory!$A$4:$A$503,0)),0))</f>
        <v/>
      </c>
      <c r="L65" s="24" t="str">
        <f aca="false">IF(OR(B65="",E65=""),"",E65+N(F65)-N(G65)-N(H65)-N(J65)-N(K65))</f>
        <v/>
      </c>
      <c r="M65" s="28" t="str">
        <f aca="false">IF(OR(L65="",N(K65)=0),"",L65/K65)</f>
        <v/>
      </c>
      <c r="N65" s="25" t="str">
        <f aca="false">IF(OR(A65="",B65=""),"",IFERROR(A65-INDEX(Inventory!$B$4:$B$503,MATCH($B65,Inventory!$A$4:$A$503,0)),""))</f>
        <v/>
      </c>
      <c r="O65" s="27" t="str">
        <f aca="false">IF($B65="","",IFERROR(INDEX(Inventory!$F$4:$F$503,MATCH($B65,Inventory!$A$4:$A$503,0)),""))</f>
        <v/>
      </c>
      <c r="P65" s="27" t="str">
        <f aca="false">IF($B65="","",IFERROR(INDEX(Inventory!$C$4:$C$503,MATCH($B65,Inventory!$A$4:$A$503,0)),""))</f>
        <v/>
      </c>
    </row>
    <row r="66" customFormat="false" ht="15" hidden="false" customHeight="false" outlineLevel="0" collapsed="false">
      <c r="A66" s="19"/>
      <c r="B66" s="10"/>
      <c r="C66" s="23" t="str">
        <f aca="false">IF($B66="","",IFERROR(INDEX(Inventory!$E$4:$E$503,MATCH($B66,Inventory!$A$4:$A$503,0)),"SKU not found"))</f>
        <v/>
      </c>
      <c r="D66" s="10"/>
      <c r="E66" s="12"/>
      <c r="F66" s="12"/>
      <c r="G66" s="12"/>
      <c r="H66" s="24" t="str">
        <f aca="false">IF(OR(B66="",D66="",E66=""),"",IFERROR(IF(AND(D66="Poshmark",E66&lt;Settings!$B$20),Settings!$B$21,(E66+IF(INDEX(Settings!$E$4:$E$11,MATCH($D66,Settings!$A$4:$A$11,0))="Y",N(F66),0))*(INDEX(Settings!$B$4:$B$11,MATCH($D66,Settings!$A$4:$A$11,0))+INDEX(Settings!$D$4:$D$11,MATCH($D66,Settings!$A$4:$A$11,0)))+INDEX(Settings!$C$4:$C$11,MATCH($D66,Settings!$A$4:$A$11,0))),0))</f>
        <v/>
      </c>
      <c r="I66" s="12"/>
      <c r="J66" s="12"/>
      <c r="K66" s="24" t="str">
        <f aca="false">IF($B66="","",IFERROR(INDEX(Inventory!$J$4:$J$503,MATCH($B66,Inventory!$A$4:$A$503,0)),0))</f>
        <v/>
      </c>
      <c r="L66" s="24" t="str">
        <f aca="false">IF(OR(B66="",E66=""),"",E66+N(F66)-N(G66)-N(H66)-N(J66)-N(K66))</f>
        <v/>
      </c>
      <c r="M66" s="28" t="str">
        <f aca="false">IF(OR(L66="",N(K66)=0),"",L66/K66)</f>
        <v/>
      </c>
      <c r="N66" s="25" t="str">
        <f aca="false">IF(OR(A66="",B66=""),"",IFERROR(A66-INDEX(Inventory!$B$4:$B$503,MATCH($B66,Inventory!$A$4:$A$503,0)),""))</f>
        <v/>
      </c>
      <c r="O66" s="27" t="str">
        <f aca="false">IF($B66="","",IFERROR(INDEX(Inventory!$F$4:$F$503,MATCH($B66,Inventory!$A$4:$A$503,0)),""))</f>
        <v/>
      </c>
      <c r="P66" s="27" t="str">
        <f aca="false">IF($B66="","",IFERROR(INDEX(Inventory!$C$4:$C$503,MATCH($B66,Inventory!$A$4:$A$503,0)),""))</f>
        <v/>
      </c>
    </row>
    <row r="67" customFormat="false" ht="15" hidden="false" customHeight="false" outlineLevel="0" collapsed="false">
      <c r="A67" s="19"/>
      <c r="B67" s="10"/>
      <c r="C67" s="23" t="str">
        <f aca="false">IF($B67="","",IFERROR(INDEX(Inventory!$E$4:$E$503,MATCH($B67,Inventory!$A$4:$A$503,0)),"SKU not found"))</f>
        <v/>
      </c>
      <c r="D67" s="10"/>
      <c r="E67" s="12"/>
      <c r="F67" s="12"/>
      <c r="G67" s="12"/>
      <c r="H67" s="24" t="str">
        <f aca="false">IF(OR(B67="",D67="",E67=""),"",IFERROR(IF(AND(D67="Poshmark",E67&lt;Settings!$B$20),Settings!$B$21,(E67+IF(INDEX(Settings!$E$4:$E$11,MATCH($D67,Settings!$A$4:$A$11,0))="Y",N(F67),0))*(INDEX(Settings!$B$4:$B$11,MATCH($D67,Settings!$A$4:$A$11,0))+INDEX(Settings!$D$4:$D$11,MATCH($D67,Settings!$A$4:$A$11,0)))+INDEX(Settings!$C$4:$C$11,MATCH($D67,Settings!$A$4:$A$11,0))),0))</f>
        <v/>
      </c>
      <c r="I67" s="12"/>
      <c r="J67" s="12"/>
      <c r="K67" s="24" t="str">
        <f aca="false">IF($B67="","",IFERROR(INDEX(Inventory!$J$4:$J$503,MATCH($B67,Inventory!$A$4:$A$503,0)),0))</f>
        <v/>
      </c>
      <c r="L67" s="24" t="str">
        <f aca="false">IF(OR(B67="",E67=""),"",E67+N(F67)-N(G67)-N(H67)-N(J67)-N(K67))</f>
        <v/>
      </c>
      <c r="M67" s="28" t="str">
        <f aca="false">IF(OR(L67="",N(K67)=0),"",L67/K67)</f>
        <v/>
      </c>
      <c r="N67" s="25" t="str">
        <f aca="false">IF(OR(A67="",B67=""),"",IFERROR(A67-INDEX(Inventory!$B$4:$B$503,MATCH($B67,Inventory!$A$4:$A$503,0)),""))</f>
        <v/>
      </c>
      <c r="O67" s="27" t="str">
        <f aca="false">IF($B67="","",IFERROR(INDEX(Inventory!$F$4:$F$503,MATCH($B67,Inventory!$A$4:$A$503,0)),""))</f>
        <v/>
      </c>
      <c r="P67" s="27" t="str">
        <f aca="false">IF($B67="","",IFERROR(INDEX(Inventory!$C$4:$C$503,MATCH($B67,Inventory!$A$4:$A$503,0)),""))</f>
        <v/>
      </c>
    </row>
    <row r="68" customFormat="false" ht="15" hidden="false" customHeight="false" outlineLevel="0" collapsed="false">
      <c r="A68" s="19"/>
      <c r="B68" s="10"/>
      <c r="C68" s="23" t="str">
        <f aca="false">IF($B68="","",IFERROR(INDEX(Inventory!$E$4:$E$503,MATCH($B68,Inventory!$A$4:$A$503,0)),"SKU not found"))</f>
        <v/>
      </c>
      <c r="D68" s="10"/>
      <c r="E68" s="12"/>
      <c r="F68" s="12"/>
      <c r="G68" s="12"/>
      <c r="H68" s="24" t="str">
        <f aca="false">IF(OR(B68="",D68="",E68=""),"",IFERROR(IF(AND(D68="Poshmark",E68&lt;Settings!$B$20),Settings!$B$21,(E68+IF(INDEX(Settings!$E$4:$E$11,MATCH($D68,Settings!$A$4:$A$11,0))="Y",N(F68),0))*(INDEX(Settings!$B$4:$B$11,MATCH($D68,Settings!$A$4:$A$11,0))+INDEX(Settings!$D$4:$D$11,MATCH($D68,Settings!$A$4:$A$11,0)))+INDEX(Settings!$C$4:$C$11,MATCH($D68,Settings!$A$4:$A$11,0))),0))</f>
        <v/>
      </c>
      <c r="I68" s="12"/>
      <c r="J68" s="12"/>
      <c r="K68" s="24" t="str">
        <f aca="false">IF($B68="","",IFERROR(INDEX(Inventory!$J$4:$J$503,MATCH($B68,Inventory!$A$4:$A$503,0)),0))</f>
        <v/>
      </c>
      <c r="L68" s="24" t="str">
        <f aca="false">IF(OR(B68="",E68=""),"",E68+N(F68)-N(G68)-N(H68)-N(J68)-N(K68))</f>
        <v/>
      </c>
      <c r="M68" s="28" t="str">
        <f aca="false">IF(OR(L68="",N(K68)=0),"",L68/K68)</f>
        <v/>
      </c>
      <c r="N68" s="25" t="str">
        <f aca="false">IF(OR(A68="",B68=""),"",IFERROR(A68-INDEX(Inventory!$B$4:$B$503,MATCH($B68,Inventory!$A$4:$A$503,0)),""))</f>
        <v/>
      </c>
      <c r="O68" s="27" t="str">
        <f aca="false">IF($B68="","",IFERROR(INDEX(Inventory!$F$4:$F$503,MATCH($B68,Inventory!$A$4:$A$503,0)),""))</f>
        <v/>
      </c>
      <c r="P68" s="27" t="str">
        <f aca="false">IF($B68="","",IFERROR(INDEX(Inventory!$C$4:$C$503,MATCH($B68,Inventory!$A$4:$A$503,0)),""))</f>
        <v/>
      </c>
    </row>
    <row r="69" customFormat="false" ht="15" hidden="false" customHeight="false" outlineLevel="0" collapsed="false">
      <c r="A69" s="19"/>
      <c r="B69" s="10"/>
      <c r="C69" s="23" t="str">
        <f aca="false">IF($B69="","",IFERROR(INDEX(Inventory!$E$4:$E$503,MATCH($B69,Inventory!$A$4:$A$503,0)),"SKU not found"))</f>
        <v/>
      </c>
      <c r="D69" s="10"/>
      <c r="E69" s="12"/>
      <c r="F69" s="12"/>
      <c r="G69" s="12"/>
      <c r="H69" s="24" t="str">
        <f aca="false">IF(OR(B69="",D69="",E69=""),"",IFERROR(IF(AND(D69="Poshmark",E69&lt;Settings!$B$20),Settings!$B$21,(E69+IF(INDEX(Settings!$E$4:$E$11,MATCH($D69,Settings!$A$4:$A$11,0))="Y",N(F69),0))*(INDEX(Settings!$B$4:$B$11,MATCH($D69,Settings!$A$4:$A$11,0))+INDEX(Settings!$D$4:$D$11,MATCH($D69,Settings!$A$4:$A$11,0)))+INDEX(Settings!$C$4:$C$11,MATCH($D69,Settings!$A$4:$A$11,0))),0))</f>
        <v/>
      </c>
      <c r="I69" s="12"/>
      <c r="J69" s="12"/>
      <c r="K69" s="24" t="str">
        <f aca="false">IF($B69="","",IFERROR(INDEX(Inventory!$J$4:$J$503,MATCH($B69,Inventory!$A$4:$A$503,0)),0))</f>
        <v/>
      </c>
      <c r="L69" s="24" t="str">
        <f aca="false">IF(OR(B69="",E69=""),"",E69+N(F69)-N(G69)-N(H69)-N(J69)-N(K69))</f>
        <v/>
      </c>
      <c r="M69" s="28" t="str">
        <f aca="false">IF(OR(L69="",N(K69)=0),"",L69/K69)</f>
        <v/>
      </c>
      <c r="N69" s="25" t="str">
        <f aca="false">IF(OR(A69="",B69=""),"",IFERROR(A69-INDEX(Inventory!$B$4:$B$503,MATCH($B69,Inventory!$A$4:$A$503,0)),""))</f>
        <v/>
      </c>
      <c r="O69" s="27" t="str">
        <f aca="false">IF($B69="","",IFERROR(INDEX(Inventory!$F$4:$F$503,MATCH($B69,Inventory!$A$4:$A$503,0)),""))</f>
        <v/>
      </c>
      <c r="P69" s="27" t="str">
        <f aca="false">IF($B69="","",IFERROR(INDEX(Inventory!$C$4:$C$503,MATCH($B69,Inventory!$A$4:$A$503,0)),""))</f>
        <v/>
      </c>
    </row>
    <row r="70" customFormat="false" ht="15" hidden="false" customHeight="false" outlineLevel="0" collapsed="false">
      <c r="A70" s="19"/>
      <c r="B70" s="10"/>
      <c r="C70" s="23" t="str">
        <f aca="false">IF($B70="","",IFERROR(INDEX(Inventory!$E$4:$E$503,MATCH($B70,Inventory!$A$4:$A$503,0)),"SKU not found"))</f>
        <v/>
      </c>
      <c r="D70" s="10"/>
      <c r="E70" s="12"/>
      <c r="F70" s="12"/>
      <c r="G70" s="12"/>
      <c r="H70" s="24" t="str">
        <f aca="false">IF(OR(B70="",D70="",E70=""),"",IFERROR(IF(AND(D70="Poshmark",E70&lt;Settings!$B$20),Settings!$B$21,(E70+IF(INDEX(Settings!$E$4:$E$11,MATCH($D70,Settings!$A$4:$A$11,0))="Y",N(F70),0))*(INDEX(Settings!$B$4:$B$11,MATCH($D70,Settings!$A$4:$A$11,0))+INDEX(Settings!$D$4:$D$11,MATCH($D70,Settings!$A$4:$A$11,0)))+INDEX(Settings!$C$4:$C$11,MATCH($D70,Settings!$A$4:$A$11,0))),0))</f>
        <v/>
      </c>
      <c r="I70" s="12"/>
      <c r="J70" s="12"/>
      <c r="K70" s="24" t="str">
        <f aca="false">IF($B70="","",IFERROR(INDEX(Inventory!$J$4:$J$503,MATCH($B70,Inventory!$A$4:$A$503,0)),0))</f>
        <v/>
      </c>
      <c r="L70" s="24" t="str">
        <f aca="false">IF(OR(B70="",E70=""),"",E70+N(F70)-N(G70)-N(H70)-N(J70)-N(K70))</f>
        <v/>
      </c>
      <c r="M70" s="28" t="str">
        <f aca="false">IF(OR(L70="",N(K70)=0),"",L70/K70)</f>
        <v/>
      </c>
      <c r="N70" s="25" t="str">
        <f aca="false">IF(OR(A70="",B70=""),"",IFERROR(A70-INDEX(Inventory!$B$4:$B$503,MATCH($B70,Inventory!$A$4:$A$503,0)),""))</f>
        <v/>
      </c>
      <c r="O70" s="27" t="str">
        <f aca="false">IF($B70="","",IFERROR(INDEX(Inventory!$F$4:$F$503,MATCH($B70,Inventory!$A$4:$A$503,0)),""))</f>
        <v/>
      </c>
      <c r="P70" s="27" t="str">
        <f aca="false">IF($B70="","",IFERROR(INDEX(Inventory!$C$4:$C$503,MATCH($B70,Inventory!$A$4:$A$503,0)),""))</f>
        <v/>
      </c>
    </row>
    <row r="71" customFormat="false" ht="15" hidden="false" customHeight="false" outlineLevel="0" collapsed="false">
      <c r="A71" s="19"/>
      <c r="B71" s="10"/>
      <c r="C71" s="23" t="str">
        <f aca="false">IF($B71="","",IFERROR(INDEX(Inventory!$E$4:$E$503,MATCH($B71,Inventory!$A$4:$A$503,0)),"SKU not found"))</f>
        <v/>
      </c>
      <c r="D71" s="10"/>
      <c r="E71" s="12"/>
      <c r="F71" s="12"/>
      <c r="G71" s="12"/>
      <c r="H71" s="24" t="str">
        <f aca="false">IF(OR(B71="",D71="",E71=""),"",IFERROR(IF(AND(D71="Poshmark",E71&lt;Settings!$B$20),Settings!$B$21,(E71+IF(INDEX(Settings!$E$4:$E$11,MATCH($D71,Settings!$A$4:$A$11,0))="Y",N(F71),0))*(INDEX(Settings!$B$4:$B$11,MATCH($D71,Settings!$A$4:$A$11,0))+INDEX(Settings!$D$4:$D$11,MATCH($D71,Settings!$A$4:$A$11,0)))+INDEX(Settings!$C$4:$C$11,MATCH($D71,Settings!$A$4:$A$11,0))),0))</f>
        <v/>
      </c>
      <c r="I71" s="12"/>
      <c r="J71" s="12"/>
      <c r="K71" s="24" t="str">
        <f aca="false">IF($B71="","",IFERROR(INDEX(Inventory!$J$4:$J$503,MATCH($B71,Inventory!$A$4:$A$503,0)),0))</f>
        <v/>
      </c>
      <c r="L71" s="24" t="str">
        <f aca="false">IF(OR(B71="",E71=""),"",E71+N(F71)-N(G71)-N(H71)-N(J71)-N(K71))</f>
        <v/>
      </c>
      <c r="M71" s="28" t="str">
        <f aca="false">IF(OR(L71="",N(K71)=0),"",L71/K71)</f>
        <v/>
      </c>
      <c r="N71" s="25" t="str">
        <f aca="false">IF(OR(A71="",B71=""),"",IFERROR(A71-INDEX(Inventory!$B$4:$B$503,MATCH($B71,Inventory!$A$4:$A$503,0)),""))</f>
        <v/>
      </c>
      <c r="O71" s="27" t="str">
        <f aca="false">IF($B71="","",IFERROR(INDEX(Inventory!$F$4:$F$503,MATCH($B71,Inventory!$A$4:$A$503,0)),""))</f>
        <v/>
      </c>
      <c r="P71" s="27" t="str">
        <f aca="false">IF($B71="","",IFERROR(INDEX(Inventory!$C$4:$C$503,MATCH($B71,Inventory!$A$4:$A$503,0)),""))</f>
        <v/>
      </c>
    </row>
    <row r="72" customFormat="false" ht="15" hidden="false" customHeight="false" outlineLevel="0" collapsed="false">
      <c r="A72" s="19"/>
      <c r="B72" s="10"/>
      <c r="C72" s="23" t="str">
        <f aca="false">IF($B72="","",IFERROR(INDEX(Inventory!$E$4:$E$503,MATCH($B72,Inventory!$A$4:$A$503,0)),"SKU not found"))</f>
        <v/>
      </c>
      <c r="D72" s="10"/>
      <c r="E72" s="12"/>
      <c r="F72" s="12"/>
      <c r="G72" s="12"/>
      <c r="H72" s="24" t="str">
        <f aca="false">IF(OR(B72="",D72="",E72=""),"",IFERROR(IF(AND(D72="Poshmark",E72&lt;Settings!$B$20),Settings!$B$21,(E72+IF(INDEX(Settings!$E$4:$E$11,MATCH($D72,Settings!$A$4:$A$11,0))="Y",N(F72),0))*(INDEX(Settings!$B$4:$B$11,MATCH($D72,Settings!$A$4:$A$11,0))+INDEX(Settings!$D$4:$D$11,MATCH($D72,Settings!$A$4:$A$11,0)))+INDEX(Settings!$C$4:$C$11,MATCH($D72,Settings!$A$4:$A$11,0))),0))</f>
        <v/>
      </c>
      <c r="I72" s="12"/>
      <c r="J72" s="12"/>
      <c r="K72" s="24" t="str">
        <f aca="false">IF($B72="","",IFERROR(INDEX(Inventory!$J$4:$J$503,MATCH($B72,Inventory!$A$4:$A$503,0)),0))</f>
        <v/>
      </c>
      <c r="L72" s="24" t="str">
        <f aca="false">IF(OR(B72="",E72=""),"",E72+N(F72)-N(G72)-N(H72)-N(J72)-N(K72))</f>
        <v/>
      </c>
      <c r="M72" s="28" t="str">
        <f aca="false">IF(OR(L72="",N(K72)=0),"",L72/K72)</f>
        <v/>
      </c>
      <c r="N72" s="25" t="str">
        <f aca="false">IF(OR(A72="",B72=""),"",IFERROR(A72-INDEX(Inventory!$B$4:$B$503,MATCH($B72,Inventory!$A$4:$A$503,0)),""))</f>
        <v/>
      </c>
      <c r="O72" s="27" t="str">
        <f aca="false">IF($B72="","",IFERROR(INDEX(Inventory!$F$4:$F$503,MATCH($B72,Inventory!$A$4:$A$503,0)),""))</f>
        <v/>
      </c>
      <c r="P72" s="27" t="str">
        <f aca="false">IF($B72="","",IFERROR(INDEX(Inventory!$C$4:$C$503,MATCH($B72,Inventory!$A$4:$A$503,0)),""))</f>
        <v/>
      </c>
    </row>
    <row r="73" customFormat="false" ht="15" hidden="false" customHeight="false" outlineLevel="0" collapsed="false">
      <c r="A73" s="19"/>
      <c r="B73" s="10"/>
      <c r="C73" s="23" t="str">
        <f aca="false">IF($B73="","",IFERROR(INDEX(Inventory!$E$4:$E$503,MATCH($B73,Inventory!$A$4:$A$503,0)),"SKU not found"))</f>
        <v/>
      </c>
      <c r="D73" s="10"/>
      <c r="E73" s="12"/>
      <c r="F73" s="12"/>
      <c r="G73" s="12"/>
      <c r="H73" s="24" t="str">
        <f aca="false">IF(OR(B73="",D73="",E73=""),"",IFERROR(IF(AND(D73="Poshmark",E73&lt;Settings!$B$20),Settings!$B$21,(E73+IF(INDEX(Settings!$E$4:$E$11,MATCH($D73,Settings!$A$4:$A$11,0))="Y",N(F73),0))*(INDEX(Settings!$B$4:$B$11,MATCH($D73,Settings!$A$4:$A$11,0))+INDEX(Settings!$D$4:$D$11,MATCH($D73,Settings!$A$4:$A$11,0)))+INDEX(Settings!$C$4:$C$11,MATCH($D73,Settings!$A$4:$A$11,0))),0))</f>
        <v/>
      </c>
      <c r="I73" s="12"/>
      <c r="J73" s="12"/>
      <c r="K73" s="24" t="str">
        <f aca="false">IF($B73="","",IFERROR(INDEX(Inventory!$J$4:$J$503,MATCH($B73,Inventory!$A$4:$A$503,0)),0))</f>
        <v/>
      </c>
      <c r="L73" s="24" t="str">
        <f aca="false">IF(OR(B73="",E73=""),"",E73+N(F73)-N(G73)-N(H73)-N(J73)-N(K73))</f>
        <v/>
      </c>
      <c r="M73" s="28" t="str">
        <f aca="false">IF(OR(L73="",N(K73)=0),"",L73/K73)</f>
        <v/>
      </c>
      <c r="N73" s="25" t="str">
        <f aca="false">IF(OR(A73="",B73=""),"",IFERROR(A73-INDEX(Inventory!$B$4:$B$503,MATCH($B73,Inventory!$A$4:$A$503,0)),""))</f>
        <v/>
      </c>
      <c r="O73" s="27" t="str">
        <f aca="false">IF($B73="","",IFERROR(INDEX(Inventory!$F$4:$F$503,MATCH($B73,Inventory!$A$4:$A$503,0)),""))</f>
        <v/>
      </c>
      <c r="P73" s="27" t="str">
        <f aca="false">IF($B73="","",IFERROR(INDEX(Inventory!$C$4:$C$503,MATCH($B73,Inventory!$A$4:$A$503,0)),""))</f>
        <v/>
      </c>
    </row>
    <row r="74" customFormat="false" ht="15" hidden="false" customHeight="false" outlineLevel="0" collapsed="false">
      <c r="A74" s="19"/>
      <c r="B74" s="10"/>
      <c r="C74" s="23" t="str">
        <f aca="false">IF($B74="","",IFERROR(INDEX(Inventory!$E$4:$E$503,MATCH($B74,Inventory!$A$4:$A$503,0)),"SKU not found"))</f>
        <v/>
      </c>
      <c r="D74" s="10"/>
      <c r="E74" s="12"/>
      <c r="F74" s="12"/>
      <c r="G74" s="12"/>
      <c r="H74" s="24" t="str">
        <f aca="false">IF(OR(B74="",D74="",E74=""),"",IFERROR(IF(AND(D74="Poshmark",E74&lt;Settings!$B$20),Settings!$B$21,(E74+IF(INDEX(Settings!$E$4:$E$11,MATCH($D74,Settings!$A$4:$A$11,0))="Y",N(F74),0))*(INDEX(Settings!$B$4:$B$11,MATCH($D74,Settings!$A$4:$A$11,0))+INDEX(Settings!$D$4:$D$11,MATCH($D74,Settings!$A$4:$A$11,0)))+INDEX(Settings!$C$4:$C$11,MATCH($D74,Settings!$A$4:$A$11,0))),0))</f>
        <v/>
      </c>
      <c r="I74" s="12"/>
      <c r="J74" s="12"/>
      <c r="K74" s="24" t="str">
        <f aca="false">IF($B74="","",IFERROR(INDEX(Inventory!$J$4:$J$503,MATCH($B74,Inventory!$A$4:$A$503,0)),0))</f>
        <v/>
      </c>
      <c r="L74" s="24" t="str">
        <f aca="false">IF(OR(B74="",E74=""),"",E74+N(F74)-N(G74)-N(H74)-N(J74)-N(K74))</f>
        <v/>
      </c>
      <c r="M74" s="28" t="str">
        <f aca="false">IF(OR(L74="",N(K74)=0),"",L74/K74)</f>
        <v/>
      </c>
      <c r="N74" s="25" t="str">
        <f aca="false">IF(OR(A74="",B74=""),"",IFERROR(A74-INDEX(Inventory!$B$4:$B$503,MATCH($B74,Inventory!$A$4:$A$503,0)),""))</f>
        <v/>
      </c>
      <c r="O74" s="27" t="str">
        <f aca="false">IF($B74="","",IFERROR(INDEX(Inventory!$F$4:$F$503,MATCH($B74,Inventory!$A$4:$A$503,0)),""))</f>
        <v/>
      </c>
      <c r="P74" s="27" t="str">
        <f aca="false">IF($B74="","",IFERROR(INDEX(Inventory!$C$4:$C$503,MATCH($B74,Inventory!$A$4:$A$503,0)),""))</f>
        <v/>
      </c>
    </row>
    <row r="75" customFormat="false" ht="15" hidden="false" customHeight="false" outlineLevel="0" collapsed="false">
      <c r="A75" s="19"/>
      <c r="B75" s="10"/>
      <c r="C75" s="23" t="str">
        <f aca="false">IF($B75="","",IFERROR(INDEX(Inventory!$E$4:$E$503,MATCH($B75,Inventory!$A$4:$A$503,0)),"SKU not found"))</f>
        <v/>
      </c>
      <c r="D75" s="10"/>
      <c r="E75" s="12"/>
      <c r="F75" s="12"/>
      <c r="G75" s="12"/>
      <c r="H75" s="24" t="str">
        <f aca="false">IF(OR(B75="",D75="",E75=""),"",IFERROR(IF(AND(D75="Poshmark",E75&lt;Settings!$B$20),Settings!$B$21,(E75+IF(INDEX(Settings!$E$4:$E$11,MATCH($D75,Settings!$A$4:$A$11,0))="Y",N(F75),0))*(INDEX(Settings!$B$4:$B$11,MATCH($D75,Settings!$A$4:$A$11,0))+INDEX(Settings!$D$4:$D$11,MATCH($D75,Settings!$A$4:$A$11,0)))+INDEX(Settings!$C$4:$C$11,MATCH($D75,Settings!$A$4:$A$11,0))),0))</f>
        <v/>
      </c>
      <c r="I75" s="12"/>
      <c r="J75" s="12"/>
      <c r="K75" s="24" t="str">
        <f aca="false">IF($B75="","",IFERROR(INDEX(Inventory!$J$4:$J$503,MATCH($B75,Inventory!$A$4:$A$503,0)),0))</f>
        <v/>
      </c>
      <c r="L75" s="24" t="str">
        <f aca="false">IF(OR(B75="",E75=""),"",E75+N(F75)-N(G75)-N(H75)-N(J75)-N(K75))</f>
        <v/>
      </c>
      <c r="M75" s="28" t="str">
        <f aca="false">IF(OR(L75="",N(K75)=0),"",L75/K75)</f>
        <v/>
      </c>
      <c r="N75" s="25" t="str">
        <f aca="false">IF(OR(A75="",B75=""),"",IFERROR(A75-INDEX(Inventory!$B$4:$B$503,MATCH($B75,Inventory!$A$4:$A$503,0)),""))</f>
        <v/>
      </c>
      <c r="O75" s="27" t="str">
        <f aca="false">IF($B75="","",IFERROR(INDEX(Inventory!$F$4:$F$503,MATCH($B75,Inventory!$A$4:$A$503,0)),""))</f>
        <v/>
      </c>
      <c r="P75" s="27" t="str">
        <f aca="false">IF($B75="","",IFERROR(INDEX(Inventory!$C$4:$C$503,MATCH($B75,Inventory!$A$4:$A$503,0)),""))</f>
        <v/>
      </c>
    </row>
    <row r="76" customFormat="false" ht="15" hidden="false" customHeight="false" outlineLevel="0" collapsed="false">
      <c r="A76" s="19"/>
      <c r="B76" s="10"/>
      <c r="C76" s="23" t="str">
        <f aca="false">IF($B76="","",IFERROR(INDEX(Inventory!$E$4:$E$503,MATCH($B76,Inventory!$A$4:$A$503,0)),"SKU not found"))</f>
        <v/>
      </c>
      <c r="D76" s="10"/>
      <c r="E76" s="12"/>
      <c r="F76" s="12"/>
      <c r="G76" s="12"/>
      <c r="H76" s="24" t="str">
        <f aca="false">IF(OR(B76="",D76="",E76=""),"",IFERROR(IF(AND(D76="Poshmark",E76&lt;Settings!$B$20),Settings!$B$21,(E76+IF(INDEX(Settings!$E$4:$E$11,MATCH($D76,Settings!$A$4:$A$11,0))="Y",N(F76),0))*(INDEX(Settings!$B$4:$B$11,MATCH($D76,Settings!$A$4:$A$11,0))+INDEX(Settings!$D$4:$D$11,MATCH($D76,Settings!$A$4:$A$11,0)))+INDEX(Settings!$C$4:$C$11,MATCH($D76,Settings!$A$4:$A$11,0))),0))</f>
        <v/>
      </c>
      <c r="I76" s="12"/>
      <c r="J76" s="12"/>
      <c r="K76" s="24" t="str">
        <f aca="false">IF($B76="","",IFERROR(INDEX(Inventory!$J$4:$J$503,MATCH($B76,Inventory!$A$4:$A$503,0)),0))</f>
        <v/>
      </c>
      <c r="L76" s="24" t="str">
        <f aca="false">IF(OR(B76="",E76=""),"",E76+N(F76)-N(G76)-N(H76)-N(J76)-N(K76))</f>
        <v/>
      </c>
      <c r="M76" s="28" t="str">
        <f aca="false">IF(OR(L76="",N(K76)=0),"",L76/K76)</f>
        <v/>
      </c>
      <c r="N76" s="25" t="str">
        <f aca="false">IF(OR(A76="",B76=""),"",IFERROR(A76-INDEX(Inventory!$B$4:$B$503,MATCH($B76,Inventory!$A$4:$A$503,0)),""))</f>
        <v/>
      </c>
      <c r="O76" s="27" t="str">
        <f aca="false">IF($B76="","",IFERROR(INDEX(Inventory!$F$4:$F$503,MATCH($B76,Inventory!$A$4:$A$503,0)),""))</f>
        <v/>
      </c>
      <c r="P76" s="27" t="str">
        <f aca="false">IF($B76="","",IFERROR(INDEX(Inventory!$C$4:$C$503,MATCH($B76,Inventory!$A$4:$A$503,0)),""))</f>
        <v/>
      </c>
    </row>
    <row r="77" customFormat="false" ht="15" hidden="false" customHeight="false" outlineLevel="0" collapsed="false">
      <c r="A77" s="19"/>
      <c r="B77" s="10"/>
      <c r="C77" s="23" t="str">
        <f aca="false">IF($B77="","",IFERROR(INDEX(Inventory!$E$4:$E$503,MATCH($B77,Inventory!$A$4:$A$503,0)),"SKU not found"))</f>
        <v/>
      </c>
      <c r="D77" s="10"/>
      <c r="E77" s="12"/>
      <c r="F77" s="12"/>
      <c r="G77" s="12"/>
      <c r="H77" s="24" t="str">
        <f aca="false">IF(OR(B77="",D77="",E77=""),"",IFERROR(IF(AND(D77="Poshmark",E77&lt;Settings!$B$20),Settings!$B$21,(E77+IF(INDEX(Settings!$E$4:$E$11,MATCH($D77,Settings!$A$4:$A$11,0))="Y",N(F77),0))*(INDEX(Settings!$B$4:$B$11,MATCH($D77,Settings!$A$4:$A$11,0))+INDEX(Settings!$D$4:$D$11,MATCH($D77,Settings!$A$4:$A$11,0)))+INDEX(Settings!$C$4:$C$11,MATCH($D77,Settings!$A$4:$A$11,0))),0))</f>
        <v/>
      </c>
      <c r="I77" s="12"/>
      <c r="J77" s="12"/>
      <c r="K77" s="24" t="str">
        <f aca="false">IF($B77="","",IFERROR(INDEX(Inventory!$J$4:$J$503,MATCH($B77,Inventory!$A$4:$A$503,0)),0))</f>
        <v/>
      </c>
      <c r="L77" s="24" t="str">
        <f aca="false">IF(OR(B77="",E77=""),"",E77+N(F77)-N(G77)-N(H77)-N(J77)-N(K77))</f>
        <v/>
      </c>
      <c r="M77" s="28" t="str">
        <f aca="false">IF(OR(L77="",N(K77)=0),"",L77/K77)</f>
        <v/>
      </c>
      <c r="N77" s="25" t="str">
        <f aca="false">IF(OR(A77="",B77=""),"",IFERROR(A77-INDEX(Inventory!$B$4:$B$503,MATCH($B77,Inventory!$A$4:$A$503,0)),""))</f>
        <v/>
      </c>
      <c r="O77" s="27" t="str">
        <f aca="false">IF($B77="","",IFERROR(INDEX(Inventory!$F$4:$F$503,MATCH($B77,Inventory!$A$4:$A$503,0)),""))</f>
        <v/>
      </c>
      <c r="P77" s="27" t="str">
        <f aca="false">IF($B77="","",IFERROR(INDEX(Inventory!$C$4:$C$503,MATCH($B77,Inventory!$A$4:$A$503,0)),""))</f>
        <v/>
      </c>
    </row>
    <row r="78" customFormat="false" ht="15" hidden="false" customHeight="false" outlineLevel="0" collapsed="false">
      <c r="A78" s="19"/>
      <c r="B78" s="10"/>
      <c r="C78" s="23" t="str">
        <f aca="false">IF($B78="","",IFERROR(INDEX(Inventory!$E$4:$E$503,MATCH($B78,Inventory!$A$4:$A$503,0)),"SKU not found"))</f>
        <v/>
      </c>
      <c r="D78" s="10"/>
      <c r="E78" s="12"/>
      <c r="F78" s="12"/>
      <c r="G78" s="12"/>
      <c r="H78" s="24" t="str">
        <f aca="false">IF(OR(B78="",D78="",E78=""),"",IFERROR(IF(AND(D78="Poshmark",E78&lt;Settings!$B$20),Settings!$B$21,(E78+IF(INDEX(Settings!$E$4:$E$11,MATCH($D78,Settings!$A$4:$A$11,0))="Y",N(F78),0))*(INDEX(Settings!$B$4:$B$11,MATCH($D78,Settings!$A$4:$A$11,0))+INDEX(Settings!$D$4:$D$11,MATCH($D78,Settings!$A$4:$A$11,0)))+INDEX(Settings!$C$4:$C$11,MATCH($D78,Settings!$A$4:$A$11,0))),0))</f>
        <v/>
      </c>
      <c r="I78" s="12"/>
      <c r="J78" s="12"/>
      <c r="K78" s="24" t="str">
        <f aca="false">IF($B78="","",IFERROR(INDEX(Inventory!$J$4:$J$503,MATCH($B78,Inventory!$A$4:$A$503,0)),0))</f>
        <v/>
      </c>
      <c r="L78" s="24" t="str">
        <f aca="false">IF(OR(B78="",E78=""),"",E78+N(F78)-N(G78)-N(H78)-N(J78)-N(K78))</f>
        <v/>
      </c>
      <c r="M78" s="28" t="str">
        <f aca="false">IF(OR(L78="",N(K78)=0),"",L78/K78)</f>
        <v/>
      </c>
      <c r="N78" s="25" t="str">
        <f aca="false">IF(OR(A78="",B78=""),"",IFERROR(A78-INDEX(Inventory!$B$4:$B$503,MATCH($B78,Inventory!$A$4:$A$503,0)),""))</f>
        <v/>
      </c>
      <c r="O78" s="27" t="str">
        <f aca="false">IF($B78="","",IFERROR(INDEX(Inventory!$F$4:$F$503,MATCH($B78,Inventory!$A$4:$A$503,0)),""))</f>
        <v/>
      </c>
      <c r="P78" s="27" t="str">
        <f aca="false">IF($B78="","",IFERROR(INDEX(Inventory!$C$4:$C$503,MATCH($B78,Inventory!$A$4:$A$503,0)),""))</f>
        <v/>
      </c>
    </row>
    <row r="79" customFormat="false" ht="15" hidden="false" customHeight="false" outlineLevel="0" collapsed="false">
      <c r="A79" s="19"/>
      <c r="B79" s="10"/>
      <c r="C79" s="23" t="str">
        <f aca="false">IF($B79="","",IFERROR(INDEX(Inventory!$E$4:$E$503,MATCH($B79,Inventory!$A$4:$A$503,0)),"SKU not found"))</f>
        <v/>
      </c>
      <c r="D79" s="10"/>
      <c r="E79" s="12"/>
      <c r="F79" s="12"/>
      <c r="G79" s="12"/>
      <c r="H79" s="24" t="str">
        <f aca="false">IF(OR(B79="",D79="",E79=""),"",IFERROR(IF(AND(D79="Poshmark",E79&lt;Settings!$B$20),Settings!$B$21,(E79+IF(INDEX(Settings!$E$4:$E$11,MATCH($D79,Settings!$A$4:$A$11,0))="Y",N(F79),0))*(INDEX(Settings!$B$4:$B$11,MATCH($D79,Settings!$A$4:$A$11,0))+INDEX(Settings!$D$4:$D$11,MATCH($D79,Settings!$A$4:$A$11,0)))+INDEX(Settings!$C$4:$C$11,MATCH($D79,Settings!$A$4:$A$11,0))),0))</f>
        <v/>
      </c>
      <c r="I79" s="12"/>
      <c r="J79" s="12"/>
      <c r="K79" s="24" t="str">
        <f aca="false">IF($B79="","",IFERROR(INDEX(Inventory!$J$4:$J$503,MATCH($B79,Inventory!$A$4:$A$503,0)),0))</f>
        <v/>
      </c>
      <c r="L79" s="24" t="str">
        <f aca="false">IF(OR(B79="",E79=""),"",E79+N(F79)-N(G79)-N(H79)-N(J79)-N(K79))</f>
        <v/>
      </c>
      <c r="M79" s="28" t="str">
        <f aca="false">IF(OR(L79="",N(K79)=0),"",L79/K79)</f>
        <v/>
      </c>
      <c r="N79" s="25" t="str">
        <f aca="false">IF(OR(A79="",B79=""),"",IFERROR(A79-INDEX(Inventory!$B$4:$B$503,MATCH($B79,Inventory!$A$4:$A$503,0)),""))</f>
        <v/>
      </c>
      <c r="O79" s="27" t="str">
        <f aca="false">IF($B79="","",IFERROR(INDEX(Inventory!$F$4:$F$503,MATCH($B79,Inventory!$A$4:$A$503,0)),""))</f>
        <v/>
      </c>
      <c r="P79" s="27" t="str">
        <f aca="false">IF($B79="","",IFERROR(INDEX(Inventory!$C$4:$C$503,MATCH($B79,Inventory!$A$4:$A$503,0)),""))</f>
        <v/>
      </c>
    </row>
    <row r="80" customFormat="false" ht="15" hidden="false" customHeight="false" outlineLevel="0" collapsed="false">
      <c r="A80" s="19"/>
      <c r="B80" s="10"/>
      <c r="C80" s="23" t="str">
        <f aca="false">IF($B80="","",IFERROR(INDEX(Inventory!$E$4:$E$503,MATCH($B80,Inventory!$A$4:$A$503,0)),"SKU not found"))</f>
        <v/>
      </c>
      <c r="D80" s="10"/>
      <c r="E80" s="12"/>
      <c r="F80" s="12"/>
      <c r="G80" s="12"/>
      <c r="H80" s="24" t="str">
        <f aca="false">IF(OR(B80="",D80="",E80=""),"",IFERROR(IF(AND(D80="Poshmark",E80&lt;Settings!$B$20),Settings!$B$21,(E80+IF(INDEX(Settings!$E$4:$E$11,MATCH($D80,Settings!$A$4:$A$11,0))="Y",N(F80),0))*(INDEX(Settings!$B$4:$B$11,MATCH($D80,Settings!$A$4:$A$11,0))+INDEX(Settings!$D$4:$D$11,MATCH($D80,Settings!$A$4:$A$11,0)))+INDEX(Settings!$C$4:$C$11,MATCH($D80,Settings!$A$4:$A$11,0))),0))</f>
        <v/>
      </c>
      <c r="I80" s="12"/>
      <c r="J80" s="12"/>
      <c r="K80" s="24" t="str">
        <f aca="false">IF($B80="","",IFERROR(INDEX(Inventory!$J$4:$J$503,MATCH($B80,Inventory!$A$4:$A$503,0)),0))</f>
        <v/>
      </c>
      <c r="L80" s="24" t="str">
        <f aca="false">IF(OR(B80="",E80=""),"",E80+N(F80)-N(G80)-N(H80)-N(J80)-N(K80))</f>
        <v/>
      </c>
      <c r="M80" s="28" t="str">
        <f aca="false">IF(OR(L80="",N(K80)=0),"",L80/K80)</f>
        <v/>
      </c>
      <c r="N80" s="25" t="str">
        <f aca="false">IF(OR(A80="",B80=""),"",IFERROR(A80-INDEX(Inventory!$B$4:$B$503,MATCH($B80,Inventory!$A$4:$A$503,0)),""))</f>
        <v/>
      </c>
      <c r="O80" s="27" t="str">
        <f aca="false">IF($B80="","",IFERROR(INDEX(Inventory!$F$4:$F$503,MATCH($B80,Inventory!$A$4:$A$503,0)),""))</f>
        <v/>
      </c>
      <c r="P80" s="27" t="str">
        <f aca="false">IF($B80="","",IFERROR(INDEX(Inventory!$C$4:$C$503,MATCH($B80,Inventory!$A$4:$A$503,0)),""))</f>
        <v/>
      </c>
    </row>
    <row r="81" customFormat="false" ht="15" hidden="false" customHeight="false" outlineLevel="0" collapsed="false">
      <c r="A81" s="19"/>
      <c r="B81" s="10"/>
      <c r="C81" s="23" t="str">
        <f aca="false">IF($B81="","",IFERROR(INDEX(Inventory!$E$4:$E$503,MATCH($B81,Inventory!$A$4:$A$503,0)),"SKU not found"))</f>
        <v/>
      </c>
      <c r="D81" s="10"/>
      <c r="E81" s="12"/>
      <c r="F81" s="12"/>
      <c r="G81" s="12"/>
      <c r="H81" s="24" t="str">
        <f aca="false">IF(OR(B81="",D81="",E81=""),"",IFERROR(IF(AND(D81="Poshmark",E81&lt;Settings!$B$20),Settings!$B$21,(E81+IF(INDEX(Settings!$E$4:$E$11,MATCH($D81,Settings!$A$4:$A$11,0))="Y",N(F81),0))*(INDEX(Settings!$B$4:$B$11,MATCH($D81,Settings!$A$4:$A$11,0))+INDEX(Settings!$D$4:$D$11,MATCH($D81,Settings!$A$4:$A$11,0)))+INDEX(Settings!$C$4:$C$11,MATCH($D81,Settings!$A$4:$A$11,0))),0))</f>
        <v/>
      </c>
      <c r="I81" s="12"/>
      <c r="J81" s="12"/>
      <c r="K81" s="24" t="str">
        <f aca="false">IF($B81="","",IFERROR(INDEX(Inventory!$J$4:$J$503,MATCH($B81,Inventory!$A$4:$A$503,0)),0))</f>
        <v/>
      </c>
      <c r="L81" s="24" t="str">
        <f aca="false">IF(OR(B81="",E81=""),"",E81+N(F81)-N(G81)-N(H81)-N(J81)-N(K81))</f>
        <v/>
      </c>
      <c r="M81" s="28" t="str">
        <f aca="false">IF(OR(L81="",N(K81)=0),"",L81/K81)</f>
        <v/>
      </c>
      <c r="N81" s="25" t="str">
        <f aca="false">IF(OR(A81="",B81=""),"",IFERROR(A81-INDEX(Inventory!$B$4:$B$503,MATCH($B81,Inventory!$A$4:$A$503,0)),""))</f>
        <v/>
      </c>
      <c r="O81" s="27" t="str">
        <f aca="false">IF($B81="","",IFERROR(INDEX(Inventory!$F$4:$F$503,MATCH($B81,Inventory!$A$4:$A$503,0)),""))</f>
        <v/>
      </c>
      <c r="P81" s="27" t="str">
        <f aca="false">IF($B81="","",IFERROR(INDEX(Inventory!$C$4:$C$503,MATCH($B81,Inventory!$A$4:$A$503,0)),""))</f>
        <v/>
      </c>
    </row>
    <row r="82" customFormat="false" ht="15" hidden="false" customHeight="false" outlineLevel="0" collapsed="false">
      <c r="A82" s="19"/>
      <c r="B82" s="10"/>
      <c r="C82" s="23" t="str">
        <f aca="false">IF($B82="","",IFERROR(INDEX(Inventory!$E$4:$E$503,MATCH($B82,Inventory!$A$4:$A$503,0)),"SKU not found"))</f>
        <v/>
      </c>
      <c r="D82" s="10"/>
      <c r="E82" s="12"/>
      <c r="F82" s="12"/>
      <c r="G82" s="12"/>
      <c r="H82" s="24" t="str">
        <f aca="false">IF(OR(B82="",D82="",E82=""),"",IFERROR(IF(AND(D82="Poshmark",E82&lt;Settings!$B$20),Settings!$B$21,(E82+IF(INDEX(Settings!$E$4:$E$11,MATCH($D82,Settings!$A$4:$A$11,0))="Y",N(F82),0))*(INDEX(Settings!$B$4:$B$11,MATCH($D82,Settings!$A$4:$A$11,0))+INDEX(Settings!$D$4:$D$11,MATCH($D82,Settings!$A$4:$A$11,0)))+INDEX(Settings!$C$4:$C$11,MATCH($D82,Settings!$A$4:$A$11,0))),0))</f>
        <v/>
      </c>
      <c r="I82" s="12"/>
      <c r="J82" s="12"/>
      <c r="K82" s="24" t="str">
        <f aca="false">IF($B82="","",IFERROR(INDEX(Inventory!$J$4:$J$503,MATCH($B82,Inventory!$A$4:$A$503,0)),0))</f>
        <v/>
      </c>
      <c r="L82" s="24" t="str">
        <f aca="false">IF(OR(B82="",E82=""),"",E82+N(F82)-N(G82)-N(H82)-N(J82)-N(K82))</f>
        <v/>
      </c>
      <c r="M82" s="28" t="str">
        <f aca="false">IF(OR(L82="",N(K82)=0),"",L82/K82)</f>
        <v/>
      </c>
      <c r="N82" s="25" t="str">
        <f aca="false">IF(OR(A82="",B82=""),"",IFERROR(A82-INDEX(Inventory!$B$4:$B$503,MATCH($B82,Inventory!$A$4:$A$503,0)),""))</f>
        <v/>
      </c>
      <c r="O82" s="27" t="str">
        <f aca="false">IF($B82="","",IFERROR(INDEX(Inventory!$F$4:$F$503,MATCH($B82,Inventory!$A$4:$A$503,0)),""))</f>
        <v/>
      </c>
      <c r="P82" s="27" t="str">
        <f aca="false">IF($B82="","",IFERROR(INDEX(Inventory!$C$4:$C$503,MATCH($B82,Inventory!$A$4:$A$503,0)),""))</f>
        <v/>
      </c>
    </row>
    <row r="83" customFormat="false" ht="15" hidden="false" customHeight="false" outlineLevel="0" collapsed="false">
      <c r="A83" s="19"/>
      <c r="B83" s="10"/>
      <c r="C83" s="23" t="str">
        <f aca="false">IF($B83="","",IFERROR(INDEX(Inventory!$E$4:$E$503,MATCH($B83,Inventory!$A$4:$A$503,0)),"SKU not found"))</f>
        <v/>
      </c>
      <c r="D83" s="10"/>
      <c r="E83" s="12"/>
      <c r="F83" s="12"/>
      <c r="G83" s="12"/>
      <c r="H83" s="24" t="str">
        <f aca="false">IF(OR(B83="",D83="",E83=""),"",IFERROR(IF(AND(D83="Poshmark",E83&lt;Settings!$B$20),Settings!$B$21,(E83+IF(INDEX(Settings!$E$4:$E$11,MATCH($D83,Settings!$A$4:$A$11,0))="Y",N(F83),0))*(INDEX(Settings!$B$4:$B$11,MATCH($D83,Settings!$A$4:$A$11,0))+INDEX(Settings!$D$4:$D$11,MATCH($D83,Settings!$A$4:$A$11,0)))+INDEX(Settings!$C$4:$C$11,MATCH($D83,Settings!$A$4:$A$11,0))),0))</f>
        <v/>
      </c>
      <c r="I83" s="12"/>
      <c r="J83" s="12"/>
      <c r="K83" s="24" t="str">
        <f aca="false">IF($B83="","",IFERROR(INDEX(Inventory!$J$4:$J$503,MATCH($B83,Inventory!$A$4:$A$503,0)),0))</f>
        <v/>
      </c>
      <c r="L83" s="24" t="str">
        <f aca="false">IF(OR(B83="",E83=""),"",E83+N(F83)-N(G83)-N(H83)-N(J83)-N(K83))</f>
        <v/>
      </c>
      <c r="M83" s="28" t="str">
        <f aca="false">IF(OR(L83="",N(K83)=0),"",L83/K83)</f>
        <v/>
      </c>
      <c r="N83" s="25" t="str">
        <f aca="false">IF(OR(A83="",B83=""),"",IFERROR(A83-INDEX(Inventory!$B$4:$B$503,MATCH($B83,Inventory!$A$4:$A$503,0)),""))</f>
        <v/>
      </c>
      <c r="O83" s="27" t="str">
        <f aca="false">IF($B83="","",IFERROR(INDEX(Inventory!$F$4:$F$503,MATCH($B83,Inventory!$A$4:$A$503,0)),""))</f>
        <v/>
      </c>
      <c r="P83" s="27" t="str">
        <f aca="false">IF($B83="","",IFERROR(INDEX(Inventory!$C$4:$C$503,MATCH($B83,Inventory!$A$4:$A$503,0)),""))</f>
        <v/>
      </c>
    </row>
    <row r="84" customFormat="false" ht="15" hidden="false" customHeight="false" outlineLevel="0" collapsed="false">
      <c r="A84" s="19"/>
      <c r="B84" s="10"/>
      <c r="C84" s="23" t="str">
        <f aca="false">IF($B84="","",IFERROR(INDEX(Inventory!$E$4:$E$503,MATCH($B84,Inventory!$A$4:$A$503,0)),"SKU not found"))</f>
        <v/>
      </c>
      <c r="D84" s="10"/>
      <c r="E84" s="12"/>
      <c r="F84" s="12"/>
      <c r="G84" s="12"/>
      <c r="H84" s="24" t="str">
        <f aca="false">IF(OR(B84="",D84="",E84=""),"",IFERROR(IF(AND(D84="Poshmark",E84&lt;Settings!$B$20),Settings!$B$21,(E84+IF(INDEX(Settings!$E$4:$E$11,MATCH($D84,Settings!$A$4:$A$11,0))="Y",N(F84),0))*(INDEX(Settings!$B$4:$B$11,MATCH($D84,Settings!$A$4:$A$11,0))+INDEX(Settings!$D$4:$D$11,MATCH($D84,Settings!$A$4:$A$11,0)))+INDEX(Settings!$C$4:$C$11,MATCH($D84,Settings!$A$4:$A$11,0))),0))</f>
        <v/>
      </c>
      <c r="I84" s="12"/>
      <c r="J84" s="12"/>
      <c r="K84" s="24" t="str">
        <f aca="false">IF($B84="","",IFERROR(INDEX(Inventory!$J$4:$J$503,MATCH($B84,Inventory!$A$4:$A$503,0)),0))</f>
        <v/>
      </c>
      <c r="L84" s="24" t="str">
        <f aca="false">IF(OR(B84="",E84=""),"",E84+N(F84)-N(G84)-N(H84)-N(J84)-N(K84))</f>
        <v/>
      </c>
      <c r="M84" s="28" t="str">
        <f aca="false">IF(OR(L84="",N(K84)=0),"",L84/K84)</f>
        <v/>
      </c>
      <c r="N84" s="25" t="str">
        <f aca="false">IF(OR(A84="",B84=""),"",IFERROR(A84-INDEX(Inventory!$B$4:$B$503,MATCH($B84,Inventory!$A$4:$A$503,0)),""))</f>
        <v/>
      </c>
      <c r="O84" s="27" t="str">
        <f aca="false">IF($B84="","",IFERROR(INDEX(Inventory!$F$4:$F$503,MATCH($B84,Inventory!$A$4:$A$503,0)),""))</f>
        <v/>
      </c>
      <c r="P84" s="27" t="str">
        <f aca="false">IF($B84="","",IFERROR(INDEX(Inventory!$C$4:$C$503,MATCH($B84,Inventory!$A$4:$A$503,0)),""))</f>
        <v/>
      </c>
    </row>
    <row r="85" customFormat="false" ht="15" hidden="false" customHeight="false" outlineLevel="0" collapsed="false">
      <c r="A85" s="19"/>
      <c r="B85" s="10"/>
      <c r="C85" s="23" t="str">
        <f aca="false">IF($B85="","",IFERROR(INDEX(Inventory!$E$4:$E$503,MATCH($B85,Inventory!$A$4:$A$503,0)),"SKU not found"))</f>
        <v/>
      </c>
      <c r="D85" s="10"/>
      <c r="E85" s="12"/>
      <c r="F85" s="12"/>
      <c r="G85" s="12"/>
      <c r="H85" s="24" t="str">
        <f aca="false">IF(OR(B85="",D85="",E85=""),"",IFERROR(IF(AND(D85="Poshmark",E85&lt;Settings!$B$20),Settings!$B$21,(E85+IF(INDEX(Settings!$E$4:$E$11,MATCH($D85,Settings!$A$4:$A$11,0))="Y",N(F85),0))*(INDEX(Settings!$B$4:$B$11,MATCH($D85,Settings!$A$4:$A$11,0))+INDEX(Settings!$D$4:$D$11,MATCH($D85,Settings!$A$4:$A$11,0)))+INDEX(Settings!$C$4:$C$11,MATCH($D85,Settings!$A$4:$A$11,0))),0))</f>
        <v/>
      </c>
      <c r="I85" s="12"/>
      <c r="J85" s="12"/>
      <c r="K85" s="24" t="str">
        <f aca="false">IF($B85="","",IFERROR(INDEX(Inventory!$J$4:$J$503,MATCH($B85,Inventory!$A$4:$A$503,0)),0))</f>
        <v/>
      </c>
      <c r="L85" s="24" t="str">
        <f aca="false">IF(OR(B85="",E85=""),"",E85+N(F85)-N(G85)-N(H85)-N(J85)-N(K85))</f>
        <v/>
      </c>
      <c r="M85" s="28" t="str">
        <f aca="false">IF(OR(L85="",N(K85)=0),"",L85/K85)</f>
        <v/>
      </c>
      <c r="N85" s="25" t="str">
        <f aca="false">IF(OR(A85="",B85=""),"",IFERROR(A85-INDEX(Inventory!$B$4:$B$503,MATCH($B85,Inventory!$A$4:$A$503,0)),""))</f>
        <v/>
      </c>
      <c r="O85" s="27" t="str">
        <f aca="false">IF($B85="","",IFERROR(INDEX(Inventory!$F$4:$F$503,MATCH($B85,Inventory!$A$4:$A$503,0)),""))</f>
        <v/>
      </c>
      <c r="P85" s="27" t="str">
        <f aca="false">IF($B85="","",IFERROR(INDEX(Inventory!$C$4:$C$503,MATCH($B85,Inventory!$A$4:$A$503,0)),""))</f>
        <v/>
      </c>
    </row>
    <row r="86" customFormat="false" ht="15" hidden="false" customHeight="false" outlineLevel="0" collapsed="false">
      <c r="A86" s="19"/>
      <c r="B86" s="10"/>
      <c r="C86" s="23" t="str">
        <f aca="false">IF($B86="","",IFERROR(INDEX(Inventory!$E$4:$E$503,MATCH($B86,Inventory!$A$4:$A$503,0)),"SKU not found"))</f>
        <v/>
      </c>
      <c r="D86" s="10"/>
      <c r="E86" s="12"/>
      <c r="F86" s="12"/>
      <c r="G86" s="12"/>
      <c r="H86" s="24" t="str">
        <f aca="false">IF(OR(B86="",D86="",E86=""),"",IFERROR(IF(AND(D86="Poshmark",E86&lt;Settings!$B$20),Settings!$B$21,(E86+IF(INDEX(Settings!$E$4:$E$11,MATCH($D86,Settings!$A$4:$A$11,0))="Y",N(F86),0))*(INDEX(Settings!$B$4:$B$11,MATCH($D86,Settings!$A$4:$A$11,0))+INDEX(Settings!$D$4:$D$11,MATCH($D86,Settings!$A$4:$A$11,0)))+INDEX(Settings!$C$4:$C$11,MATCH($D86,Settings!$A$4:$A$11,0))),0))</f>
        <v/>
      </c>
      <c r="I86" s="12"/>
      <c r="J86" s="12"/>
      <c r="K86" s="24" t="str">
        <f aca="false">IF($B86="","",IFERROR(INDEX(Inventory!$J$4:$J$503,MATCH($B86,Inventory!$A$4:$A$503,0)),0))</f>
        <v/>
      </c>
      <c r="L86" s="24" t="str">
        <f aca="false">IF(OR(B86="",E86=""),"",E86+N(F86)-N(G86)-N(H86)-N(J86)-N(K86))</f>
        <v/>
      </c>
      <c r="M86" s="28" t="str">
        <f aca="false">IF(OR(L86="",N(K86)=0),"",L86/K86)</f>
        <v/>
      </c>
      <c r="N86" s="25" t="str">
        <f aca="false">IF(OR(A86="",B86=""),"",IFERROR(A86-INDEX(Inventory!$B$4:$B$503,MATCH($B86,Inventory!$A$4:$A$503,0)),""))</f>
        <v/>
      </c>
      <c r="O86" s="27" t="str">
        <f aca="false">IF($B86="","",IFERROR(INDEX(Inventory!$F$4:$F$503,MATCH($B86,Inventory!$A$4:$A$503,0)),""))</f>
        <v/>
      </c>
      <c r="P86" s="27" t="str">
        <f aca="false">IF($B86="","",IFERROR(INDEX(Inventory!$C$4:$C$503,MATCH($B86,Inventory!$A$4:$A$503,0)),""))</f>
        <v/>
      </c>
    </row>
    <row r="87" customFormat="false" ht="15" hidden="false" customHeight="false" outlineLevel="0" collapsed="false">
      <c r="A87" s="19"/>
      <c r="B87" s="10"/>
      <c r="C87" s="23" t="str">
        <f aca="false">IF($B87="","",IFERROR(INDEX(Inventory!$E$4:$E$503,MATCH($B87,Inventory!$A$4:$A$503,0)),"SKU not found"))</f>
        <v/>
      </c>
      <c r="D87" s="10"/>
      <c r="E87" s="12"/>
      <c r="F87" s="12"/>
      <c r="G87" s="12"/>
      <c r="H87" s="24" t="str">
        <f aca="false">IF(OR(B87="",D87="",E87=""),"",IFERROR(IF(AND(D87="Poshmark",E87&lt;Settings!$B$20),Settings!$B$21,(E87+IF(INDEX(Settings!$E$4:$E$11,MATCH($D87,Settings!$A$4:$A$11,0))="Y",N(F87),0))*(INDEX(Settings!$B$4:$B$11,MATCH($D87,Settings!$A$4:$A$11,0))+INDEX(Settings!$D$4:$D$11,MATCH($D87,Settings!$A$4:$A$11,0)))+INDEX(Settings!$C$4:$C$11,MATCH($D87,Settings!$A$4:$A$11,0))),0))</f>
        <v/>
      </c>
      <c r="I87" s="12"/>
      <c r="J87" s="12"/>
      <c r="K87" s="24" t="str">
        <f aca="false">IF($B87="","",IFERROR(INDEX(Inventory!$J$4:$J$503,MATCH($B87,Inventory!$A$4:$A$503,0)),0))</f>
        <v/>
      </c>
      <c r="L87" s="24" t="str">
        <f aca="false">IF(OR(B87="",E87=""),"",E87+N(F87)-N(G87)-N(H87)-N(J87)-N(K87))</f>
        <v/>
      </c>
      <c r="M87" s="28" t="str">
        <f aca="false">IF(OR(L87="",N(K87)=0),"",L87/K87)</f>
        <v/>
      </c>
      <c r="N87" s="25" t="str">
        <f aca="false">IF(OR(A87="",B87=""),"",IFERROR(A87-INDEX(Inventory!$B$4:$B$503,MATCH($B87,Inventory!$A$4:$A$503,0)),""))</f>
        <v/>
      </c>
      <c r="O87" s="27" t="str">
        <f aca="false">IF($B87="","",IFERROR(INDEX(Inventory!$F$4:$F$503,MATCH($B87,Inventory!$A$4:$A$503,0)),""))</f>
        <v/>
      </c>
      <c r="P87" s="27" t="str">
        <f aca="false">IF($B87="","",IFERROR(INDEX(Inventory!$C$4:$C$503,MATCH($B87,Inventory!$A$4:$A$503,0)),""))</f>
        <v/>
      </c>
    </row>
    <row r="88" customFormat="false" ht="15" hidden="false" customHeight="false" outlineLevel="0" collapsed="false">
      <c r="A88" s="19"/>
      <c r="B88" s="10"/>
      <c r="C88" s="23" t="str">
        <f aca="false">IF($B88="","",IFERROR(INDEX(Inventory!$E$4:$E$503,MATCH($B88,Inventory!$A$4:$A$503,0)),"SKU not found"))</f>
        <v/>
      </c>
      <c r="D88" s="10"/>
      <c r="E88" s="12"/>
      <c r="F88" s="12"/>
      <c r="G88" s="12"/>
      <c r="H88" s="24" t="str">
        <f aca="false">IF(OR(B88="",D88="",E88=""),"",IFERROR(IF(AND(D88="Poshmark",E88&lt;Settings!$B$20),Settings!$B$21,(E88+IF(INDEX(Settings!$E$4:$E$11,MATCH($D88,Settings!$A$4:$A$11,0))="Y",N(F88),0))*(INDEX(Settings!$B$4:$B$11,MATCH($D88,Settings!$A$4:$A$11,0))+INDEX(Settings!$D$4:$D$11,MATCH($D88,Settings!$A$4:$A$11,0)))+INDEX(Settings!$C$4:$C$11,MATCH($D88,Settings!$A$4:$A$11,0))),0))</f>
        <v/>
      </c>
      <c r="I88" s="12"/>
      <c r="J88" s="12"/>
      <c r="K88" s="24" t="str">
        <f aca="false">IF($B88="","",IFERROR(INDEX(Inventory!$J$4:$J$503,MATCH($B88,Inventory!$A$4:$A$503,0)),0))</f>
        <v/>
      </c>
      <c r="L88" s="24" t="str">
        <f aca="false">IF(OR(B88="",E88=""),"",E88+N(F88)-N(G88)-N(H88)-N(J88)-N(K88))</f>
        <v/>
      </c>
      <c r="M88" s="28" t="str">
        <f aca="false">IF(OR(L88="",N(K88)=0),"",L88/K88)</f>
        <v/>
      </c>
      <c r="N88" s="25" t="str">
        <f aca="false">IF(OR(A88="",B88=""),"",IFERROR(A88-INDEX(Inventory!$B$4:$B$503,MATCH($B88,Inventory!$A$4:$A$503,0)),""))</f>
        <v/>
      </c>
      <c r="O88" s="27" t="str">
        <f aca="false">IF($B88="","",IFERROR(INDEX(Inventory!$F$4:$F$503,MATCH($B88,Inventory!$A$4:$A$503,0)),""))</f>
        <v/>
      </c>
      <c r="P88" s="27" t="str">
        <f aca="false">IF($B88="","",IFERROR(INDEX(Inventory!$C$4:$C$503,MATCH($B88,Inventory!$A$4:$A$503,0)),""))</f>
        <v/>
      </c>
    </row>
    <row r="89" customFormat="false" ht="15" hidden="false" customHeight="false" outlineLevel="0" collapsed="false">
      <c r="A89" s="19"/>
      <c r="B89" s="10"/>
      <c r="C89" s="23" t="str">
        <f aca="false">IF($B89="","",IFERROR(INDEX(Inventory!$E$4:$E$503,MATCH($B89,Inventory!$A$4:$A$503,0)),"SKU not found"))</f>
        <v/>
      </c>
      <c r="D89" s="10"/>
      <c r="E89" s="12"/>
      <c r="F89" s="12"/>
      <c r="G89" s="12"/>
      <c r="H89" s="24" t="str">
        <f aca="false">IF(OR(B89="",D89="",E89=""),"",IFERROR(IF(AND(D89="Poshmark",E89&lt;Settings!$B$20),Settings!$B$21,(E89+IF(INDEX(Settings!$E$4:$E$11,MATCH($D89,Settings!$A$4:$A$11,0))="Y",N(F89),0))*(INDEX(Settings!$B$4:$B$11,MATCH($D89,Settings!$A$4:$A$11,0))+INDEX(Settings!$D$4:$D$11,MATCH($D89,Settings!$A$4:$A$11,0)))+INDEX(Settings!$C$4:$C$11,MATCH($D89,Settings!$A$4:$A$11,0))),0))</f>
        <v/>
      </c>
      <c r="I89" s="12"/>
      <c r="J89" s="12"/>
      <c r="K89" s="24" t="str">
        <f aca="false">IF($B89="","",IFERROR(INDEX(Inventory!$J$4:$J$503,MATCH($B89,Inventory!$A$4:$A$503,0)),0))</f>
        <v/>
      </c>
      <c r="L89" s="24" t="str">
        <f aca="false">IF(OR(B89="",E89=""),"",E89+N(F89)-N(G89)-N(H89)-N(J89)-N(K89))</f>
        <v/>
      </c>
      <c r="M89" s="28" t="str">
        <f aca="false">IF(OR(L89="",N(K89)=0),"",L89/K89)</f>
        <v/>
      </c>
      <c r="N89" s="25" t="str">
        <f aca="false">IF(OR(A89="",B89=""),"",IFERROR(A89-INDEX(Inventory!$B$4:$B$503,MATCH($B89,Inventory!$A$4:$A$503,0)),""))</f>
        <v/>
      </c>
      <c r="O89" s="27" t="str">
        <f aca="false">IF($B89="","",IFERROR(INDEX(Inventory!$F$4:$F$503,MATCH($B89,Inventory!$A$4:$A$503,0)),""))</f>
        <v/>
      </c>
      <c r="P89" s="27" t="str">
        <f aca="false">IF($B89="","",IFERROR(INDEX(Inventory!$C$4:$C$503,MATCH($B89,Inventory!$A$4:$A$503,0)),""))</f>
        <v/>
      </c>
    </row>
    <row r="90" customFormat="false" ht="15" hidden="false" customHeight="false" outlineLevel="0" collapsed="false">
      <c r="A90" s="19"/>
      <c r="B90" s="10"/>
      <c r="C90" s="23" t="str">
        <f aca="false">IF($B90="","",IFERROR(INDEX(Inventory!$E$4:$E$503,MATCH($B90,Inventory!$A$4:$A$503,0)),"SKU not found"))</f>
        <v/>
      </c>
      <c r="D90" s="10"/>
      <c r="E90" s="12"/>
      <c r="F90" s="12"/>
      <c r="G90" s="12"/>
      <c r="H90" s="24" t="str">
        <f aca="false">IF(OR(B90="",D90="",E90=""),"",IFERROR(IF(AND(D90="Poshmark",E90&lt;Settings!$B$20),Settings!$B$21,(E90+IF(INDEX(Settings!$E$4:$E$11,MATCH($D90,Settings!$A$4:$A$11,0))="Y",N(F90),0))*(INDEX(Settings!$B$4:$B$11,MATCH($D90,Settings!$A$4:$A$11,0))+INDEX(Settings!$D$4:$D$11,MATCH($D90,Settings!$A$4:$A$11,0)))+INDEX(Settings!$C$4:$C$11,MATCH($D90,Settings!$A$4:$A$11,0))),0))</f>
        <v/>
      </c>
      <c r="I90" s="12"/>
      <c r="J90" s="12"/>
      <c r="K90" s="24" t="str">
        <f aca="false">IF($B90="","",IFERROR(INDEX(Inventory!$J$4:$J$503,MATCH($B90,Inventory!$A$4:$A$503,0)),0))</f>
        <v/>
      </c>
      <c r="L90" s="24" t="str">
        <f aca="false">IF(OR(B90="",E90=""),"",E90+N(F90)-N(G90)-N(H90)-N(J90)-N(K90))</f>
        <v/>
      </c>
      <c r="M90" s="28" t="str">
        <f aca="false">IF(OR(L90="",N(K90)=0),"",L90/K90)</f>
        <v/>
      </c>
      <c r="N90" s="25" t="str">
        <f aca="false">IF(OR(A90="",B90=""),"",IFERROR(A90-INDEX(Inventory!$B$4:$B$503,MATCH($B90,Inventory!$A$4:$A$503,0)),""))</f>
        <v/>
      </c>
      <c r="O90" s="27" t="str">
        <f aca="false">IF($B90="","",IFERROR(INDEX(Inventory!$F$4:$F$503,MATCH($B90,Inventory!$A$4:$A$503,0)),""))</f>
        <v/>
      </c>
      <c r="P90" s="27" t="str">
        <f aca="false">IF($B90="","",IFERROR(INDEX(Inventory!$C$4:$C$503,MATCH($B90,Inventory!$A$4:$A$503,0)),""))</f>
        <v/>
      </c>
    </row>
    <row r="91" customFormat="false" ht="15" hidden="false" customHeight="false" outlineLevel="0" collapsed="false">
      <c r="A91" s="19"/>
      <c r="B91" s="10"/>
      <c r="C91" s="23" t="str">
        <f aca="false">IF($B91="","",IFERROR(INDEX(Inventory!$E$4:$E$503,MATCH($B91,Inventory!$A$4:$A$503,0)),"SKU not found"))</f>
        <v/>
      </c>
      <c r="D91" s="10"/>
      <c r="E91" s="12"/>
      <c r="F91" s="12"/>
      <c r="G91" s="12"/>
      <c r="H91" s="24" t="str">
        <f aca="false">IF(OR(B91="",D91="",E91=""),"",IFERROR(IF(AND(D91="Poshmark",E91&lt;Settings!$B$20),Settings!$B$21,(E91+IF(INDEX(Settings!$E$4:$E$11,MATCH($D91,Settings!$A$4:$A$11,0))="Y",N(F91),0))*(INDEX(Settings!$B$4:$B$11,MATCH($D91,Settings!$A$4:$A$11,0))+INDEX(Settings!$D$4:$D$11,MATCH($D91,Settings!$A$4:$A$11,0)))+INDEX(Settings!$C$4:$C$11,MATCH($D91,Settings!$A$4:$A$11,0))),0))</f>
        <v/>
      </c>
      <c r="I91" s="12"/>
      <c r="J91" s="12"/>
      <c r="K91" s="24" t="str">
        <f aca="false">IF($B91="","",IFERROR(INDEX(Inventory!$J$4:$J$503,MATCH($B91,Inventory!$A$4:$A$503,0)),0))</f>
        <v/>
      </c>
      <c r="L91" s="24" t="str">
        <f aca="false">IF(OR(B91="",E91=""),"",E91+N(F91)-N(G91)-N(H91)-N(J91)-N(K91))</f>
        <v/>
      </c>
      <c r="M91" s="28" t="str">
        <f aca="false">IF(OR(L91="",N(K91)=0),"",L91/K91)</f>
        <v/>
      </c>
      <c r="N91" s="25" t="str">
        <f aca="false">IF(OR(A91="",B91=""),"",IFERROR(A91-INDEX(Inventory!$B$4:$B$503,MATCH($B91,Inventory!$A$4:$A$503,0)),""))</f>
        <v/>
      </c>
      <c r="O91" s="27" t="str">
        <f aca="false">IF($B91="","",IFERROR(INDEX(Inventory!$F$4:$F$503,MATCH($B91,Inventory!$A$4:$A$503,0)),""))</f>
        <v/>
      </c>
      <c r="P91" s="27" t="str">
        <f aca="false">IF($B91="","",IFERROR(INDEX(Inventory!$C$4:$C$503,MATCH($B91,Inventory!$A$4:$A$503,0)),""))</f>
        <v/>
      </c>
    </row>
    <row r="92" customFormat="false" ht="15" hidden="false" customHeight="false" outlineLevel="0" collapsed="false">
      <c r="A92" s="19"/>
      <c r="B92" s="10"/>
      <c r="C92" s="23" t="str">
        <f aca="false">IF($B92="","",IFERROR(INDEX(Inventory!$E$4:$E$503,MATCH($B92,Inventory!$A$4:$A$503,0)),"SKU not found"))</f>
        <v/>
      </c>
      <c r="D92" s="10"/>
      <c r="E92" s="12"/>
      <c r="F92" s="12"/>
      <c r="G92" s="12"/>
      <c r="H92" s="24" t="str">
        <f aca="false">IF(OR(B92="",D92="",E92=""),"",IFERROR(IF(AND(D92="Poshmark",E92&lt;Settings!$B$20),Settings!$B$21,(E92+IF(INDEX(Settings!$E$4:$E$11,MATCH($D92,Settings!$A$4:$A$11,0))="Y",N(F92),0))*(INDEX(Settings!$B$4:$B$11,MATCH($D92,Settings!$A$4:$A$11,0))+INDEX(Settings!$D$4:$D$11,MATCH($D92,Settings!$A$4:$A$11,0)))+INDEX(Settings!$C$4:$C$11,MATCH($D92,Settings!$A$4:$A$11,0))),0))</f>
        <v/>
      </c>
      <c r="I92" s="12"/>
      <c r="J92" s="12"/>
      <c r="K92" s="24" t="str">
        <f aca="false">IF($B92="","",IFERROR(INDEX(Inventory!$J$4:$J$503,MATCH($B92,Inventory!$A$4:$A$503,0)),0))</f>
        <v/>
      </c>
      <c r="L92" s="24" t="str">
        <f aca="false">IF(OR(B92="",E92=""),"",E92+N(F92)-N(G92)-N(H92)-N(J92)-N(K92))</f>
        <v/>
      </c>
      <c r="M92" s="28" t="str">
        <f aca="false">IF(OR(L92="",N(K92)=0),"",L92/K92)</f>
        <v/>
      </c>
      <c r="N92" s="25" t="str">
        <f aca="false">IF(OR(A92="",B92=""),"",IFERROR(A92-INDEX(Inventory!$B$4:$B$503,MATCH($B92,Inventory!$A$4:$A$503,0)),""))</f>
        <v/>
      </c>
      <c r="O92" s="27" t="str">
        <f aca="false">IF($B92="","",IFERROR(INDEX(Inventory!$F$4:$F$503,MATCH($B92,Inventory!$A$4:$A$503,0)),""))</f>
        <v/>
      </c>
      <c r="P92" s="27" t="str">
        <f aca="false">IF($B92="","",IFERROR(INDEX(Inventory!$C$4:$C$503,MATCH($B92,Inventory!$A$4:$A$503,0)),""))</f>
        <v/>
      </c>
    </row>
    <row r="93" customFormat="false" ht="15" hidden="false" customHeight="false" outlineLevel="0" collapsed="false">
      <c r="A93" s="19"/>
      <c r="B93" s="10"/>
      <c r="C93" s="23" t="str">
        <f aca="false">IF($B93="","",IFERROR(INDEX(Inventory!$E$4:$E$503,MATCH($B93,Inventory!$A$4:$A$503,0)),"SKU not found"))</f>
        <v/>
      </c>
      <c r="D93" s="10"/>
      <c r="E93" s="12"/>
      <c r="F93" s="12"/>
      <c r="G93" s="12"/>
      <c r="H93" s="24" t="str">
        <f aca="false">IF(OR(B93="",D93="",E93=""),"",IFERROR(IF(AND(D93="Poshmark",E93&lt;Settings!$B$20),Settings!$B$21,(E93+IF(INDEX(Settings!$E$4:$E$11,MATCH($D93,Settings!$A$4:$A$11,0))="Y",N(F93),0))*(INDEX(Settings!$B$4:$B$11,MATCH($D93,Settings!$A$4:$A$11,0))+INDEX(Settings!$D$4:$D$11,MATCH($D93,Settings!$A$4:$A$11,0)))+INDEX(Settings!$C$4:$C$11,MATCH($D93,Settings!$A$4:$A$11,0))),0))</f>
        <v/>
      </c>
      <c r="I93" s="12"/>
      <c r="J93" s="12"/>
      <c r="K93" s="24" t="str">
        <f aca="false">IF($B93="","",IFERROR(INDEX(Inventory!$J$4:$J$503,MATCH($B93,Inventory!$A$4:$A$503,0)),0))</f>
        <v/>
      </c>
      <c r="L93" s="24" t="str">
        <f aca="false">IF(OR(B93="",E93=""),"",E93+N(F93)-N(G93)-N(H93)-N(J93)-N(K93))</f>
        <v/>
      </c>
      <c r="M93" s="28" t="str">
        <f aca="false">IF(OR(L93="",N(K93)=0),"",L93/K93)</f>
        <v/>
      </c>
      <c r="N93" s="25" t="str">
        <f aca="false">IF(OR(A93="",B93=""),"",IFERROR(A93-INDEX(Inventory!$B$4:$B$503,MATCH($B93,Inventory!$A$4:$A$503,0)),""))</f>
        <v/>
      </c>
      <c r="O93" s="27" t="str">
        <f aca="false">IF($B93="","",IFERROR(INDEX(Inventory!$F$4:$F$503,MATCH($B93,Inventory!$A$4:$A$503,0)),""))</f>
        <v/>
      </c>
      <c r="P93" s="27" t="str">
        <f aca="false">IF($B93="","",IFERROR(INDEX(Inventory!$C$4:$C$503,MATCH($B93,Inventory!$A$4:$A$503,0)),""))</f>
        <v/>
      </c>
    </row>
    <row r="94" customFormat="false" ht="15" hidden="false" customHeight="false" outlineLevel="0" collapsed="false">
      <c r="A94" s="19"/>
      <c r="B94" s="10"/>
      <c r="C94" s="23" t="str">
        <f aca="false">IF($B94="","",IFERROR(INDEX(Inventory!$E$4:$E$503,MATCH($B94,Inventory!$A$4:$A$503,0)),"SKU not found"))</f>
        <v/>
      </c>
      <c r="D94" s="10"/>
      <c r="E94" s="12"/>
      <c r="F94" s="12"/>
      <c r="G94" s="12"/>
      <c r="H94" s="24" t="str">
        <f aca="false">IF(OR(B94="",D94="",E94=""),"",IFERROR(IF(AND(D94="Poshmark",E94&lt;Settings!$B$20),Settings!$B$21,(E94+IF(INDEX(Settings!$E$4:$E$11,MATCH($D94,Settings!$A$4:$A$11,0))="Y",N(F94),0))*(INDEX(Settings!$B$4:$B$11,MATCH($D94,Settings!$A$4:$A$11,0))+INDEX(Settings!$D$4:$D$11,MATCH($D94,Settings!$A$4:$A$11,0)))+INDEX(Settings!$C$4:$C$11,MATCH($D94,Settings!$A$4:$A$11,0))),0))</f>
        <v/>
      </c>
      <c r="I94" s="12"/>
      <c r="J94" s="12"/>
      <c r="K94" s="24" t="str">
        <f aca="false">IF($B94="","",IFERROR(INDEX(Inventory!$J$4:$J$503,MATCH($B94,Inventory!$A$4:$A$503,0)),0))</f>
        <v/>
      </c>
      <c r="L94" s="24" t="str">
        <f aca="false">IF(OR(B94="",E94=""),"",E94+N(F94)-N(G94)-N(H94)-N(J94)-N(K94))</f>
        <v/>
      </c>
      <c r="M94" s="28" t="str">
        <f aca="false">IF(OR(L94="",N(K94)=0),"",L94/K94)</f>
        <v/>
      </c>
      <c r="N94" s="25" t="str">
        <f aca="false">IF(OR(A94="",B94=""),"",IFERROR(A94-INDEX(Inventory!$B$4:$B$503,MATCH($B94,Inventory!$A$4:$A$503,0)),""))</f>
        <v/>
      </c>
      <c r="O94" s="27" t="str">
        <f aca="false">IF($B94="","",IFERROR(INDEX(Inventory!$F$4:$F$503,MATCH($B94,Inventory!$A$4:$A$503,0)),""))</f>
        <v/>
      </c>
      <c r="P94" s="27" t="str">
        <f aca="false">IF($B94="","",IFERROR(INDEX(Inventory!$C$4:$C$503,MATCH($B94,Inventory!$A$4:$A$503,0)),""))</f>
        <v/>
      </c>
    </row>
    <row r="95" customFormat="false" ht="15" hidden="false" customHeight="false" outlineLevel="0" collapsed="false">
      <c r="A95" s="19"/>
      <c r="B95" s="10"/>
      <c r="C95" s="23" t="str">
        <f aca="false">IF($B95="","",IFERROR(INDEX(Inventory!$E$4:$E$503,MATCH($B95,Inventory!$A$4:$A$503,0)),"SKU not found"))</f>
        <v/>
      </c>
      <c r="D95" s="10"/>
      <c r="E95" s="12"/>
      <c r="F95" s="12"/>
      <c r="G95" s="12"/>
      <c r="H95" s="24" t="str">
        <f aca="false">IF(OR(B95="",D95="",E95=""),"",IFERROR(IF(AND(D95="Poshmark",E95&lt;Settings!$B$20),Settings!$B$21,(E95+IF(INDEX(Settings!$E$4:$E$11,MATCH($D95,Settings!$A$4:$A$11,0))="Y",N(F95),0))*(INDEX(Settings!$B$4:$B$11,MATCH($D95,Settings!$A$4:$A$11,0))+INDEX(Settings!$D$4:$D$11,MATCH($D95,Settings!$A$4:$A$11,0)))+INDEX(Settings!$C$4:$C$11,MATCH($D95,Settings!$A$4:$A$11,0))),0))</f>
        <v/>
      </c>
      <c r="I95" s="12"/>
      <c r="J95" s="12"/>
      <c r="K95" s="24" t="str">
        <f aca="false">IF($B95="","",IFERROR(INDEX(Inventory!$J$4:$J$503,MATCH($B95,Inventory!$A$4:$A$503,0)),0))</f>
        <v/>
      </c>
      <c r="L95" s="24" t="str">
        <f aca="false">IF(OR(B95="",E95=""),"",E95+N(F95)-N(G95)-N(H95)-N(J95)-N(K95))</f>
        <v/>
      </c>
      <c r="M95" s="28" t="str">
        <f aca="false">IF(OR(L95="",N(K95)=0),"",L95/K95)</f>
        <v/>
      </c>
      <c r="N95" s="25" t="str">
        <f aca="false">IF(OR(A95="",B95=""),"",IFERROR(A95-INDEX(Inventory!$B$4:$B$503,MATCH($B95,Inventory!$A$4:$A$503,0)),""))</f>
        <v/>
      </c>
      <c r="O95" s="27" t="str">
        <f aca="false">IF($B95="","",IFERROR(INDEX(Inventory!$F$4:$F$503,MATCH($B95,Inventory!$A$4:$A$503,0)),""))</f>
        <v/>
      </c>
      <c r="P95" s="27" t="str">
        <f aca="false">IF($B95="","",IFERROR(INDEX(Inventory!$C$4:$C$503,MATCH($B95,Inventory!$A$4:$A$503,0)),""))</f>
        <v/>
      </c>
    </row>
    <row r="96" customFormat="false" ht="15" hidden="false" customHeight="false" outlineLevel="0" collapsed="false">
      <c r="A96" s="19"/>
      <c r="B96" s="10"/>
      <c r="C96" s="23" t="str">
        <f aca="false">IF($B96="","",IFERROR(INDEX(Inventory!$E$4:$E$503,MATCH($B96,Inventory!$A$4:$A$503,0)),"SKU not found"))</f>
        <v/>
      </c>
      <c r="D96" s="10"/>
      <c r="E96" s="12"/>
      <c r="F96" s="12"/>
      <c r="G96" s="12"/>
      <c r="H96" s="24" t="str">
        <f aca="false">IF(OR(B96="",D96="",E96=""),"",IFERROR(IF(AND(D96="Poshmark",E96&lt;Settings!$B$20),Settings!$B$21,(E96+IF(INDEX(Settings!$E$4:$E$11,MATCH($D96,Settings!$A$4:$A$11,0))="Y",N(F96),0))*(INDEX(Settings!$B$4:$B$11,MATCH($D96,Settings!$A$4:$A$11,0))+INDEX(Settings!$D$4:$D$11,MATCH($D96,Settings!$A$4:$A$11,0)))+INDEX(Settings!$C$4:$C$11,MATCH($D96,Settings!$A$4:$A$11,0))),0))</f>
        <v/>
      </c>
      <c r="I96" s="12"/>
      <c r="J96" s="12"/>
      <c r="K96" s="24" t="str">
        <f aca="false">IF($B96="","",IFERROR(INDEX(Inventory!$J$4:$J$503,MATCH($B96,Inventory!$A$4:$A$503,0)),0))</f>
        <v/>
      </c>
      <c r="L96" s="24" t="str">
        <f aca="false">IF(OR(B96="",E96=""),"",E96+N(F96)-N(G96)-N(H96)-N(J96)-N(K96))</f>
        <v/>
      </c>
      <c r="M96" s="28" t="str">
        <f aca="false">IF(OR(L96="",N(K96)=0),"",L96/K96)</f>
        <v/>
      </c>
      <c r="N96" s="25" t="str">
        <f aca="false">IF(OR(A96="",B96=""),"",IFERROR(A96-INDEX(Inventory!$B$4:$B$503,MATCH($B96,Inventory!$A$4:$A$503,0)),""))</f>
        <v/>
      </c>
      <c r="O96" s="27" t="str">
        <f aca="false">IF($B96="","",IFERROR(INDEX(Inventory!$F$4:$F$503,MATCH($B96,Inventory!$A$4:$A$503,0)),""))</f>
        <v/>
      </c>
      <c r="P96" s="27" t="str">
        <f aca="false">IF($B96="","",IFERROR(INDEX(Inventory!$C$4:$C$503,MATCH($B96,Inventory!$A$4:$A$503,0)),""))</f>
        <v/>
      </c>
    </row>
    <row r="97" customFormat="false" ht="15" hidden="false" customHeight="false" outlineLevel="0" collapsed="false">
      <c r="A97" s="19"/>
      <c r="B97" s="10"/>
      <c r="C97" s="23" t="str">
        <f aca="false">IF($B97="","",IFERROR(INDEX(Inventory!$E$4:$E$503,MATCH($B97,Inventory!$A$4:$A$503,0)),"SKU not found"))</f>
        <v/>
      </c>
      <c r="D97" s="10"/>
      <c r="E97" s="12"/>
      <c r="F97" s="12"/>
      <c r="G97" s="12"/>
      <c r="H97" s="24" t="str">
        <f aca="false">IF(OR(B97="",D97="",E97=""),"",IFERROR(IF(AND(D97="Poshmark",E97&lt;Settings!$B$20),Settings!$B$21,(E97+IF(INDEX(Settings!$E$4:$E$11,MATCH($D97,Settings!$A$4:$A$11,0))="Y",N(F97),0))*(INDEX(Settings!$B$4:$B$11,MATCH($D97,Settings!$A$4:$A$11,0))+INDEX(Settings!$D$4:$D$11,MATCH($D97,Settings!$A$4:$A$11,0)))+INDEX(Settings!$C$4:$C$11,MATCH($D97,Settings!$A$4:$A$11,0))),0))</f>
        <v/>
      </c>
      <c r="I97" s="12"/>
      <c r="J97" s="12"/>
      <c r="K97" s="24" t="str">
        <f aca="false">IF($B97="","",IFERROR(INDEX(Inventory!$J$4:$J$503,MATCH($B97,Inventory!$A$4:$A$503,0)),0))</f>
        <v/>
      </c>
      <c r="L97" s="24" t="str">
        <f aca="false">IF(OR(B97="",E97=""),"",E97+N(F97)-N(G97)-N(H97)-N(J97)-N(K97))</f>
        <v/>
      </c>
      <c r="M97" s="28" t="str">
        <f aca="false">IF(OR(L97="",N(K97)=0),"",L97/K97)</f>
        <v/>
      </c>
      <c r="N97" s="25" t="str">
        <f aca="false">IF(OR(A97="",B97=""),"",IFERROR(A97-INDEX(Inventory!$B$4:$B$503,MATCH($B97,Inventory!$A$4:$A$503,0)),""))</f>
        <v/>
      </c>
      <c r="O97" s="27" t="str">
        <f aca="false">IF($B97="","",IFERROR(INDEX(Inventory!$F$4:$F$503,MATCH($B97,Inventory!$A$4:$A$503,0)),""))</f>
        <v/>
      </c>
      <c r="P97" s="27" t="str">
        <f aca="false">IF($B97="","",IFERROR(INDEX(Inventory!$C$4:$C$503,MATCH($B97,Inventory!$A$4:$A$503,0)),""))</f>
        <v/>
      </c>
    </row>
    <row r="98" customFormat="false" ht="15" hidden="false" customHeight="false" outlineLevel="0" collapsed="false">
      <c r="A98" s="19"/>
      <c r="B98" s="10"/>
      <c r="C98" s="23" t="str">
        <f aca="false">IF($B98="","",IFERROR(INDEX(Inventory!$E$4:$E$503,MATCH($B98,Inventory!$A$4:$A$503,0)),"SKU not found"))</f>
        <v/>
      </c>
      <c r="D98" s="10"/>
      <c r="E98" s="12"/>
      <c r="F98" s="12"/>
      <c r="G98" s="12"/>
      <c r="H98" s="24" t="str">
        <f aca="false">IF(OR(B98="",D98="",E98=""),"",IFERROR(IF(AND(D98="Poshmark",E98&lt;Settings!$B$20),Settings!$B$21,(E98+IF(INDEX(Settings!$E$4:$E$11,MATCH($D98,Settings!$A$4:$A$11,0))="Y",N(F98),0))*(INDEX(Settings!$B$4:$B$11,MATCH($D98,Settings!$A$4:$A$11,0))+INDEX(Settings!$D$4:$D$11,MATCH($D98,Settings!$A$4:$A$11,0)))+INDEX(Settings!$C$4:$C$11,MATCH($D98,Settings!$A$4:$A$11,0))),0))</f>
        <v/>
      </c>
      <c r="I98" s="12"/>
      <c r="J98" s="12"/>
      <c r="K98" s="24" t="str">
        <f aca="false">IF($B98="","",IFERROR(INDEX(Inventory!$J$4:$J$503,MATCH($B98,Inventory!$A$4:$A$503,0)),0))</f>
        <v/>
      </c>
      <c r="L98" s="24" t="str">
        <f aca="false">IF(OR(B98="",E98=""),"",E98+N(F98)-N(G98)-N(H98)-N(J98)-N(K98))</f>
        <v/>
      </c>
      <c r="M98" s="28" t="str">
        <f aca="false">IF(OR(L98="",N(K98)=0),"",L98/K98)</f>
        <v/>
      </c>
      <c r="N98" s="25" t="str">
        <f aca="false">IF(OR(A98="",B98=""),"",IFERROR(A98-INDEX(Inventory!$B$4:$B$503,MATCH($B98,Inventory!$A$4:$A$503,0)),""))</f>
        <v/>
      </c>
      <c r="O98" s="27" t="str">
        <f aca="false">IF($B98="","",IFERROR(INDEX(Inventory!$F$4:$F$503,MATCH($B98,Inventory!$A$4:$A$503,0)),""))</f>
        <v/>
      </c>
      <c r="P98" s="27" t="str">
        <f aca="false">IF($B98="","",IFERROR(INDEX(Inventory!$C$4:$C$503,MATCH($B98,Inventory!$A$4:$A$503,0)),""))</f>
        <v/>
      </c>
    </row>
    <row r="99" customFormat="false" ht="15" hidden="false" customHeight="false" outlineLevel="0" collapsed="false">
      <c r="A99" s="19"/>
      <c r="B99" s="10"/>
      <c r="C99" s="23" t="str">
        <f aca="false">IF($B99="","",IFERROR(INDEX(Inventory!$E$4:$E$503,MATCH($B99,Inventory!$A$4:$A$503,0)),"SKU not found"))</f>
        <v/>
      </c>
      <c r="D99" s="10"/>
      <c r="E99" s="12"/>
      <c r="F99" s="12"/>
      <c r="G99" s="12"/>
      <c r="H99" s="24" t="str">
        <f aca="false">IF(OR(B99="",D99="",E99=""),"",IFERROR(IF(AND(D99="Poshmark",E99&lt;Settings!$B$20),Settings!$B$21,(E99+IF(INDEX(Settings!$E$4:$E$11,MATCH($D99,Settings!$A$4:$A$11,0))="Y",N(F99),0))*(INDEX(Settings!$B$4:$B$11,MATCH($D99,Settings!$A$4:$A$11,0))+INDEX(Settings!$D$4:$D$11,MATCH($D99,Settings!$A$4:$A$11,0)))+INDEX(Settings!$C$4:$C$11,MATCH($D99,Settings!$A$4:$A$11,0))),0))</f>
        <v/>
      </c>
      <c r="I99" s="12"/>
      <c r="J99" s="12"/>
      <c r="K99" s="24" t="str">
        <f aca="false">IF($B99="","",IFERROR(INDEX(Inventory!$J$4:$J$503,MATCH($B99,Inventory!$A$4:$A$503,0)),0))</f>
        <v/>
      </c>
      <c r="L99" s="24" t="str">
        <f aca="false">IF(OR(B99="",E99=""),"",E99+N(F99)-N(G99)-N(H99)-N(J99)-N(K99))</f>
        <v/>
      </c>
      <c r="M99" s="28" t="str">
        <f aca="false">IF(OR(L99="",N(K99)=0),"",L99/K99)</f>
        <v/>
      </c>
      <c r="N99" s="25" t="str">
        <f aca="false">IF(OR(A99="",B99=""),"",IFERROR(A99-INDEX(Inventory!$B$4:$B$503,MATCH($B99,Inventory!$A$4:$A$503,0)),""))</f>
        <v/>
      </c>
      <c r="O99" s="27" t="str">
        <f aca="false">IF($B99="","",IFERROR(INDEX(Inventory!$F$4:$F$503,MATCH($B99,Inventory!$A$4:$A$503,0)),""))</f>
        <v/>
      </c>
      <c r="P99" s="27" t="str">
        <f aca="false">IF($B99="","",IFERROR(INDEX(Inventory!$C$4:$C$503,MATCH($B99,Inventory!$A$4:$A$503,0)),""))</f>
        <v/>
      </c>
    </row>
    <row r="100" customFormat="false" ht="15" hidden="false" customHeight="false" outlineLevel="0" collapsed="false">
      <c r="A100" s="19"/>
      <c r="B100" s="10"/>
      <c r="C100" s="23" t="str">
        <f aca="false">IF($B100="","",IFERROR(INDEX(Inventory!$E$4:$E$503,MATCH($B100,Inventory!$A$4:$A$503,0)),"SKU not found"))</f>
        <v/>
      </c>
      <c r="D100" s="10"/>
      <c r="E100" s="12"/>
      <c r="F100" s="12"/>
      <c r="G100" s="12"/>
      <c r="H100" s="24" t="str">
        <f aca="false">IF(OR(B100="",D100="",E100=""),"",IFERROR(IF(AND(D100="Poshmark",E100&lt;Settings!$B$20),Settings!$B$21,(E100+IF(INDEX(Settings!$E$4:$E$11,MATCH($D100,Settings!$A$4:$A$11,0))="Y",N(F100),0))*(INDEX(Settings!$B$4:$B$11,MATCH($D100,Settings!$A$4:$A$11,0))+INDEX(Settings!$D$4:$D$11,MATCH($D100,Settings!$A$4:$A$11,0)))+INDEX(Settings!$C$4:$C$11,MATCH($D100,Settings!$A$4:$A$11,0))),0))</f>
        <v/>
      </c>
      <c r="I100" s="12"/>
      <c r="J100" s="12"/>
      <c r="K100" s="24" t="str">
        <f aca="false">IF($B100="","",IFERROR(INDEX(Inventory!$J$4:$J$503,MATCH($B100,Inventory!$A$4:$A$503,0)),0))</f>
        <v/>
      </c>
      <c r="L100" s="24" t="str">
        <f aca="false">IF(OR(B100="",E100=""),"",E100+N(F100)-N(G100)-N(H100)-N(J100)-N(K100))</f>
        <v/>
      </c>
      <c r="M100" s="28" t="str">
        <f aca="false">IF(OR(L100="",N(K100)=0),"",L100/K100)</f>
        <v/>
      </c>
      <c r="N100" s="25" t="str">
        <f aca="false">IF(OR(A100="",B100=""),"",IFERROR(A100-INDEX(Inventory!$B$4:$B$503,MATCH($B100,Inventory!$A$4:$A$503,0)),""))</f>
        <v/>
      </c>
      <c r="O100" s="27" t="str">
        <f aca="false">IF($B100="","",IFERROR(INDEX(Inventory!$F$4:$F$503,MATCH($B100,Inventory!$A$4:$A$503,0)),""))</f>
        <v/>
      </c>
      <c r="P100" s="27" t="str">
        <f aca="false">IF($B100="","",IFERROR(INDEX(Inventory!$C$4:$C$503,MATCH($B100,Inventory!$A$4:$A$503,0)),""))</f>
        <v/>
      </c>
    </row>
    <row r="101" customFormat="false" ht="15" hidden="false" customHeight="false" outlineLevel="0" collapsed="false">
      <c r="A101" s="19"/>
      <c r="B101" s="10"/>
      <c r="C101" s="23" t="str">
        <f aca="false">IF($B101="","",IFERROR(INDEX(Inventory!$E$4:$E$503,MATCH($B101,Inventory!$A$4:$A$503,0)),"SKU not found"))</f>
        <v/>
      </c>
      <c r="D101" s="10"/>
      <c r="E101" s="12"/>
      <c r="F101" s="12"/>
      <c r="G101" s="12"/>
      <c r="H101" s="24" t="str">
        <f aca="false">IF(OR(B101="",D101="",E101=""),"",IFERROR(IF(AND(D101="Poshmark",E101&lt;Settings!$B$20),Settings!$B$21,(E101+IF(INDEX(Settings!$E$4:$E$11,MATCH($D101,Settings!$A$4:$A$11,0))="Y",N(F101),0))*(INDEX(Settings!$B$4:$B$11,MATCH($D101,Settings!$A$4:$A$11,0))+INDEX(Settings!$D$4:$D$11,MATCH($D101,Settings!$A$4:$A$11,0)))+INDEX(Settings!$C$4:$C$11,MATCH($D101,Settings!$A$4:$A$11,0))),0))</f>
        <v/>
      </c>
      <c r="I101" s="12"/>
      <c r="J101" s="12"/>
      <c r="K101" s="24" t="str">
        <f aca="false">IF($B101="","",IFERROR(INDEX(Inventory!$J$4:$J$503,MATCH($B101,Inventory!$A$4:$A$503,0)),0))</f>
        <v/>
      </c>
      <c r="L101" s="24" t="str">
        <f aca="false">IF(OR(B101="",E101=""),"",E101+N(F101)-N(G101)-N(H101)-N(J101)-N(K101))</f>
        <v/>
      </c>
      <c r="M101" s="28" t="str">
        <f aca="false">IF(OR(L101="",N(K101)=0),"",L101/K101)</f>
        <v/>
      </c>
      <c r="N101" s="25" t="str">
        <f aca="false">IF(OR(A101="",B101=""),"",IFERROR(A101-INDEX(Inventory!$B$4:$B$503,MATCH($B101,Inventory!$A$4:$A$503,0)),""))</f>
        <v/>
      </c>
      <c r="O101" s="27" t="str">
        <f aca="false">IF($B101="","",IFERROR(INDEX(Inventory!$F$4:$F$503,MATCH($B101,Inventory!$A$4:$A$503,0)),""))</f>
        <v/>
      </c>
      <c r="P101" s="27" t="str">
        <f aca="false">IF($B101="","",IFERROR(INDEX(Inventory!$C$4:$C$503,MATCH($B101,Inventory!$A$4:$A$503,0)),""))</f>
        <v/>
      </c>
    </row>
    <row r="102" customFormat="false" ht="15" hidden="false" customHeight="false" outlineLevel="0" collapsed="false">
      <c r="A102" s="19"/>
      <c r="B102" s="10"/>
      <c r="C102" s="23" t="str">
        <f aca="false">IF($B102="","",IFERROR(INDEX(Inventory!$E$4:$E$503,MATCH($B102,Inventory!$A$4:$A$503,0)),"SKU not found"))</f>
        <v/>
      </c>
      <c r="D102" s="10"/>
      <c r="E102" s="12"/>
      <c r="F102" s="12"/>
      <c r="G102" s="12"/>
      <c r="H102" s="24" t="str">
        <f aca="false">IF(OR(B102="",D102="",E102=""),"",IFERROR(IF(AND(D102="Poshmark",E102&lt;Settings!$B$20),Settings!$B$21,(E102+IF(INDEX(Settings!$E$4:$E$11,MATCH($D102,Settings!$A$4:$A$11,0))="Y",N(F102),0))*(INDEX(Settings!$B$4:$B$11,MATCH($D102,Settings!$A$4:$A$11,0))+INDEX(Settings!$D$4:$D$11,MATCH($D102,Settings!$A$4:$A$11,0)))+INDEX(Settings!$C$4:$C$11,MATCH($D102,Settings!$A$4:$A$11,0))),0))</f>
        <v/>
      </c>
      <c r="I102" s="12"/>
      <c r="J102" s="12"/>
      <c r="K102" s="24" t="str">
        <f aca="false">IF($B102="","",IFERROR(INDEX(Inventory!$J$4:$J$503,MATCH($B102,Inventory!$A$4:$A$503,0)),0))</f>
        <v/>
      </c>
      <c r="L102" s="24" t="str">
        <f aca="false">IF(OR(B102="",E102=""),"",E102+N(F102)-N(G102)-N(H102)-N(J102)-N(K102))</f>
        <v/>
      </c>
      <c r="M102" s="28" t="str">
        <f aca="false">IF(OR(L102="",N(K102)=0),"",L102/K102)</f>
        <v/>
      </c>
      <c r="N102" s="25" t="str">
        <f aca="false">IF(OR(A102="",B102=""),"",IFERROR(A102-INDEX(Inventory!$B$4:$B$503,MATCH($B102,Inventory!$A$4:$A$503,0)),""))</f>
        <v/>
      </c>
      <c r="O102" s="27" t="str">
        <f aca="false">IF($B102="","",IFERROR(INDEX(Inventory!$F$4:$F$503,MATCH($B102,Inventory!$A$4:$A$503,0)),""))</f>
        <v/>
      </c>
      <c r="P102" s="27" t="str">
        <f aca="false">IF($B102="","",IFERROR(INDEX(Inventory!$C$4:$C$503,MATCH($B102,Inventory!$A$4:$A$503,0)),""))</f>
        <v/>
      </c>
    </row>
    <row r="103" customFormat="false" ht="15" hidden="false" customHeight="false" outlineLevel="0" collapsed="false">
      <c r="A103" s="19"/>
      <c r="B103" s="10"/>
      <c r="C103" s="23" t="str">
        <f aca="false">IF($B103="","",IFERROR(INDEX(Inventory!$E$4:$E$503,MATCH($B103,Inventory!$A$4:$A$503,0)),"SKU not found"))</f>
        <v/>
      </c>
      <c r="D103" s="10"/>
      <c r="E103" s="12"/>
      <c r="F103" s="12"/>
      <c r="G103" s="12"/>
      <c r="H103" s="24" t="str">
        <f aca="false">IF(OR(B103="",D103="",E103=""),"",IFERROR(IF(AND(D103="Poshmark",E103&lt;Settings!$B$20),Settings!$B$21,(E103+IF(INDEX(Settings!$E$4:$E$11,MATCH($D103,Settings!$A$4:$A$11,0))="Y",N(F103),0))*(INDEX(Settings!$B$4:$B$11,MATCH($D103,Settings!$A$4:$A$11,0))+INDEX(Settings!$D$4:$D$11,MATCH($D103,Settings!$A$4:$A$11,0)))+INDEX(Settings!$C$4:$C$11,MATCH($D103,Settings!$A$4:$A$11,0))),0))</f>
        <v/>
      </c>
      <c r="I103" s="12"/>
      <c r="J103" s="12"/>
      <c r="K103" s="24" t="str">
        <f aca="false">IF($B103="","",IFERROR(INDEX(Inventory!$J$4:$J$503,MATCH($B103,Inventory!$A$4:$A$503,0)),0))</f>
        <v/>
      </c>
      <c r="L103" s="24" t="str">
        <f aca="false">IF(OR(B103="",E103=""),"",E103+N(F103)-N(G103)-N(H103)-N(J103)-N(K103))</f>
        <v/>
      </c>
      <c r="M103" s="28" t="str">
        <f aca="false">IF(OR(L103="",N(K103)=0),"",L103/K103)</f>
        <v/>
      </c>
      <c r="N103" s="25" t="str">
        <f aca="false">IF(OR(A103="",B103=""),"",IFERROR(A103-INDEX(Inventory!$B$4:$B$503,MATCH($B103,Inventory!$A$4:$A$503,0)),""))</f>
        <v/>
      </c>
      <c r="O103" s="27" t="str">
        <f aca="false">IF($B103="","",IFERROR(INDEX(Inventory!$F$4:$F$503,MATCH($B103,Inventory!$A$4:$A$503,0)),""))</f>
        <v/>
      </c>
      <c r="P103" s="27" t="str">
        <f aca="false">IF($B103="","",IFERROR(INDEX(Inventory!$C$4:$C$503,MATCH($B103,Inventory!$A$4:$A$503,0)),""))</f>
        <v/>
      </c>
    </row>
    <row r="104" customFormat="false" ht="15" hidden="false" customHeight="false" outlineLevel="0" collapsed="false">
      <c r="A104" s="19"/>
      <c r="B104" s="10"/>
      <c r="C104" s="23" t="str">
        <f aca="false">IF($B104="","",IFERROR(INDEX(Inventory!$E$4:$E$503,MATCH($B104,Inventory!$A$4:$A$503,0)),"SKU not found"))</f>
        <v/>
      </c>
      <c r="D104" s="10"/>
      <c r="E104" s="12"/>
      <c r="F104" s="12"/>
      <c r="G104" s="12"/>
      <c r="H104" s="24" t="str">
        <f aca="false">IF(OR(B104="",D104="",E104=""),"",IFERROR(IF(AND(D104="Poshmark",E104&lt;Settings!$B$20),Settings!$B$21,(E104+IF(INDEX(Settings!$E$4:$E$11,MATCH($D104,Settings!$A$4:$A$11,0))="Y",N(F104),0))*(INDEX(Settings!$B$4:$B$11,MATCH($D104,Settings!$A$4:$A$11,0))+INDEX(Settings!$D$4:$D$11,MATCH($D104,Settings!$A$4:$A$11,0)))+INDEX(Settings!$C$4:$C$11,MATCH($D104,Settings!$A$4:$A$11,0))),0))</f>
        <v/>
      </c>
      <c r="I104" s="12"/>
      <c r="J104" s="12"/>
      <c r="K104" s="24" t="str">
        <f aca="false">IF($B104="","",IFERROR(INDEX(Inventory!$J$4:$J$503,MATCH($B104,Inventory!$A$4:$A$503,0)),0))</f>
        <v/>
      </c>
      <c r="L104" s="24" t="str">
        <f aca="false">IF(OR(B104="",E104=""),"",E104+N(F104)-N(G104)-N(H104)-N(J104)-N(K104))</f>
        <v/>
      </c>
      <c r="M104" s="28" t="str">
        <f aca="false">IF(OR(L104="",N(K104)=0),"",L104/K104)</f>
        <v/>
      </c>
      <c r="N104" s="25" t="str">
        <f aca="false">IF(OR(A104="",B104=""),"",IFERROR(A104-INDEX(Inventory!$B$4:$B$503,MATCH($B104,Inventory!$A$4:$A$503,0)),""))</f>
        <v/>
      </c>
      <c r="O104" s="27" t="str">
        <f aca="false">IF($B104="","",IFERROR(INDEX(Inventory!$F$4:$F$503,MATCH($B104,Inventory!$A$4:$A$503,0)),""))</f>
        <v/>
      </c>
      <c r="P104" s="27" t="str">
        <f aca="false">IF($B104="","",IFERROR(INDEX(Inventory!$C$4:$C$503,MATCH($B104,Inventory!$A$4:$A$503,0)),""))</f>
        <v/>
      </c>
    </row>
    <row r="105" customFormat="false" ht="15" hidden="false" customHeight="false" outlineLevel="0" collapsed="false">
      <c r="A105" s="19"/>
      <c r="B105" s="10"/>
      <c r="C105" s="23" t="str">
        <f aca="false">IF($B105="","",IFERROR(INDEX(Inventory!$E$4:$E$503,MATCH($B105,Inventory!$A$4:$A$503,0)),"SKU not found"))</f>
        <v/>
      </c>
      <c r="D105" s="10"/>
      <c r="E105" s="12"/>
      <c r="F105" s="12"/>
      <c r="G105" s="12"/>
      <c r="H105" s="24" t="str">
        <f aca="false">IF(OR(B105="",D105="",E105=""),"",IFERROR(IF(AND(D105="Poshmark",E105&lt;Settings!$B$20),Settings!$B$21,(E105+IF(INDEX(Settings!$E$4:$E$11,MATCH($D105,Settings!$A$4:$A$11,0))="Y",N(F105),0))*(INDEX(Settings!$B$4:$B$11,MATCH($D105,Settings!$A$4:$A$11,0))+INDEX(Settings!$D$4:$D$11,MATCH($D105,Settings!$A$4:$A$11,0)))+INDEX(Settings!$C$4:$C$11,MATCH($D105,Settings!$A$4:$A$11,0))),0))</f>
        <v/>
      </c>
      <c r="I105" s="12"/>
      <c r="J105" s="12"/>
      <c r="K105" s="24" t="str">
        <f aca="false">IF($B105="","",IFERROR(INDEX(Inventory!$J$4:$J$503,MATCH($B105,Inventory!$A$4:$A$503,0)),0))</f>
        <v/>
      </c>
      <c r="L105" s="24" t="str">
        <f aca="false">IF(OR(B105="",E105=""),"",E105+N(F105)-N(G105)-N(H105)-N(J105)-N(K105))</f>
        <v/>
      </c>
      <c r="M105" s="28" t="str">
        <f aca="false">IF(OR(L105="",N(K105)=0),"",L105/K105)</f>
        <v/>
      </c>
      <c r="N105" s="25" t="str">
        <f aca="false">IF(OR(A105="",B105=""),"",IFERROR(A105-INDEX(Inventory!$B$4:$B$503,MATCH($B105,Inventory!$A$4:$A$503,0)),""))</f>
        <v/>
      </c>
      <c r="O105" s="27" t="str">
        <f aca="false">IF($B105="","",IFERROR(INDEX(Inventory!$F$4:$F$503,MATCH($B105,Inventory!$A$4:$A$503,0)),""))</f>
        <v/>
      </c>
      <c r="P105" s="27" t="str">
        <f aca="false">IF($B105="","",IFERROR(INDEX(Inventory!$C$4:$C$503,MATCH($B105,Inventory!$A$4:$A$503,0)),""))</f>
        <v/>
      </c>
    </row>
    <row r="106" customFormat="false" ht="15" hidden="false" customHeight="false" outlineLevel="0" collapsed="false">
      <c r="A106" s="19"/>
      <c r="B106" s="10"/>
      <c r="C106" s="23" t="str">
        <f aca="false">IF($B106="","",IFERROR(INDEX(Inventory!$E$4:$E$503,MATCH($B106,Inventory!$A$4:$A$503,0)),"SKU not found"))</f>
        <v/>
      </c>
      <c r="D106" s="10"/>
      <c r="E106" s="12"/>
      <c r="F106" s="12"/>
      <c r="G106" s="12"/>
      <c r="H106" s="24" t="str">
        <f aca="false">IF(OR(B106="",D106="",E106=""),"",IFERROR(IF(AND(D106="Poshmark",E106&lt;Settings!$B$20),Settings!$B$21,(E106+IF(INDEX(Settings!$E$4:$E$11,MATCH($D106,Settings!$A$4:$A$11,0))="Y",N(F106),0))*(INDEX(Settings!$B$4:$B$11,MATCH($D106,Settings!$A$4:$A$11,0))+INDEX(Settings!$D$4:$D$11,MATCH($D106,Settings!$A$4:$A$11,0)))+INDEX(Settings!$C$4:$C$11,MATCH($D106,Settings!$A$4:$A$11,0))),0))</f>
        <v/>
      </c>
      <c r="I106" s="12"/>
      <c r="J106" s="12"/>
      <c r="K106" s="24" t="str">
        <f aca="false">IF($B106="","",IFERROR(INDEX(Inventory!$J$4:$J$503,MATCH($B106,Inventory!$A$4:$A$503,0)),0))</f>
        <v/>
      </c>
      <c r="L106" s="24" t="str">
        <f aca="false">IF(OR(B106="",E106=""),"",E106+N(F106)-N(G106)-N(H106)-N(J106)-N(K106))</f>
        <v/>
      </c>
      <c r="M106" s="28" t="str">
        <f aca="false">IF(OR(L106="",N(K106)=0),"",L106/K106)</f>
        <v/>
      </c>
      <c r="N106" s="25" t="str">
        <f aca="false">IF(OR(A106="",B106=""),"",IFERROR(A106-INDEX(Inventory!$B$4:$B$503,MATCH($B106,Inventory!$A$4:$A$503,0)),""))</f>
        <v/>
      </c>
      <c r="O106" s="27" t="str">
        <f aca="false">IF($B106="","",IFERROR(INDEX(Inventory!$F$4:$F$503,MATCH($B106,Inventory!$A$4:$A$503,0)),""))</f>
        <v/>
      </c>
      <c r="P106" s="27" t="str">
        <f aca="false">IF($B106="","",IFERROR(INDEX(Inventory!$C$4:$C$503,MATCH($B106,Inventory!$A$4:$A$503,0)),""))</f>
        <v/>
      </c>
    </row>
    <row r="107" customFormat="false" ht="15" hidden="false" customHeight="false" outlineLevel="0" collapsed="false">
      <c r="A107" s="19"/>
      <c r="B107" s="10"/>
      <c r="C107" s="23" t="str">
        <f aca="false">IF($B107="","",IFERROR(INDEX(Inventory!$E$4:$E$503,MATCH($B107,Inventory!$A$4:$A$503,0)),"SKU not found"))</f>
        <v/>
      </c>
      <c r="D107" s="10"/>
      <c r="E107" s="12"/>
      <c r="F107" s="12"/>
      <c r="G107" s="12"/>
      <c r="H107" s="24" t="str">
        <f aca="false">IF(OR(B107="",D107="",E107=""),"",IFERROR(IF(AND(D107="Poshmark",E107&lt;Settings!$B$20),Settings!$B$21,(E107+IF(INDEX(Settings!$E$4:$E$11,MATCH($D107,Settings!$A$4:$A$11,0))="Y",N(F107),0))*(INDEX(Settings!$B$4:$B$11,MATCH($D107,Settings!$A$4:$A$11,0))+INDEX(Settings!$D$4:$D$11,MATCH($D107,Settings!$A$4:$A$11,0)))+INDEX(Settings!$C$4:$C$11,MATCH($D107,Settings!$A$4:$A$11,0))),0))</f>
        <v/>
      </c>
      <c r="I107" s="12"/>
      <c r="J107" s="12"/>
      <c r="K107" s="24" t="str">
        <f aca="false">IF($B107="","",IFERROR(INDEX(Inventory!$J$4:$J$503,MATCH($B107,Inventory!$A$4:$A$503,0)),0))</f>
        <v/>
      </c>
      <c r="L107" s="24" t="str">
        <f aca="false">IF(OR(B107="",E107=""),"",E107+N(F107)-N(G107)-N(H107)-N(J107)-N(K107))</f>
        <v/>
      </c>
      <c r="M107" s="28" t="str">
        <f aca="false">IF(OR(L107="",N(K107)=0),"",L107/K107)</f>
        <v/>
      </c>
      <c r="N107" s="25" t="str">
        <f aca="false">IF(OR(A107="",B107=""),"",IFERROR(A107-INDEX(Inventory!$B$4:$B$503,MATCH($B107,Inventory!$A$4:$A$503,0)),""))</f>
        <v/>
      </c>
      <c r="O107" s="27" t="str">
        <f aca="false">IF($B107="","",IFERROR(INDEX(Inventory!$F$4:$F$503,MATCH($B107,Inventory!$A$4:$A$503,0)),""))</f>
        <v/>
      </c>
      <c r="P107" s="27" t="str">
        <f aca="false">IF($B107="","",IFERROR(INDEX(Inventory!$C$4:$C$503,MATCH($B107,Inventory!$A$4:$A$503,0)),""))</f>
        <v/>
      </c>
    </row>
    <row r="108" customFormat="false" ht="15" hidden="false" customHeight="false" outlineLevel="0" collapsed="false">
      <c r="A108" s="19"/>
      <c r="B108" s="10"/>
      <c r="C108" s="23" t="str">
        <f aca="false">IF($B108="","",IFERROR(INDEX(Inventory!$E$4:$E$503,MATCH($B108,Inventory!$A$4:$A$503,0)),"SKU not found"))</f>
        <v/>
      </c>
      <c r="D108" s="10"/>
      <c r="E108" s="12"/>
      <c r="F108" s="12"/>
      <c r="G108" s="12"/>
      <c r="H108" s="24" t="str">
        <f aca="false">IF(OR(B108="",D108="",E108=""),"",IFERROR(IF(AND(D108="Poshmark",E108&lt;Settings!$B$20),Settings!$B$21,(E108+IF(INDEX(Settings!$E$4:$E$11,MATCH($D108,Settings!$A$4:$A$11,0))="Y",N(F108),0))*(INDEX(Settings!$B$4:$B$11,MATCH($D108,Settings!$A$4:$A$11,0))+INDEX(Settings!$D$4:$D$11,MATCH($D108,Settings!$A$4:$A$11,0)))+INDEX(Settings!$C$4:$C$11,MATCH($D108,Settings!$A$4:$A$11,0))),0))</f>
        <v/>
      </c>
      <c r="I108" s="12"/>
      <c r="J108" s="12"/>
      <c r="K108" s="24" t="str">
        <f aca="false">IF($B108="","",IFERROR(INDEX(Inventory!$J$4:$J$503,MATCH($B108,Inventory!$A$4:$A$503,0)),0))</f>
        <v/>
      </c>
      <c r="L108" s="24" t="str">
        <f aca="false">IF(OR(B108="",E108=""),"",E108+N(F108)-N(G108)-N(H108)-N(J108)-N(K108))</f>
        <v/>
      </c>
      <c r="M108" s="28" t="str">
        <f aca="false">IF(OR(L108="",N(K108)=0),"",L108/K108)</f>
        <v/>
      </c>
      <c r="N108" s="25" t="str">
        <f aca="false">IF(OR(A108="",B108=""),"",IFERROR(A108-INDEX(Inventory!$B$4:$B$503,MATCH($B108,Inventory!$A$4:$A$503,0)),""))</f>
        <v/>
      </c>
      <c r="O108" s="27" t="str">
        <f aca="false">IF($B108="","",IFERROR(INDEX(Inventory!$F$4:$F$503,MATCH($B108,Inventory!$A$4:$A$503,0)),""))</f>
        <v/>
      </c>
      <c r="P108" s="27" t="str">
        <f aca="false">IF($B108="","",IFERROR(INDEX(Inventory!$C$4:$C$503,MATCH($B108,Inventory!$A$4:$A$503,0)),""))</f>
        <v/>
      </c>
    </row>
    <row r="109" customFormat="false" ht="15" hidden="false" customHeight="false" outlineLevel="0" collapsed="false">
      <c r="A109" s="19"/>
      <c r="B109" s="10"/>
      <c r="C109" s="23" t="str">
        <f aca="false">IF($B109="","",IFERROR(INDEX(Inventory!$E$4:$E$503,MATCH($B109,Inventory!$A$4:$A$503,0)),"SKU not found"))</f>
        <v/>
      </c>
      <c r="D109" s="10"/>
      <c r="E109" s="12"/>
      <c r="F109" s="12"/>
      <c r="G109" s="12"/>
      <c r="H109" s="24" t="str">
        <f aca="false">IF(OR(B109="",D109="",E109=""),"",IFERROR(IF(AND(D109="Poshmark",E109&lt;Settings!$B$20),Settings!$B$21,(E109+IF(INDEX(Settings!$E$4:$E$11,MATCH($D109,Settings!$A$4:$A$11,0))="Y",N(F109),0))*(INDEX(Settings!$B$4:$B$11,MATCH($D109,Settings!$A$4:$A$11,0))+INDEX(Settings!$D$4:$D$11,MATCH($D109,Settings!$A$4:$A$11,0)))+INDEX(Settings!$C$4:$C$11,MATCH($D109,Settings!$A$4:$A$11,0))),0))</f>
        <v/>
      </c>
      <c r="I109" s="12"/>
      <c r="J109" s="12"/>
      <c r="K109" s="24" t="str">
        <f aca="false">IF($B109="","",IFERROR(INDEX(Inventory!$J$4:$J$503,MATCH($B109,Inventory!$A$4:$A$503,0)),0))</f>
        <v/>
      </c>
      <c r="L109" s="24" t="str">
        <f aca="false">IF(OR(B109="",E109=""),"",E109+N(F109)-N(G109)-N(H109)-N(J109)-N(K109))</f>
        <v/>
      </c>
      <c r="M109" s="28" t="str">
        <f aca="false">IF(OR(L109="",N(K109)=0),"",L109/K109)</f>
        <v/>
      </c>
      <c r="N109" s="25" t="str">
        <f aca="false">IF(OR(A109="",B109=""),"",IFERROR(A109-INDEX(Inventory!$B$4:$B$503,MATCH($B109,Inventory!$A$4:$A$503,0)),""))</f>
        <v/>
      </c>
      <c r="O109" s="27" t="str">
        <f aca="false">IF($B109="","",IFERROR(INDEX(Inventory!$F$4:$F$503,MATCH($B109,Inventory!$A$4:$A$503,0)),""))</f>
        <v/>
      </c>
      <c r="P109" s="27" t="str">
        <f aca="false">IF($B109="","",IFERROR(INDEX(Inventory!$C$4:$C$503,MATCH($B109,Inventory!$A$4:$A$503,0)),""))</f>
        <v/>
      </c>
    </row>
    <row r="110" customFormat="false" ht="15" hidden="false" customHeight="false" outlineLevel="0" collapsed="false">
      <c r="A110" s="19"/>
      <c r="B110" s="10"/>
      <c r="C110" s="23" t="str">
        <f aca="false">IF($B110="","",IFERROR(INDEX(Inventory!$E$4:$E$503,MATCH($B110,Inventory!$A$4:$A$503,0)),"SKU not found"))</f>
        <v/>
      </c>
      <c r="D110" s="10"/>
      <c r="E110" s="12"/>
      <c r="F110" s="12"/>
      <c r="G110" s="12"/>
      <c r="H110" s="24" t="str">
        <f aca="false">IF(OR(B110="",D110="",E110=""),"",IFERROR(IF(AND(D110="Poshmark",E110&lt;Settings!$B$20),Settings!$B$21,(E110+IF(INDEX(Settings!$E$4:$E$11,MATCH($D110,Settings!$A$4:$A$11,0))="Y",N(F110),0))*(INDEX(Settings!$B$4:$B$11,MATCH($D110,Settings!$A$4:$A$11,0))+INDEX(Settings!$D$4:$D$11,MATCH($D110,Settings!$A$4:$A$11,0)))+INDEX(Settings!$C$4:$C$11,MATCH($D110,Settings!$A$4:$A$11,0))),0))</f>
        <v/>
      </c>
      <c r="I110" s="12"/>
      <c r="J110" s="12"/>
      <c r="K110" s="24" t="str">
        <f aca="false">IF($B110="","",IFERROR(INDEX(Inventory!$J$4:$J$503,MATCH($B110,Inventory!$A$4:$A$503,0)),0))</f>
        <v/>
      </c>
      <c r="L110" s="24" t="str">
        <f aca="false">IF(OR(B110="",E110=""),"",E110+N(F110)-N(G110)-N(H110)-N(J110)-N(K110))</f>
        <v/>
      </c>
      <c r="M110" s="28" t="str">
        <f aca="false">IF(OR(L110="",N(K110)=0),"",L110/K110)</f>
        <v/>
      </c>
      <c r="N110" s="25" t="str">
        <f aca="false">IF(OR(A110="",B110=""),"",IFERROR(A110-INDEX(Inventory!$B$4:$B$503,MATCH($B110,Inventory!$A$4:$A$503,0)),""))</f>
        <v/>
      </c>
      <c r="O110" s="27" t="str">
        <f aca="false">IF($B110="","",IFERROR(INDEX(Inventory!$F$4:$F$503,MATCH($B110,Inventory!$A$4:$A$503,0)),""))</f>
        <v/>
      </c>
      <c r="P110" s="27" t="str">
        <f aca="false">IF($B110="","",IFERROR(INDEX(Inventory!$C$4:$C$503,MATCH($B110,Inventory!$A$4:$A$503,0)),""))</f>
        <v/>
      </c>
    </row>
    <row r="111" customFormat="false" ht="15" hidden="false" customHeight="false" outlineLevel="0" collapsed="false">
      <c r="A111" s="19"/>
      <c r="B111" s="10"/>
      <c r="C111" s="23" t="str">
        <f aca="false">IF($B111="","",IFERROR(INDEX(Inventory!$E$4:$E$503,MATCH($B111,Inventory!$A$4:$A$503,0)),"SKU not found"))</f>
        <v/>
      </c>
      <c r="D111" s="10"/>
      <c r="E111" s="12"/>
      <c r="F111" s="12"/>
      <c r="G111" s="12"/>
      <c r="H111" s="24" t="str">
        <f aca="false">IF(OR(B111="",D111="",E111=""),"",IFERROR(IF(AND(D111="Poshmark",E111&lt;Settings!$B$20),Settings!$B$21,(E111+IF(INDEX(Settings!$E$4:$E$11,MATCH($D111,Settings!$A$4:$A$11,0))="Y",N(F111),0))*(INDEX(Settings!$B$4:$B$11,MATCH($D111,Settings!$A$4:$A$11,0))+INDEX(Settings!$D$4:$D$11,MATCH($D111,Settings!$A$4:$A$11,0)))+INDEX(Settings!$C$4:$C$11,MATCH($D111,Settings!$A$4:$A$11,0))),0))</f>
        <v/>
      </c>
      <c r="I111" s="12"/>
      <c r="J111" s="12"/>
      <c r="K111" s="24" t="str">
        <f aca="false">IF($B111="","",IFERROR(INDEX(Inventory!$J$4:$J$503,MATCH($B111,Inventory!$A$4:$A$503,0)),0))</f>
        <v/>
      </c>
      <c r="L111" s="24" t="str">
        <f aca="false">IF(OR(B111="",E111=""),"",E111+N(F111)-N(G111)-N(H111)-N(J111)-N(K111))</f>
        <v/>
      </c>
      <c r="M111" s="28" t="str">
        <f aca="false">IF(OR(L111="",N(K111)=0),"",L111/K111)</f>
        <v/>
      </c>
      <c r="N111" s="25" t="str">
        <f aca="false">IF(OR(A111="",B111=""),"",IFERROR(A111-INDEX(Inventory!$B$4:$B$503,MATCH($B111,Inventory!$A$4:$A$503,0)),""))</f>
        <v/>
      </c>
      <c r="O111" s="27" t="str">
        <f aca="false">IF($B111="","",IFERROR(INDEX(Inventory!$F$4:$F$503,MATCH($B111,Inventory!$A$4:$A$503,0)),""))</f>
        <v/>
      </c>
      <c r="P111" s="27" t="str">
        <f aca="false">IF($B111="","",IFERROR(INDEX(Inventory!$C$4:$C$503,MATCH($B111,Inventory!$A$4:$A$503,0)),""))</f>
        <v/>
      </c>
    </row>
    <row r="112" customFormat="false" ht="15" hidden="false" customHeight="false" outlineLevel="0" collapsed="false">
      <c r="A112" s="19"/>
      <c r="B112" s="10"/>
      <c r="C112" s="23" t="str">
        <f aca="false">IF($B112="","",IFERROR(INDEX(Inventory!$E$4:$E$503,MATCH($B112,Inventory!$A$4:$A$503,0)),"SKU not found"))</f>
        <v/>
      </c>
      <c r="D112" s="10"/>
      <c r="E112" s="12"/>
      <c r="F112" s="12"/>
      <c r="G112" s="12"/>
      <c r="H112" s="24" t="str">
        <f aca="false">IF(OR(B112="",D112="",E112=""),"",IFERROR(IF(AND(D112="Poshmark",E112&lt;Settings!$B$20),Settings!$B$21,(E112+IF(INDEX(Settings!$E$4:$E$11,MATCH($D112,Settings!$A$4:$A$11,0))="Y",N(F112),0))*(INDEX(Settings!$B$4:$B$11,MATCH($D112,Settings!$A$4:$A$11,0))+INDEX(Settings!$D$4:$D$11,MATCH($D112,Settings!$A$4:$A$11,0)))+INDEX(Settings!$C$4:$C$11,MATCH($D112,Settings!$A$4:$A$11,0))),0))</f>
        <v/>
      </c>
      <c r="I112" s="12"/>
      <c r="J112" s="12"/>
      <c r="K112" s="24" t="str">
        <f aca="false">IF($B112="","",IFERROR(INDEX(Inventory!$J$4:$J$503,MATCH($B112,Inventory!$A$4:$A$503,0)),0))</f>
        <v/>
      </c>
      <c r="L112" s="24" t="str">
        <f aca="false">IF(OR(B112="",E112=""),"",E112+N(F112)-N(G112)-N(H112)-N(J112)-N(K112))</f>
        <v/>
      </c>
      <c r="M112" s="28" t="str">
        <f aca="false">IF(OR(L112="",N(K112)=0),"",L112/K112)</f>
        <v/>
      </c>
      <c r="N112" s="25" t="str">
        <f aca="false">IF(OR(A112="",B112=""),"",IFERROR(A112-INDEX(Inventory!$B$4:$B$503,MATCH($B112,Inventory!$A$4:$A$503,0)),""))</f>
        <v/>
      </c>
      <c r="O112" s="27" t="str">
        <f aca="false">IF($B112="","",IFERROR(INDEX(Inventory!$F$4:$F$503,MATCH($B112,Inventory!$A$4:$A$503,0)),""))</f>
        <v/>
      </c>
      <c r="P112" s="27" t="str">
        <f aca="false">IF($B112="","",IFERROR(INDEX(Inventory!$C$4:$C$503,MATCH($B112,Inventory!$A$4:$A$503,0)),""))</f>
        <v/>
      </c>
    </row>
    <row r="113" customFormat="false" ht="15" hidden="false" customHeight="false" outlineLevel="0" collapsed="false">
      <c r="A113" s="19"/>
      <c r="B113" s="10"/>
      <c r="C113" s="23" t="str">
        <f aca="false">IF($B113="","",IFERROR(INDEX(Inventory!$E$4:$E$503,MATCH($B113,Inventory!$A$4:$A$503,0)),"SKU not found"))</f>
        <v/>
      </c>
      <c r="D113" s="10"/>
      <c r="E113" s="12"/>
      <c r="F113" s="12"/>
      <c r="G113" s="12"/>
      <c r="H113" s="24" t="str">
        <f aca="false">IF(OR(B113="",D113="",E113=""),"",IFERROR(IF(AND(D113="Poshmark",E113&lt;Settings!$B$20),Settings!$B$21,(E113+IF(INDEX(Settings!$E$4:$E$11,MATCH($D113,Settings!$A$4:$A$11,0))="Y",N(F113),0))*(INDEX(Settings!$B$4:$B$11,MATCH($D113,Settings!$A$4:$A$11,0))+INDEX(Settings!$D$4:$D$11,MATCH($D113,Settings!$A$4:$A$11,0)))+INDEX(Settings!$C$4:$C$11,MATCH($D113,Settings!$A$4:$A$11,0))),0))</f>
        <v/>
      </c>
      <c r="I113" s="12"/>
      <c r="J113" s="12"/>
      <c r="K113" s="24" t="str">
        <f aca="false">IF($B113="","",IFERROR(INDEX(Inventory!$J$4:$J$503,MATCH($B113,Inventory!$A$4:$A$503,0)),0))</f>
        <v/>
      </c>
      <c r="L113" s="24" t="str">
        <f aca="false">IF(OR(B113="",E113=""),"",E113+N(F113)-N(G113)-N(H113)-N(J113)-N(K113))</f>
        <v/>
      </c>
      <c r="M113" s="28" t="str">
        <f aca="false">IF(OR(L113="",N(K113)=0),"",L113/K113)</f>
        <v/>
      </c>
      <c r="N113" s="25" t="str">
        <f aca="false">IF(OR(A113="",B113=""),"",IFERROR(A113-INDEX(Inventory!$B$4:$B$503,MATCH($B113,Inventory!$A$4:$A$503,0)),""))</f>
        <v/>
      </c>
      <c r="O113" s="27" t="str">
        <f aca="false">IF($B113="","",IFERROR(INDEX(Inventory!$F$4:$F$503,MATCH($B113,Inventory!$A$4:$A$503,0)),""))</f>
        <v/>
      </c>
      <c r="P113" s="27" t="str">
        <f aca="false">IF($B113="","",IFERROR(INDEX(Inventory!$C$4:$C$503,MATCH($B113,Inventory!$A$4:$A$503,0)),""))</f>
        <v/>
      </c>
    </row>
    <row r="114" customFormat="false" ht="15" hidden="false" customHeight="false" outlineLevel="0" collapsed="false">
      <c r="A114" s="19"/>
      <c r="B114" s="10"/>
      <c r="C114" s="23" t="str">
        <f aca="false">IF($B114="","",IFERROR(INDEX(Inventory!$E$4:$E$503,MATCH($B114,Inventory!$A$4:$A$503,0)),"SKU not found"))</f>
        <v/>
      </c>
      <c r="D114" s="10"/>
      <c r="E114" s="12"/>
      <c r="F114" s="12"/>
      <c r="G114" s="12"/>
      <c r="H114" s="24" t="str">
        <f aca="false">IF(OR(B114="",D114="",E114=""),"",IFERROR(IF(AND(D114="Poshmark",E114&lt;Settings!$B$20),Settings!$B$21,(E114+IF(INDEX(Settings!$E$4:$E$11,MATCH($D114,Settings!$A$4:$A$11,0))="Y",N(F114),0))*(INDEX(Settings!$B$4:$B$11,MATCH($D114,Settings!$A$4:$A$11,0))+INDEX(Settings!$D$4:$D$11,MATCH($D114,Settings!$A$4:$A$11,0)))+INDEX(Settings!$C$4:$C$11,MATCH($D114,Settings!$A$4:$A$11,0))),0))</f>
        <v/>
      </c>
      <c r="I114" s="12"/>
      <c r="J114" s="12"/>
      <c r="K114" s="24" t="str">
        <f aca="false">IF($B114="","",IFERROR(INDEX(Inventory!$J$4:$J$503,MATCH($B114,Inventory!$A$4:$A$503,0)),0))</f>
        <v/>
      </c>
      <c r="L114" s="24" t="str">
        <f aca="false">IF(OR(B114="",E114=""),"",E114+N(F114)-N(G114)-N(H114)-N(J114)-N(K114))</f>
        <v/>
      </c>
      <c r="M114" s="28" t="str">
        <f aca="false">IF(OR(L114="",N(K114)=0),"",L114/K114)</f>
        <v/>
      </c>
      <c r="N114" s="25" t="str">
        <f aca="false">IF(OR(A114="",B114=""),"",IFERROR(A114-INDEX(Inventory!$B$4:$B$503,MATCH($B114,Inventory!$A$4:$A$503,0)),""))</f>
        <v/>
      </c>
      <c r="O114" s="27" t="str">
        <f aca="false">IF($B114="","",IFERROR(INDEX(Inventory!$F$4:$F$503,MATCH($B114,Inventory!$A$4:$A$503,0)),""))</f>
        <v/>
      </c>
      <c r="P114" s="27" t="str">
        <f aca="false">IF($B114="","",IFERROR(INDEX(Inventory!$C$4:$C$503,MATCH($B114,Inventory!$A$4:$A$503,0)),""))</f>
        <v/>
      </c>
    </row>
    <row r="115" customFormat="false" ht="15" hidden="false" customHeight="false" outlineLevel="0" collapsed="false">
      <c r="A115" s="19"/>
      <c r="B115" s="10"/>
      <c r="C115" s="23" t="str">
        <f aca="false">IF($B115="","",IFERROR(INDEX(Inventory!$E$4:$E$503,MATCH($B115,Inventory!$A$4:$A$503,0)),"SKU not found"))</f>
        <v/>
      </c>
      <c r="D115" s="10"/>
      <c r="E115" s="12"/>
      <c r="F115" s="12"/>
      <c r="G115" s="12"/>
      <c r="H115" s="24" t="str">
        <f aca="false">IF(OR(B115="",D115="",E115=""),"",IFERROR(IF(AND(D115="Poshmark",E115&lt;Settings!$B$20),Settings!$B$21,(E115+IF(INDEX(Settings!$E$4:$E$11,MATCH($D115,Settings!$A$4:$A$11,0))="Y",N(F115),0))*(INDEX(Settings!$B$4:$B$11,MATCH($D115,Settings!$A$4:$A$11,0))+INDEX(Settings!$D$4:$D$11,MATCH($D115,Settings!$A$4:$A$11,0)))+INDEX(Settings!$C$4:$C$11,MATCH($D115,Settings!$A$4:$A$11,0))),0))</f>
        <v/>
      </c>
      <c r="I115" s="12"/>
      <c r="J115" s="12"/>
      <c r="K115" s="24" t="str">
        <f aca="false">IF($B115="","",IFERROR(INDEX(Inventory!$J$4:$J$503,MATCH($B115,Inventory!$A$4:$A$503,0)),0))</f>
        <v/>
      </c>
      <c r="L115" s="24" t="str">
        <f aca="false">IF(OR(B115="",E115=""),"",E115+N(F115)-N(G115)-N(H115)-N(J115)-N(K115))</f>
        <v/>
      </c>
      <c r="M115" s="28" t="str">
        <f aca="false">IF(OR(L115="",N(K115)=0),"",L115/K115)</f>
        <v/>
      </c>
      <c r="N115" s="25" t="str">
        <f aca="false">IF(OR(A115="",B115=""),"",IFERROR(A115-INDEX(Inventory!$B$4:$B$503,MATCH($B115,Inventory!$A$4:$A$503,0)),""))</f>
        <v/>
      </c>
      <c r="O115" s="27" t="str">
        <f aca="false">IF($B115="","",IFERROR(INDEX(Inventory!$F$4:$F$503,MATCH($B115,Inventory!$A$4:$A$503,0)),""))</f>
        <v/>
      </c>
      <c r="P115" s="27" t="str">
        <f aca="false">IF($B115="","",IFERROR(INDEX(Inventory!$C$4:$C$503,MATCH($B115,Inventory!$A$4:$A$503,0)),""))</f>
        <v/>
      </c>
    </row>
    <row r="116" customFormat="false" ht="15" hidden="false" customHeight="false" outlineLevel="0" collapsed="false">
      <c r="A116" s="19"/>
      <c r="B116" s="10"/>
      <c r="C116" s="23" t="str">
        <f aca="false">IF($B116="","",IFERROR(INDEX(Inventory!$E$4:$E$503,MATCH($B116,Inventory!$A$4:$A$503,0)),"SKU not found"))</f>
        <v/>
      </c>
      <c r="D116" s="10"/>
      <c r="E116" s="12"/>
      <c r="F116" s="12"/>
      <c r="G116" s="12"/>
      <c r="H116" s="24" t="str">
        <f aca="false">IF(OR(B116="",D116="",E116=""),"",IFERROR(IF(AND(D116="Poshmark",E116&lt;Settings!$B$20),Settings!$B$21,(E116+IF(INDEX(Settings!$E$4:$E$11,MATCH($D116,Settings!$A$4:$A$11,0))="Y",N(F116),0))*(INDEX(Settings!$B$4:$B$11,MATCH($D116,Settings!$A$4:$A$11,0))+INDEX(Settings!$D$4:$D$11,MATCH($D116,Settings!$A$4:$A$11,0)))+INDEX(Settings!$C$4:$C$11,MATCH($D116,Settings!$A$4:$A$11,0))),0))</f>
        <v/>
      </c>
      <c r="I116" s="12"/>
      <c r="J116" s="12"/>
      <c r="K116" s="24" t="str">
        <f aca="false">IF($B116="","",IFERROR(INDEX(Inventory!$J$4:$J$503,MATCH($B116,Inventory!$A$4:$A$503,0)),0))</f>
        <v/>
      </c>
      <c r="L116" s="24" t="str">
        <f aca="false">IF(OR(B116="",E116=""),"",E116+N(F116)-N(G116)-N(H116)-N(J116)-N(K116))</f>
        <v/>
      </c>
      <c r="M116" s="28" t="str">
        <f aca="false">IF(OR(L116="",N(K116)=0),"",L116/K116)</f>
        <v/>
      </c>
      <c r="N116" s="25" t="str">
        <f aca="false">IF(OR(A116="",B116=""),"",IFERROR(A116-INDEX(Inventory!$B$4:$B$503,MATCH($B116,Inventory!$A$4:$A$503,0)),""))</f>
        <v/>
      </c>
      <c r="O116" s="27" t="str">
        <f aca="false">IF($B116="","",IFERROR(INDEX(Inventory!$F$4:$F$503,MATCH($B116,Inventory!$A$4:$A$503,0)),""))</f>
        <v/>
      </c>
      <c r="P116" s="27" t="str">
        <f aca="false">IF($B116="","",IFERROR(INDEX(Inventory!$C$4:$C$503,MATCH($B116,Inventory!$A$4:$A$503,0)),""))</f>
        <v/>
      </c>
    </row>
    <row r="117" customFormat="false" ht="15" hidden="false" customHeight="false" outlineLevel="0" collapsed="false">
      <c r="A117" s="19"/>
      <c r="B117" s="10"/>
      <c r="C117" s="23" t="str">
        <f aca="false">IF($B117="","",IFERROR(INDEX(Inventory!$E$4:$E$503,MATCH($B117,Inventory!$A$4:$A$503,0)),"SKU not found"))</f>
        <v/>
      </c>
      <c r="D117" s="10"/>
      <c r="E117" s="12"/>
      <c r="F117" s="12"/>
      <c r="G117" s="12"/>
      <c r="H117" s="24" t="str">
        <f aca="false">IF(OR(B117="",D117="",E117=""),"",IFERROR(IF(AND(D117="Poshmark",E117&lt;Settings!$B$20),Settings!$B$21,(E117+IF(INDEX(Settings!$E$4:$E$11,MATCH($D117,Settings!$A$4:$A$11,0))="Y",N(F117),0))*(INDEX(Settings!$B$4:$B$11,MATCH($D117,Settings!$A$4:$A$11,0))+INDEX(Settings!$D$4:$D$11,MATCH($D117,Settings!$A$4:$A$11,0)))+INDEX(Settings!$C$4:$C$11,MATCH($D117,Settings!$A$4:$A$11,0))),0))</f>
        <v/>
      </c>
      <c r="I117" s="12"/>
      <c r="J117" s="12"/>
      <c r="K117" s="24" t="str">
        <f aca="false">IF($B117="","",IFERROR(INDEX(Inventory!$J$4:$J$503,MATCH($B117,Inventory!$A$4:$A$503,0)),0))</f>
        <v/>
      </c>
      <c r="L117" s="24" t="str">
        <f aca="false">IF(OR(B117="",E117=""),"",E117+N(F117)-N(G117)-N(H117)-N(J117)-N(K117))</f>
        <v/>
      </c>
      <c r="M117" s="28" t="str">
        <f aca="false">IF(OR(L117="",N(K117)=0),"",L117/K117)</f>
        <v/>
      </c>
      <c r="N117" s="25" t="str">
        <f aca="false">IF(OR(A117="",B117=""),"",IFERROR(A117-INDEX(Inventory!$B$4:$B$503,MATCH($B117,Inventory!$A$4:$A$503,0)),""))</f>
        <v/>
      </c>
      <c r="O117" s="27" t="str">
        <f aca="false">IF($B117="","",IFERROR(INDEX(Inventory!$F$4:$F$503,MATCH($B117,Inventory!$A$4:$A$503,0)),""))</f>
        <v/>
      </c>
      <c r="P117" s="27" t="str">
        <f aca="false">IF($B117="","",IFERROR(INDEX(Inventory!$C$4:$C$503,MATCH($B117,Inventory!$A$4:$A$503,0)),""))</f>
        <v/>
      </c>
    </row>
    <row r="118" customFormat="false" ht="15" hidden="false" customHeight="false" outlineLevel="0" collapsed="false">
      <c r="A118" s="19"/>
      <c r="B118" s="10"/>
      <c r="C118" s="23" t="str">
        <f aca="false">IF($B118="","",IFERROR(INDEX(Inventory!$E$4:$E$503,MATCH($B118,Inventory!$A$4:$A$503,0)),"SKU not found"))</f>
        <v/>
      </c>
      <c r="D118" s="10"/>
      <c r="E118" s="12"/>
      <c r="F118" s="12"/>
      <c r="G118" s="12"/>
      <c r="H118" s="24" t="str">
        <f aca="false">IF(OR(B118="",D118="",E118=""),"",IFERROR(IF(AND(D118="Poshmark",E118&lt;Settings!$B$20),Settings!$B$21,(E118+IF(INDEX(Settings!$E$4:$E$11,MATCH($D118,Settings!$A$4:$A$11,0))="Y",N(F118),0))*(INDEX(Settings!$B$4:$B$11,MATCH($D118,Settings!$A$4:$A$11,0))+INDEX(Settings!$D$4:$D$11,MATCH($D118,Settings!$A$4:$A$11,0)))+INDEX(Settings!$C$4:$C$11,MATCH($D118,Settings!$A$4:$A$11,0))),0))</f>
        <v/>
      </c>
      <c r="I118" s="12"/>
      <c r="J118" s="12"/>
      <c r="K118" s="24" t="str">
        <f aca="false">IF($B118="","",IFERROR(INDEX(Inventory!$J$4:$J$503,MATCH($B118,Inventory!$A$4:$A$503,0)),0))</f>
        <v/>
      </c>
      <c r="L118" s="24" t="str">
        <f aca="false">IF(OR(B118="",E118=""),"",E118+N(F118)-N(G118)-N(H118)-N(J118)-N(K118))</f>
        <v/>
      </c>
      <c r="M118" s="28" t="str">
        <f aca="false">IF(OR(L118="",N(K118)=0),"",L118/K118)</f>
        <v/>
      </c>
      <c r="N118" s="25" t="str">
        <f aca="false">IF(OR(A118="",B118=""),"",IFERROR(A118-INDEX(Inventory!$B$4:$B$503,MATCH($B118,Inventory!$A$4:$A$503,0)),""))</f>
        <v/>
      </c>
      <c r="O118" s="27" t="str">
        <f aca="false">IF($B118="","",IFERROR(INDEX(Inventory!$F$4:$F$503,MATCH($B118,Inventory!$A$4:$A$503,0)),""))</f>
        <v/>
      </c>
      <c r="P118" s="27" t="str">
        <f aca="false">IF($B118="","",IFERROR(INDEX(Inventory!$C$4:$C$503,MATCH($B118,Inventory!$A$4:$A$503,0)),""))</f>
        <v/>
      </c>
    </row>
    <row r="119" customFormat="false" ht="15" hidden="false" customHeight="false" outlineLevel="0" collapsed="false">
      <c r="A119" s="19"/>
      <c r="B119" s="10"/>
      <c r="C119" s="23" t="str">
        <f aca="false">IF($B119="","",IFERROR(INDEX(Inventory!$E$4:$E$503,MATCH($B119,Inventory!$A$4:$A$503,0)),"SKU not found"))</f>
        <v/>
      </c>
      <c r="D119" s="10"/>
      <c r="E119" s="12"/>
      <c r="F119" s="12"/>
      <c r="G119" s="12"/>
      <c r="H119" s="24" t="str">
        <f aca="false">IF(OR(B119="",D119="",E119=""),"",IFERROR(IF(AND(D119="Poshmark",E119&lt;Settings!$B$20),Settings!$B$21,(E119+IF(INDEX(Settings!$E$4:$E$11,MATCH($D119,Settings!$A$4:$A$11,0))="Y",N(F119),0))*(INDEX(Settings!$B$4:$B$11,MATCH($D119,Settings!$A$4:$A$11,0))+INDEX(Settings!$D$4:$D$11,MATCH($D119,Settings!$A$4:$A$11,0)))+INDEX(Settings!$C$4:$C$11,MATCH($D119,Settings!$A$4:$A$11,0))),0))</f>
        <v/>
      </c>
      <c r="I119" s="12"/>
      <c r="J119" s="12"/>
      <c r="K119" s="24" t="str">
        <f aca="false">IF($B119="","",IFERROR(INDEX(Inventory!$J$4:$J$503,MATCH($B119,Inventory!$A$4:$A$503,0)),0))</f>
        <v/>
      </c>
      <c r="L119" s="24" t="str">
        <f aca="false">IF(OR(B119="",E119=""),"",E119+N(F119)-N(G119)-N(H119)-N(J119)-N(K119))</f>
        <v/>
      </c>
      <c r="M119" s="28" t="str">
        <f aca="false">IF(OR(L119="",N(K119)=0),"",L119/K119)</f>
        <v/>
      </c>
      <c r="N119" s="25" t="str">
        <f aca="false">IF(OR(A119="",B119=""),"",IFERROR(A119-INDEX(Inventory!$B$4:$B$503,MATCH($B119,Inventory!$A$4:$A$503,0)),""))</f>
        <v/>
      </c>
      <c r="O119" s="27" t="str">
        <f aca="false">IF($B119="","",IFERROR(INDEX(Inventory!$F$4:$F$503,MATCH($B119,Inventory!$A$4:$A$503,0)),""))</f>
        <v/>
      </c>
      <c r="P119" s="27" t="str">
        <f aca="false">IF($B119="","",IFERROR(INDEX(Inventory!$C$4:$C$503,MATCH($B119,Inventory!$A$4:$A$503,0)),""))</f>
        <v/>
      </c>
    </row>
    <row r="120" customFormat="false" ht="15" hidden="false" customHeight="false" outlineLevel="0" collapsed="false">
      <c r="A120" s="19"/>
      <c r="B120" s="10"/>
      <c r="C120" s="23" t="str">
        <f aca="false">IF($B120="","",IFERROR(INDEX(Inventory!$E$4:$E$503,MATCH($B120,Inventory!$A$4:$A$503,0)),"SKU not found"))</f>
        <v/>
      </c>
      <c r="D120" s="10"/>
      <c r="E120" s="12"/>
      <c r="F120" s="12"/>
      <c r="G120" s="12"/>
      <c r="H120" s="24" t="str">
        <f aca="false">IF(OR(B120="",D120="",E120=""),"",IFERROR(IF(AND(D120="Poshmark",E120&lt;Settings!$B$20),Settings!$B$21,(E120+IF(INDEX(Settings!$E$4:$E$11,MATCH($D120,Settings!$A$4:$A$11,0))="Y",N(F120),0))*(INDEX(Settings!$B$4:$B$11,MATCH($D120,Settings!$A$4:$A$11,0))+INDEX(Settings!$D$4:$D$11,MATCH($D120,Settings!$A$4:$A$11,0)))+INDEX(Settings!$C$4:$C$11,MATCH($D120,Settings!$A$4:$A$11,0))),0))</f>
        <v/>
      </c>
      <c r="I120" s="12"/>
      <c r="J120" s="12"/>
      <c r="K120" s="24" t="str">
        <f aca="false">IF($B120="","",IFERROR(INDEX(Inventory!$J$4:$J$503,MATCH($B120,Inventory!$A$4:$A$503,0)),0))</f>
        <v/>
      </c>
      <c r="L120" s="24" t="str">
        <f aca="false">IF(OR(B120="",E120=""),"",E120+N(F120)-N(G120)-N(H120)-N(J120)-N(K120))</f>
        <v/>
      </c>
      <c r="M120" s="28" t="str">
        <f aca="false">IF(OR(L120="",N(K120)=0),"",L120/K120)</f>
        <v/>
      </c>
      <c r="N120" s="25" t="str">
        <f aca="false">IF(OR(A120="",B120=""),"",IFERROR(A120-INDEX(Inventory!$B$4:$B$503,MATCH($B120,Inventory!$A$4:$A$503,0)),""))</f>
        <v/>
      </c>
      <c r="O120" s="27" t="str">
        <f aca="false">IF($B120="","",IFERROR(INDEX(Inventory!$F$4:$F$503,MATCH($B120,Inventory!$A$4:$A$503,0)),""))</f>
        <v/>
      </c>
      <c r="P120" s="27" t="str">
        <f aca="false">IF($B120="","",IFERROR(INDEX(Inventory!$C$4:$C$503,MATCH($B120,Inventory!$A$4:$A$503,0)),""))</f>
        <v/>
      </c>
    </row>
    <row r="121" customFormat="false" ht="15" hidden="false" customHeight="false" outlineLevel="0" collapsed="false">
      <c r="A121" s="19"/>
      <c r="B121" s="10"/>
      <c r="C121" s="23" t="str">
        <f aca="false">IF($B121="","",IFERROR(INDEX(Inventory!$E$4:$E$503,MATCH($B121,Inventory!$A$4:$A$503,0)),"SKU not found"))</f>
        <v/>
      </c>
      <c r="D121" s="10"/>
      <c r="E121" s="12"/>
      <c r="F121" s="12"/>
      <c r="G121" s="12"/>
      <c r="H121" s="24" t="str">
        <f aca="false">IF(OR(B121="",D121="",E121=""),"",IFERROR(IF(AND(D121="Poshmark",E121&lt;Settings!$B$20),Settings!$B$21,(E121+IF(INDEX(Settings!$E$4:$E$11,MATCH($D121,Settings!$A$4:$A$11,0))="Y",N(F121),0))*(INDEX(Settings!$B$4:$B$11,MATCH($D121,Settings!$A$4:$A$11,0))+INDEX(Settings!$D$4:$D$11,MATCH($D121,Settings!$A$4:$A$11,0)))+INDEX(Settings!$C$4:$C$11,MATCH($D121,Settings!$A$4:$A$11,0))),0))</f>
        <v/>
      </c>
      <c r="I121" s="12"/>
      <c r="J121" s="12"/>
      <c r="K121" s="24" t="str">
        <f aca="false">IF($B121="","",IFERROR(INDEX(Inventory!$J$4:$J$503,MATCH($B121,Inventory!$A$4:$A$503,0)),0))</f>
        <v/>
      </c>
      <c r="L121" s="24" t="str">
        <f aca="false">IF(OR(B121="",E121=""),"",E121+N(F121)-N(G121)-N(H121)-N(J121)-N(K121))</f>
        <v/>
      </c>
      <c r="M121" s="28" t="str">
        <f aca="false">IF(OR(L121="",N(K121)=0),"",L121/K121)</f>
        <v/>
      </c>
      <c r="N121" s="25" t="str">
        <f aca="false">IF(OR(A121="",B121=""),"",IFERROR(A121-INDEX(Inventory!$B$4:$B$503,MATCH($B121,Inventory!$A$4:$A$503,0)),""))</f>
        <v/>
      </c>
      <c r="O121" s="27" t="str">
        <f aca="false">IF($B121="","",IFERROR(INDEX(Inventory!$F$4:$F$503,MATCH($B121,Inventory!$A$4:$A$503,0)),""))</f>
        <v/>
      </c>
      <c r="P121" s="27" t="str">
        <f aca="false">IF($B121="","",IFERROR(INDEX(Inventory!$C$4:$C$503,MATCH($B121,Inventory!$A$4:$A$503,0)),""))</f>
        <v/>
      </c>
    </row>
    <row r="122" customFormat="false" ht="15" hidden="false" customHeight="false" outlineLevel="0" collapsed="false">
      <c r="A122" s="19"/>
      <c r="B122" s="10"/>
      <c r="C122" s="23" t="str">
        <f aca="false">IF($B122="","",IFERROR(INDEX(Inventory!$E$4:$E$503,MATCH($B122,Inventory!$A$4:$A$503,0)),"SKU not found"))</f>
        <v/>
      </c>
      <c r="D122" s="10"/>
      <c r="E122" s="12"/>
      <c r="F122" s="12"/>
      <c r="G122" s="12"/>
      <c r="H122" s="24" t="str">
        <f aca="false">IF(OR(B122="",D122="",E122=""),"",IFERROR(IF(AND(D122="Poshmark",E122&lt;Settings!$B$20),Settings!$B$21,(E122+IF(INDEX(Settings!$E$4:$E$11,MATCH($D122,Settings!$A$4:$A$11,0))="Y",N(F122),0))*(INDEX(Settings!$B$4:$B$11,MATCH($D122,Settings!$A$4:$A$11,0))+INDEX(Settings!$D$4:$D$11,MATCH($D122,Settings!$A$4:$A$11,0)))+INDEX(Settings!$C$4:$C$11,MATCH($D122,Settings!$A$4:$A$11,0))),0))</f>
        <v/>
      </c>
      <c r="I122" s="12"/>
      <c r="J122" s="12"/>
      <c r="K122" s="24" t="str">
        <f aca="false">IF($B122="","",IFERROR(INDEX(Inventory!$J$4:$J$503,MATCH($B122,Inventory!$A$4:$A$503,0)),0))</f>
        <v/>
      </c>
      <c r="L122" s="24" t="str">
        <f aca="false">IF(OR(B122="",E122=""),"",E122+N(F122)-N(G122)-N(H122)-N(J122)-N(K122))</f>
        <v/>
      </c>
      <c r="M122" s="28" t="str">
        <f aca="false">IF(OR(L122="",N(K122)=0),"",L122/K122)</f>
        <v/>
      </c>
      <c r="N122" s="25" t="str">
        <f aca="false">IF(OR(A122="",B122=""),"",IFERROR(A122-INDEX(Inventory!$B$4:$B$503,MATCH($B122,Inventory!$A$4:$A$503,0)),""))</f>
        <v/>
      </c>
      <c r="O122" s="27" t="str">
        <f aca="false">IF($B122="","",IFERROR(INDEX(Inventory!$F$4:$F$503,MATCH($B122,Inventory!$A$4:$A$503,0)),""))</f>
        <v/>
      </c>
      <c r="P122" s="27" t="str">
        <f aca="false">IF($B122="","",IFERROR(INDEX(Inventory!$C$4:$C$503,MATCH($B122,Inventory!$A$4:$A$503,0)),""))</f>
        <v/>
      </c>
    </row>
    <row r="123" customFormat="false" ht="15" hidden="false" customHeight="false" outlineLevel="0" collapsed="false">
      <c r="A123" s="19"/>
      <c r="B123" s="10"/>
      <c r="C123" s="23" t="str">
        <f aca="false">IF($B123="","",IFERROR(INDEX(Inventory!$E$4:$E$503,MATCH($B123,Inventory!$A$4:$A$503,0)),"SKU not found"))</f>
        <v/>
      </c>
      <c r="D123" s="10"/>
      <c r="E123" s="12"/>
      <c r="F123" s="12"/>
      <c r="G123" s="12"/>
      <c r="H123" s="24" t="str">
        <f aca="false">IF(OR(B123="",D123="",E123=""),"",IFERROR(IF(AND(D123="Poshmark",E123&lt;Settings!$B$20),Settings!$B$21,(E123+IF(INDEX(Settings!$E$4:$E$11,MATCH($D123,Settings!$A$4:$A$11,0))="Y",N(F123),0))*(INDEX(Settings!$B$4:$B$11,MATCH($D123,Settings!$A$4:$A$11,0))+INDEX(Settings!$D$4:$D$11,MATCH($D123,Settings!$A$4:$A$11,0)))+INDEX(Settings!$C$4:$C$11,MATCH($D123,Settings!$A$4:$A$11,0))),0))</f>
        <v/>
      </c>
      <c r="I123" s="12"/>
      <c r="J123" s="12"/>
      <c r="K123" s="24" t="str">
        <f aca="false">IF($B123="","",IFERROR(INDEX(Inventory!$J$4:$J$503,MATCH($B123,Inventory!$A$4:$A$503,0)),0))</f>
        <v/>
      </c>
      <c r="L123" s="24" t="str">
        <f aca="false">IF(OR(B123="",E123=""),"",E123+N(F123)-N(G123)-N(H123)-N(J123)-N(K123))</f>
        <v/>
      </c>
      <c r="M123" s="28" t="str">
        <f aca="false">IF(OR(L123="",N(K123)=0),"",L123/K123)</f>
        <v/>
      </c>
      <c r="N123" s="25" t="str">
        <f aca="false">IF(OR(A123="",B123=""),"",IFERROR(A123-INDEX(Inventory!$B$4:$B$503,MATCH($B123,Inventory!$A$4:$A$503,0)),""))</f>
        <v/>
      </c>
      <c r="O123" s="27" t="str">
        <f aca="false">IF($B123="","",IFERROR(INDEX(Inventory!$F$4:$F$503,MATCH($B123,Inventory!$A$4:$A$503,0)),""))</f>
        <v/>
      </c>
      <c r="P123" s="27" t="str">
        <f aca="false">IF($B123="","",IFERROR(INDEX(Inventory!$C$4:$C$503,MATCH($B123,Inventory!$A$4:$A$503,0)),""))</f>
        <v/>
      </c>
    </row>
    <row r="124" customFormat="false" ht="15" hidden="false" customHeight="false" outlineLevel="0" collapsed="false">
      <c r="A124" s="19"/>
      <c r="B124" s="10"/>
      <c r="C124" s="23" t="str">
        <f aca="false">IF($B124="","",IFERROR(INDEX(Inventory!$E$4:$E$503,MATCH($B124,Inventory!$A$4:$A$503,0)),"SKU not found"))</f>
        <v/>
      </c>
      <c r="D124" s="10"/>
      <c r="E124" s="12"/>
      <c r="F124" s="12"/>
      <c r="G124" s="12"/>
      <c r="H124" s="24" t="str">
        <f aca="false">IF(OR(B124="",D124="",E124=""),"",IFERROR(IF(AND(D124="Poshmark",E124&lt;Settings!$B$20),Settings!$B$21,(E124+IF(INDEX(Settings!$E$4:$E$11,MATCH($D124,Settings!$A$4:$A$11,0))="Y",N(F124),0))*(INDEX(Settings!$B$4:$B$11,MATCH($D124,Settings!$A$4:$A$11,0))+INDEX(Settings!$D$4:$D$11,MATCH($D124,Settings!$A$4:$A$11,0)))+INDEX(Settings!$C$4:$C$11,MATCH($D124,Settings!$A$4:$A$11,0))),0))</f>
        <v/>
      </c>
      <c r="I124" s="12"/>
      <c r="J124" s="12"/>
      <c r="K124" s="24" t="str">
        <f aca="false">IF($B124="","",IFERROR(INDEX(Inventory!$J$4:$J$503,MATCH($B124,Inventory!$A$4:$A$503,0)),0))</f>
        <v/>
      </c>
      <c r="L124" s="24" t="str">
        <f aca="false">IF(OR(B124="",E124=""),"",E124+N(F124)-N(G124)-N(H124)-N(J124)-N(K124))</f>
        <v/>
      </c>
      <c r="M124" s="28" t="str">
        <f aca="false">IF(OR(L124="",N(K124)=0),"",L124/K124)</f>
        <v/>
      </c>
      <c r="N124" s="25" t="str">
        <f aca="false">IF(OR(A124="",B124=""),"",IFERROR(A124-INDEX(Inventory!$B$4:$B$503,MATCH($B124,Inventory!$A$4:$A$503,0)),""))</f>
        <v/>
      </c>
      <c r="O124" s="27" t="str">
        <f aca="false">IF($B124="","",IFERROR(INDEX(Inventory!$F$4:$F$503,MATCH($B124,Inventory!$A$4:$A$503,0)),""))</f>
        <v/>
      </c>
      <c r="P124" s="27" t="str">
        <f aca="false">IF($B124="","",IFERROR(INDEX(Inventory!$C$4:$C$503,MATCH($B124,Inventory!$A$4:$A$503,0)),""))</f>
        <v/>
      </c>
    </row>
    <row r="125" customFormat="false" ht="15" hidden="false" customHeight="false" outlineLevel="0" collapsed="false">
      <c r="A125" s="19"/>
      <c r="B125" s="10"/>
      <c r="C125" s="23" t="str">
        <f aca="false">IF($B125="","",IFERROR(INDEX(Inventory!$E$4:$E$503,MATCH($B125,Inventory!$A$4:$A$503,0)),"SKU not found"))</f>
        <v/>
      </c>
      <c r="D125" s="10"/>
      <c r="E125" s="12"/>
      <c r="F125" s="12"/>
      <c r="G125" s="12"/>
      <c r="H125" s="24" t="str">
        <f aca="false">IF(OR(B125="",D125="",E125=""),"",IFERROR(IF(AND(D125="Poshmark",E125&lt;Settings!$B$20),Settings!$B$21,(E125+IF(INDEX(Settings!$E$4:$E$11,MATCH($D125,Settings!$A$4:$A$11,0))="Y",N(F125),0))*(INDEX(Settings!$B$4:$B$11,MATCH($D125,Settings!$A$4:$A$11,0))+INDEX(Settings!$D$4:$D$11,MATCH($D125,Settings!$A$4:$A$11,0)))+INDEX(Settings!$C$4:$C$11,MATCH($D125,Settings!$A$4:$A$11,0))),0))</f>
        <v/>
      </c>
      <c r="I125" s="12"/>
      <c r="J125" s="12"/>
      <c r="K125" s="24" t="str">
        <f aca="false">IF($B125="","",IFERROR(INDEX(Inventory!$J$4:$J$503,MATCH($B125,Inventory!$A$4:$A$503,0)),0))</f>
        <v/>
      </c>
      <c r="L125" s="24" t="str">
        <f aca="false">IF(OR(B125="",E125=""),"",E125+N(F125)-N(G125)-N(H125)-N(J125)-N(K125))</f>
        <v/>
      </c>
      <c r="M125" s="28" t="str">
        <f aca="false">IF(OR(L125="",N(K125)=0),"",L125/K125)</f>
        <v/>
      </c>
      <c r="N125" s="25" t="str">
        <f aca="false">IF(OR(A125="",B125=""),"",IFERROR(A125-INDEX(Inventory!$B$4:$B$503,MATCH($B125,Inventory!$A$4:$A$503,0)),""))</f>
        <v/>
      </c>
      <c r="O125" s="27" t="str">
        <f aca="false">IF($B125="","",IFERROR(INDEX(Inventory!$F$4:$F$503,MATCH($B125,Inventory!$A$4:$A$503,0)),""))</f>
        <v/>
      </c>
      <c r="P125" s="27" t="str">
        <f aca="false">IF($B125="","",IFERROR(INDEX(Inventory!$C$4:$C$503,MATCH($B125,Inventory!$A$4:$A$503,0)),""))</f>
        <v/>
      </c>
    </row>
    <row r="126" customFormat="false" ht="15" hidden="false" customHeight="false" outlineLevel="0" collapsed="false">
      <c r="A126" s="19"/>
      <c r="B126" s="10"/>
      <c r="C126" s="23" t="str">
        <f aca="false">IF($B126="","",IFERROR(INDEX(Inventory!$E$4:$E$503,MATCH($B126,Inventory!$A$4:$A$503,0)),"SKU not found"))</f>
        <v/>
      </c>
      <c r="D126" s="10"/>
      <c r="E126" s="12"/>
      <c r="F126" s="12"/>
      <c r="G126" s="12"/>
      <c r="H126" s="24" t="str">
        <f aca="false">IF(OR(B126="",D126="",E126=""),"",IFERROR(IF(AND(D126="Poshmark",E126&lt;Settings!$B$20),Settings!$B$21,(E126+IF(INDEX(Settings!$E$4:$E$11,MATCH($D126,Settings!$A$4:$A$11,0))="Y",N(F126),0))*(INDEX(Settings!$B$4:$B$11,MATCH($D126,Settings!$A$4:$A$11,0))+INDEX(Settings!$D$4:$D$11,MATCH($D126,Settings!$A$4:$A$11,0)))+INDEX(Settings!$C$4:$C$11,MATCH($D126,Settings!$A$4:$A$11,0))),0))</f>
        <v/>
      </c>
      <c r="I126" s="12"/>
      <c r="J126" s="12"/>
      <c r="K126" s="24" t="str">
        <f aca="false">IF($B126="","",IFERROR(INDEX(Inventory!$J$4:$J$503,MATCH($B126,Inventory!$A$4:$A$503,0)),0))</f>
        <v/>
      </c>
      <c r="L126" s="24" t="str">
        <f aca="false">IF(OR(B126="",E126=""),"",E126+N(F126)-N(G126)-N(H126)-N(J126)-N(K126))</f>
        <v/>
      </c>
      <c r="M126" s="28" t="str">
        <f aca="false">IF(OR(L126="",N(K126)=0),"",L126/K126)</f>
        <v/>
      </c>
      <c r="N126" s="25" t="str">
        <f aca="false">IF(OR(A126="",B126=""),"",IFERROR(A126-INDEX(Inventory!$B$4:$B$503,MATCH($B126,Inventory!$A$4:$A$503,0)),""))</f>
        <v/>
      </c>
      <c r="O126" s="27" t="str">
        <f aca="false">IF($B126="","",IFERROR(INDEX(Inventory!$F$4:$F$503,MATCH($B126,Inventory!$A$4:$A$503,0)),""))</f>
        <v/>
      </c>
      <c r="P126" s="27" t="str">
        <f aca="false">IF($B126="","",IFERROR(INDEX(Inventory!$C$4:$C$503,MATCH($B126,Inventory!$A$4:$A$503,0)),""))</f>
        <v/>
      </c>
    </row>
    <row r="127" customFormat="false" ht="15" hidden="false" customHeight="false" outlineLevel="0" collapsed="false">
      <c r="A127" s="19"/>
      <c r="B127" s="10"/>
      <c r="C127" s="23" t="str">
        <f aca="false">IF($B127="","",IFERROR(INDEX(Inventory!$E$4:$E$503,MATCH($B127,Inventory!$A$4:$A$503,0)),"SKU not found"))</f>
        <v/>
      </c>
      <c r="D127" s="10"/>
      <c r="E127" s="12"/>
      <c r="F127" s="12"/>
      <c r="G127" s="12"/>
      <c r="H127" s="24" t="str">
        <f aca="false">IF(OR(B127="",D127="",E127=""),"",IFERROR(IF(AND(D127="Poshmark",E127&lt;Settings!$B$20),Settings!$B$21,(E127+IF(INDEX(Settings!$E$4:$E$11,MATCH($D127,Settings!$A$4:$A$11,0))="Y",N(F127),0))*(INDEX(Settings!$B$4:$B$11,MATCH($D127,Settings!$A$4:$A$11,0))+INDEX(Settings!$D$4:$D$11,MATCH($D127,Settings!$A$4:$A$11,0)))+INDEX(Settings!$C$4:$C$11,MATCH($D127,Settings!$A$4:$A$11,0))),0))</f>
        <v/>
      </c>
      <c r="I127" s="12"/>
      <c r="J127" s="12"/>
      <c r="K127" s="24" t="str">
        <f aca="false">IF($B127="","",IFERROR(INDEX(Inventory!$J$4:$J$503,MATCH($B127,Inventory!$A$4:$A$503,0)),0))</f>
        <v/>
      </c>
      <c r="L127" s="24" t="str">
        <f aca="false">IF(OR(B127="",E127=""),"",E127+N(F127)-N(G127)-N(H127)-N(J127)-N(K127))</f>
        <v/>
      </c>
      <c r="M127" s="28" t="str">
        <f aca="false">IF(OR(L127="",N(K127)=0),"",L127/K127)</f>
        <v/>
      </c>
      <c r="N127" s="25" t="str">
        <f aca="false">IF(OR(A127="",B127=""),"",IFERROR(A127-INDEX(Inventory!$B$4:$B$503,MATCH($B127,Inventory!$A$4:$A$503,0)),""))</f>
        <v/>
      </c>
      <c r="O127" s="27" t="str">
        <f aca="false">IF($B127="","",IFERROR(INDEX(Inventory!$F$4:$F$503,MATCH($B127,Inventory!$A$4:$A$503,0)),""))</f>
        <v/>
      </c>
      <c r="P127" s="27" t="str">
        <f aca="false">IF($B127="","",IFERROR(INDEX(Inventory!$C$4:$C$503,MATCH($B127,Inventory!$A$4:$A$503,0)),""))</f>
        <v/>
      </c>
    </row>
    <row r="128" customFormat="false" ht="15" hidden="false" customHeight="false" outlineLevel="0" collapsed="false">
      <c r="A128" s="19"/>
      <c r="B128" s="10"/>
      <c r="C128" s="23" t="str">
        <f aca="false">IF($B128="","",IFERROR(INDEX(Inventory!$E$4:$E$503,MATCH($B128,Inventory!$A$4:$A$503,0)),"SKU not found"))</f>
        <v/>
      </c>
      <c r="D128" s="10"/>
      <c r="E128" s="12"/>
      <c r="F128" s="12"/>
      <c r="G128" s="12"/>
      <c r="H128" s="24" t="str">
        <f aca="false">IF(OR(B128="",D128="",E128=""),"",IFERROR(IF(AND(D128="Poshmark",E128&lt;Settings!$B$20),Settings!$B$21,(E128+IF(INDEX(Settings!$E$4:$E$11,MATCH($D128,Settings!$A$4:$A$11,0))="Y",N(F128),0))*(INDEX(Settings!$B$4:$B$11,MATCH($D128,Settings!$A$4:$A$11,0))+INDEX(Settings!$D$4:$D$11,MATCH($D128,Settings!$A$4:$A$11,0)))+INDEX(Settings!$C$4:$C$11,MATCH($D128,Settings!$A$4:$A$11,0))),0))</f>
        <v/>
      </c>
      <c r="I128" s="12"/>
      <c r="J128" s="12"/>
      <c r="K128" s="24" t="str">
        <f aca="false">IF($B128="","",IFERROR(INDEX(Inventory!$J$4:$J$503,MATCH($B128,Inventory!$A$4:$A$503,0)),0))</f>
        <v/>
      </c>
      <c r="L128" s="24" t="str">
        <f aca="false">IF(OR(B128="",E128=""),"",E128+N(F128)-N(G128)-N(H128)-N(J128)-N(K128))</f>
        <v/>
      </c>
      <c r="M128" s="28" t="str">
        <f aca="false">IF(OR(L128="",N(K128)=0),"",L128/K128)</f>
        <v/>
      </c>
      <c r="N128" s="25" t="str">
        <f aca="false">IF(OR(A128="",B128=""),"",IFERROR(A128-INDEX(Inventory!$B$4:$B$503,MATCH($B128,Inventory!$A$4:$A$503,0)),""))</f>
        <v/>
      </c>
      <c r="O128" s="27" t="str">
        <f aca="false">IF($B128="","",IFERROR(INDEX(Inventory!$F$4:$F$503,MATCH($B128,Inventory!$A$4:$A$503,0)),""))</f>
        <v/>
      </c>
      <c r="P128" s="27" t="str">
        <f aca="false">IF($B128="","",IFERROR(INDEX(Inventory!$C$4:$C$503,MATCH($B128,Inventory!$A$4:$A$503,0)),""))</f>
        <v/>
      </c>
    </row>
    <row r="129" customFormat="false" ht="15" hidden="false" customHeight="false" outlineLevel="0" collapsed="false">
      <c r="A129" s="19"/>
      <c r="B129" s="10"/>
      <c r="C129" s="23" t="str">
        <f aca="false">IF($B129="","",IFERROR(INDEX(Inventory!$E$4:$E$503,MATCH($B129,Inventory!$A$4:$A$503,0)),"SKU not found"))</f>
        <v/>
      </c>
      <c r="D129" s="10"/>
      <c r="E129" s="12"/>
      <c r="F129" s="12"/>
      <c r="G129" s="12"/>
      <c r="H129" s="24" t="str">
        <f aca="false">IF(OR(B129="",D129="",E129=""),"",IFERROR(IF(AND(D129="Poshmark",E129&lt;Settings!$B$20),Settings!$B$21,(E129+IF(INDEX(Settings!$E$4:$E$11,MATCH($D129,Settings!$A$4:$A$11,0))="Y",N(F129),0))*(INDEX(Settings!$B$4:$B$11,MATCH($D129,Settings!$A$4:$A$11,0))+INDEX(Settings!$D$4:$D$11,MATCH($D129,Settings!$A$4:$A$11,0)))+INDEX(Settings!$C$4:$C$11,MATCH($D129,Settings!$A$4:$A$11,0))),0))</f>
        <v/>
      </c>
      <c r="I129" s="12"/>
      <c r="J129" s="12"/>
      <c r="K129" s="24" t="str">
        <f aca="false">IF($B129="","",IFERROR(INDEX(Inventory!$J$4:$J$503,MATCH($B129,Inventory!$A$4:$A$503,0)),0))</f>
        <v/>
      </c>
      <c r="L129" s="24" t="str">
        <f aca="false">IF(OR(B129="",E129=""),"",E129+N(F129)-N(G129)-N(H129)-N(J129)-N(K129))</f>
        <v/>
      </c>
      <c r="M129" s="28" t="str">
        <f aca="false">IF(OR(L129="",N(K129)=0),"",L129/K129)</f>
        <v/>
      </c>
      <c r="N129" s="25" t="str">
        <f aca="false">IF(OR(A129="",B129=""),"",IFERROR(A129-INDEX(Inventory!$B$4:$B$503,MATCH($B129,Inventory!$A$4:$A$503,0)),""))</f>
        <v/>
      </c>
      <c r="O129" s="27" t="str">
        <f aca="false">IF($B129="","",IFERROR(INDEX(Inventory!$F$4:$F$503,MATCH($B129,Inventory!$A$4:$A$503,0)),""))</f>
        <v/>
      </c>
      <c r="P129" s="27" t="str">
        <f aca="false">IF($B129="","",IFERROR(INDEX(Inventory!$C$4:$C$503,MATCH($B129,Inventory!$A$4:$A$503,0)),""))</f>
        <v/>
      </c>
    </row>
    <row r="130" customFormat="false" ht="15" hidden="false" customHeight="false" outlineLevel="0" collapsed="false">
      <c r="A130" s="19"/>
      <c r="B130" s="10"/>
      <c r="C130" s="23" t="str">
        <f aca="false">IF($B130="","",IFERROR(INDEX(Inventory!$E$4:$E$503,MATCH($B130,Inventory!$A$4:$A$503,0)),"SKU not found"))</f>
        <v/>
      </c>
      <c r="D130" s="10"/>
      <c r="E130" s="12"/>
      <c r="F130" s="12"/>
      <c r="G130" s="12"/>
      <c r="H130" s="24" t="str">
        <f aca="false">IF(OR(B130="",D130="",E130=""),"",IFERROR(IF(AND(D130="Poshmark",E130&lt;Settings!$B$20),Settings!$B$21,(E130+IF(INDEX(Settings!$E$4:$E$11,MATCH($D130,Settings!$A$4:$A$11,0))="Y",N(F130),0))*(INDEX(Settings!$B$4:$B$11,MATCH($D130,Settings!$A$4:$A$11,0))+INDEX(Settings!$D$4:$D$11,MATCH($D130,Settings!$A$4:$A$11,0)))+INDEX(Settings!$C$4:$C$11,MATCH($D130,Settings!$A$4:$A$11,0))),0))</f>
        <v/>
      </c>
      <c r="I130" s="12"/>
      <c r="J130" s="12"/>
      <c r="K130" s="24" t="str">
        <f aca="false">IF($B130="","",IFERROR(INDEX(Inventory!$J$4:$J$503,MATCH($B130,Inventory!$A$4:$A$503,0)),0))</f>
        <v/>
      </c>
      <c r="L130" s="24" t="str">
        <f aca="false">IF(OR(B130="",E130=""),"",E130+N(F130)-N(G130)-N(H130)-N(J130)-N(K130))</f>
        <v/>
      </c>
      <c r="M130" s="28" t="str">
        <f aca="false">IF(OR(L130="",N(K130)=0),"",L130/K130)</f>
        <v/>
      </c>
      <c r="N130" s="25" t="str">
        <f aca="false">IF(OR(A130="",B130=""),"",IFERROR(A130-INDEX(Inventory!$B$4:$B$503,MATCH($B130,Inventory!$A$4:$A$503,0)),""))</f>
        <v/>
      </c>
      <c r="O130" s="27" t="str">
        <f aca="false">IF($B130="","",IFERROR(INDEX(Inventory!$F$4:$F$503,MATCH($B130,Inventory!$A$4:$A$503,0)),""))</f>
        <v/>
      </c>
      <c r="P130" s="27" t="str">
        <f aca="false">IF($B130="","",IFERROR(INDEX(Inventory!$C$4:$C$503,MATCH($B130,Inventory!$A$4:$A$503,0)),""))</f>
        <v/>
      </c>
    </row>
    <row r="131" customFormat="false" ht="15" hidden="false" customHeight="false" outlineLevel="0" collapsed="false">
      <c r="A131" s="19"/>
      <c r="B131" s="10"/>
      <c r="C131" s="23" t="str">
        <f aca="false">IF($B131="","",IFERROR(INDEX(Inventory!$E$4:$E$503,MATCH($B131,Inventory!$A$4:$A$503,0)),"SKU not found"))</f>
        <v/>
      </c>
      <c r="D131" s="10"/>
      <c r="E131" s="12"/>
      <c r="F131" s="12"/>
      <c r="G131" s="12"/>
      <c r="H131" s="24" t="str">
        <f aca="false">IF(OR(B131="",D131="",E131=""),"",IFERROR(IF(AND(D131="Poshmark",E131&lt;Settings!$B$20),Settings!$B$21,(E131+IF(INDEX(Settings!$E$4:$E$11,MATCH($D131,Settings!$A$4:$A$11,0))="Y",N(F131),0))*(INDEX(Settings!$B$4:$B$11,MATCH($D131,Settings!$A$4:$A$11,0))+INDEX(Settings!$D$4:$D$11,MATCH($D131,Settings!$A$4:$A$11,0)))+INDEX(Settings!$C$4:$C$11,MATCH($D131,Settings!$A$4:$A$11,0))),0))</f>
        <v/>
      </c>
      <c r="I131" s="12"/>
      <c r="J131" s="12"/>
      <c r="K131" s="24" t="str">
        <f aca="false">IF($B131="","",IFERROR(INDEX(Inventory!$J$4:$J$503,MATCH($B131,Inventory!$A$4:$A$503,0)),0))</f>
        <v/>
      </c>
      <c r="L131" s="24" t="str">
        <f aca="false">IF(OR(B131="",E131=""),"",E131+N(F131)-N(G131)-N(H131)-N(J131)-N(K131))</f>
        <v/>
      </c>
      <c r="M131" s="28" t="str">
        <f aca="false">IF(OR(L131="",N(K131)=0),"",L131/K131)</f>
        <v/>
      </c>
      <c r="N131" s="25" t="str">
        <f aca="false">IF(OR(A131="",B131=""),"",IFERROR(A131-INDEX(Inventory!$B$4:$B$503,MATCH($B131,Inventory!$A$4:$A$503,0)),""))</f>
        <v/>
      </c>
      <c r="O131" s="27" t="str">
        <f aca="false">IF($B131="","",IFERROR(INDEX(Inventory!$F$4:$F$503,MATCH($B131,Inventory!$A$4:$A$503,0)),""))</f>
        <v/>
      </c>
      <c r="P131" s="27" t="str">
        <f aca="false">IF($B131="","",IFERROR(INDEX(Inventory!$C$4:$C$503,MATCH($B131,Inventory!$A$4:$A$503,0)),""))</f>
        <v/>
      </c>
    </row>
    <row r="132" customFormat="false" ht="15" hidden="false" customHeight="false" outlineLevel="0" collapsed="false">
      <c r="A132" s="19"/>
      <c r="B132" s="10"/>
      <c r="C132" s="23" t="str">
        <f aca="false">IF($B132="","",IFERROR(INDEX(Inventory!$E$4:$E$503,MATCH($B132,Inventory!$A$4:$A$503,0)),"SKU not found"))</f>
        <v/>
      </c>
      <c r="D132" s="10"/>
      <c r="E132" s="12"/>
      <c r="F132" s="12"/>
      <c r="G132" s="12"/>
      <c r="H132" s="24" t="str">
        <f aca="false">IF(OR(B132="",D132="",E132=""),"",IFERROR(IF(AND(D132="Poshmark",E132&lt;Settings!$B$20),Settings!$B$21,(E132+IF(INDEX(Settings!$E$4:$E$11,MATCH($D132,Settings!$A$4:$A$11,0))="Y",N(F132),0))*(INDEX(Settings!$B$4:$B$11,MATCH($D132,Settings!$A$4:$A$11,0))+INDEX(Settings!$D$4:$D$11,MATCH($D132,Settings!$A$4:$A$11,0)))+INDEX(Settings!$C$4:$C$11,MATCH($D132,Settings!$A$4:$A$11,0))),0))</f>
        <v/>
      </c>
      <c r="I132" s="12"/>
      <c r="J132" s="12"/>
      <c r="K132" s="24" t="str">
        <f aca="false">IF($B132="","",IFERROR(INDEX(Inventory!$J$4:$J$503,MATCH($B132,Inventory!$A$4:$A$503,0)),0))</f>
        <v/>
      </c>
      <c r="L132" s="24" t="str">
        <f aca="false">IF(OR(B132="",E132=""),"",E132+N(F132)-N(G132)-N(H132)-N(J132)-N(K132))</f>
        <v/>
      </c>
      <c r="M132" s="28" t="str">
        <f aca="false">IF(OR(L132="",N(K132)=0),"",L132/K132)</f>
        <v/>
      </c>
      <c r="N132" s="25" t="str">
        <f aca="false">IF(OR(A132="",B132=""),"",IFERROR(A132-INDEX(Inventory!$B$4:$B$503,MATCH($B132,Inventory!$A$4:$A$503,0)),""))</f>
        <v/>
      </c>
      <c r="O132" s="27" t="str">
        <f aca="false">IF($B132="","",IFERROR(INDEX(Inventory!$F$4:$F$503,MATCH($B132,Inventory!$A$4:$A$503,0)),""))</f>
        <v/>
      </c>
      <c r="P132" s="27" t="str">
        <f aca="false">IF($B132="","",IFERROR(INDEX(Inventory!$C$4:$C$503,MATCH($B132,Inventory!$A$4:$A$503,0)),""))</f>
        <v/>
      </c>
    </row>
    <row r="133" customFormat="false" ht="15" hidden="false" customHeight="false" outlineLevel="0" collapsed="false">
      <c r="A133" s="19"/>
      <c r="B133" s="10"/>
      <c r="C133" s="23" t="str">
        <f aca="false">IF($B133="","",IFERROR(INDEX(Inventory!$E$4:$E$503,MATCH($B133,Inventory!$A$4:$A$503,0)),"SKU not found"))</f>
        <v/>
      </c>
      <c r="D133" s="10"/>
      <c r="E133" s="12"/>
      <c r="F133" s="12"/>
      <c r="G133" s="12"/>
      <c r="H133" s="24" t="str">
        <f aca="false">IF(OR(B133="",D133="",E133=""),"",IFERROR(IF(AND(D133="Poshmark",E133&lt;Settings!$B$20),Settings!$B$21,(E133+IF(INDEX(Settings!$E$4:$E$11,MATCH($D133,Settings!$A$4:$A$11,0))="Y",N(F133),0))*(INDEX(Settings!$B$4:$B$11,MATCH($D133,Settings!$A$4:$A$11,0))+INDEX(Settings!$D$4:$D$11,MATCH($D133,Settings!$A$4:$A$11,0)))+INDEX(Settings!$C$4:$C$11,MATCH($D133,Settings!$A$4:$A$11,0))),0))</f>
        <v/>
      </c>
      <c r="I133" s="12"/>
      <c r="J133" s="12"/>
      <c r="K133" s="24" t="str">
        <f aca="false">IF($B133="","",IFERROR(INDEX(Inventory!$J$4:$J$503,MATCH($B133,Inventory!$A$4:$A$503,0)),0))</f>
        <v/>
      </c>
      <c r="L133" s="24" t="str">
        <f aca="false">IF(OR(B133="",E133=""),"",E133+N(F133)-N(G133)-N(H133)-N(J133)-N(K133))</f>
        <v/>
      </c>
      <c r="M133" s="28" t="str">
        <f aca="false">IF(OR(L133="",N(K133)=0),"",L133/K133)</f>
        <v/>
      </c>
      <c r="N133" s="25" t="str">
        <f aca="false">IF(OR(A133="",B133=""),"",IFERROR(A133-INDEX(Inventory!$B$4:$B$503,MATCH($B133,Inventory!$A$4:$A$503,0)),""))</f>
        <v/>
      </c>
      <c r="O133" s="27" t="str">
        <f aca="false">IF($B133="","",IFERROR(INDEX(Inventory!$F$4:$F$503,MATCH($B133,Inventory!$A$4:$A$503,0)),""))</f>
        <v/>
      </c>
      <c r="P133" s="27" t="str">
        <f aca="false">IF($B133="","",IFERROR(INDEX(Inventory!$C$4:$C$503,MATCH($B133,Inventory!$A$4:$A$503,0)),""))</f>
        <v/>
      </c>
    </row>
    <row r="134" customFormat="false" ht="15" hidden="false" customHeight="false" outlineLevel="0" collapsed="false">
      <c r="A134" s="19"/>
      <c r="B134" s="10"/>
      <c r="C134" s="23" t="str">
        <f aca="false">IF($B134="","",IFERROR(INDEX(Inventory!$E$4:$E$503,MATCH($B134,Inventory!$A$4:$A$503,0)),"SKU not found"))</f>
        <v/>
      </c>
      <c r="D134" s="10"/>
      <c r="E134" s="12"/>
      <c r="F134" s="12"/>
      <c r="G134" s="12"/>
      <c r="H134" s="24" t="str">
        <f aca="false">IF(OR(B134="",D134="",E134=""),"",IFERROR(IF(AND(D134="Poshmark",E134&lt;Settings!$B$20),Settings!$B$21,(E134+IF(INDEX(Settings!$E$4:$E$11,MATCH($D134,Settings!$A$4:$A$11,0))="Y",N(F134),0))*(INDEX(Settings!$B$4:$B$11,MATCH($D134,Settings!$A$4:$A$11,0))+INDEX(Settings!$D$4:$D$11,MATCH($D134,Settings!$A$4:$A$11,0)))+INDEX(Settings!$C$4:$C$11,MATCH($D134,Settings!$A$4:$A$11,0))),0))</f>
        <v/>
      </c>
      <c r="I134" s="12"/>
      <c r="J134" s="12"/>
      <c r="K134" s="24" t="str">
        <f aca="false">IF($B134="","",IFERROR(INDEX(Inventory!$J$4:$J$503,MATCH($B134,Inventory!$A$4:$A$503,0)),0))</f>
        <v/>
      </c>
      <c r="L134" s="24" t="str">
        <f aca="false">IF(OR(B134="",E134=""),"",E134+N(F134)-N(G134)-N(H134)-N(J134)-N(K134))</f>
        <v/>
      </c>
      <c r="M134" s="28" t="str">
        <f aca="false">IF(OR(L134="",N(K134)=0),"",L134/K134)</f>
        <v/>
      </c>
      <c r="N134" s="25" t="str">
        <f aca="false">IF(OR(A134="",B134=""),"",IFERROR(A134-INDEX(Inventory!$B$4:$B$503,MATCH($B134,Inventory!$A$4:$A$503,0)),""))</f>
        <v/>
      </c>
      <c r="O134" s="27" t="str">
        <f aca="false">IF($B134="","",IFERROR(INDEX(Inventory!$F$4:$F$503,MATCH($B134,Inventory!$A$4:$A$503,0)),""))</f>
        <v/>
      </c>
      <c r="P134" s="27" t="str">
        <f aca="false">IF($B134="","",IFERROR(INDEX(Inventory!$C$4:$C$503,MATCH($B134,Inventory!$A$4:$A$503,0)),""))</f>
        <v/>
      </c>
    </row>
    <row r="135" customFormat="false" ht="15" hidden="false" customHeight="false" outlineLevel="0" collapsed="false">
      <c r="A135" s="19"/>
      <c r="B135" s="10"/>
      <c r="C135" s="23" t="str">
        <f aca="false">IF($B135="","",IFERROR(INDEX(Inventory!$E$4:$E$503,MATCH($B135,Inventory!$A$4:$A$503,0)),"SKU not found"))</f>
        <v/>
      </c>
      <c r="D135" s="10"/>
      <c r="E135" s="12"/>
      <c r="F135" s="12"/>
      <c r="G135" s="12"/>
      <c r="H135" s="24" t="str">
        <f aca="false">IF(OR(B135="",D135="",E135=""),"",IFERROR(IF(AND(D135="Poshmark",E135&lt;Settings!$B$20),Settings!$B$21,(E135+IF(INDEX(Settings!$E$4:$E$11,MATCH($D135,Settings!$A$4:$A$11,0))="Y",N(F135),0))*(INDEX(Settings!$B$4:$B$11,MATCH($D135,Settings!$A$4:$A$11,0))+INDEX(Settings!$D$4:$D$11,MATCH($D135,Settings!$A$4:$A$11,0)))+INDEX(Settings!$C$4:$C$11,MATCH($D135,Settings!$A$4:$A$11,0))),0))</f>
        <v/>
      </c>
      <c r="I135" s="12"/>
      <c r="J135" s="12"/>
      <c r="K135" s="24" t="str">
        <f aca="false">IF($B135="","",IFERROR(INDEX(Inventory!$J$4:$J$503,MATCH($B135,Inventory!$A$4:$A$503,0)),0))</f>
        <v/>
      </c>
      <c r="L135" s="24" t="str">
        <f aca="false">IF(OR(B135="",E135=""),"",E135+N(F135)-N(G135)-N(H135)-N(J135)-N(K135))</f>
        <v/>
      </c>
      <c r="M135" s="28" t="str">
        <f aca="false">IF(OR(L135="",N(K135)=0),"",L135/K135)</f>
        <v/>
      </c>
      <c r="N135" s="25" t="str">
        <f aca="false">IF(OR(A135="",B135=""),"",IFERROR(A135-INDEX(Inventory!$B$4:$B$503,MATCH($B135,Inventory!$A$4:$A$503,0)),""))</f>
        <v/>
      </c>
      <c r="O135" s="27" t="str">
        <f aca="false">IF($B135="","",IFERROR(INDEX(Inventory!$F$4:$F$503,MATCH($B135,Inventory!$A$4:$A$503,0)),""))</f>
        <v/>
      </c>
      <c r="P135" s="27" t="str">
        <f aca="false">IF($B135="","",IFERROR(INDEX(Inventory!$C$4:$C$503,MATCH($B135,Inventory!$A$4:$A$503,0)),""))</f>
        <v/>
      </c>
    </row>
    <row r="136" customFormat="false" ht="15" hidden="false" customHeight="false" outlineLevel="0" collapsed="false">
      <c r="A136" s="19"/>
      <c r="B136" s="10"/>
      <c r="C136" s="23" t="str">
        <f aca="false">IF($B136="","",IFERROR(INDEX(Inventory!$E$4:$E$503,MATCH($B136,Inventory!$A$4:$A$503,0)),"SKU not found"))</f>
        <v/>
      </c>
      <c r="D136" s="10"/>
      <c r="E136" s="12"/>
      <c r="F136" s="12"/>
      <c r="G136" s="12"/>
      <c r="H136" s="24" t="str">
        <f aca="false">IF(OR(B136="",D136="",E136=""),"",IFERROR(IF(AND(D136="Poshmark",E136&lt;Settings!$B$20),Settings!$B$21,(E136+IF(INDEX(Settings!$E$4:$E$11,MATCH($D136,Settings!$A$4:$A$11,0))="Y",N(F136),0))*(INDEX(Settings!$B$4:$B$11,MATCH($D136,Settings!$A$4:$A$11,0))+INDEX(Settings!$D$4:$D$11,MATCH($D136,Settings!$A$4:$A$11,0)))+INDEX(Settings!$C$4:$C$11,MATCH($D136,Settings!$A$4:$A$11,0))),0))</f>
        <v/>
      </c>
      <c r="I136" s="12"/>
      <c r="J136" s="12"/>
      <c r="K136" s="24" t="str">
        <f aca="false">IF($B136="","",IFERROR(INDEX(Inventory!$J$4:$J$503,MATCH($B136,Inventory!$A$4:$A$503,0)),0))</f>
        <v/>
      </c>
      <c r="L136" s="24" t="str">
        <f aca="false">IF(OR(B136="",E136=""),"",E136+N(F136)-N(G136)-N(H136)-N(J136)-N(K136))</f>
        <v/>
      </c>
      <c r="M136" s="28" t="str">
        <f aca="false">IF(OR(L136="",N(K136)=0),"",L136/K136)</f>
        <v/>
      </c>
      <c r="N136" s="25" t="str">
        <f aca="false">IF(OR(A136="",B136=""),"",IFERROR(A136-INDEX(Inventory!$B$4:$B$503,MATCH($B136,Inventory!$A$4:$A$503,0)),""))</f>
        <v/>
      </c>
      <c r="O136" s="27" t="str">
        <f aca="false">IF($B136="","",IFERROR(INDEX(Inventory!$F$4:$F$503,MATCH($B136,Inventory!$A$4:$A$503,0)),""))</f>
        <v/>
      </c>
      <c r="P136" s="27" t="str">
        <f aca="false">IF($B136="","",IFERROR(INDEX(Inventory!$C$4:$C$503,MATCH($B136,Inventory!$A$4:$A$503,0)),""))</f>
        <v/>
      </c>
    </row>
    <row r="137" customFormat="false" ht="15" hidden="false" customHeight="false" outlineLevel="0" collapsed="false">
      <c r="A137" s="19"/>
      <c r="B137" s="10"/>
      <c r="C137" s="23" t="str">
        <f aca="false">IF($B137="","",IFERROR(INDEX(Inventory!$E$4:$E$503,MATCH($B137,Inventory!$A$4:$A$503,0)),"SKU not found"))</f>
        <v/>
      </c>
      <c r="D137" s="10"/>
      <c r="E137" s="12"/>
      <c r="F137" s="12"/>
      <c r="G137" s="12"/>
      <c r="H137" s="24" t="str">
        <f aca="false">IF(OR(B137="",D137="",E137=""),"",IFERROR(IF(AND(D137="Poshmark",E137&lt;Settings!$B$20),Settings!$B$21,(E137+IF(INDEX(Settings!$E$4:$E$11,MATCH($D137,Settings!$A$4:$A$11,0))="Y",N(F137),0))*(INDEX(Settings!$B$4:$B$11,MATCH($D137,Settings!$A$4:$A$11,0))+INDEX(Settings!$D$4:$D$11,MATCH($D137,Settings!$A$4:$A$11,0)))+INDEX(Settings!$C$4:$C$11,MATCH($D137,Settings!$A$4:$A$11,0))),0))</f>
        <v/>
      </c>
      <c r="I137" s="12"/>
      <c r="J137" s="12"/>
      <c r="K137" s="24" t="str">
        <f aca="false">IF($B137="","",IFERROR(INDEX(Inventory!$J$4:$J$503,MATCH($B137,Inventory!$A$4:$A$503,0)),0))</f>
        <v/>
      </c>
      <c r="L137" s="24" t="str">
        <f aca="false">IF(OR(B137="",E137=""),"",E137+N(F137)-N(G137)-N(H137)-N(J137)-N(K137))</f>
        <v/>
      </c>
      <c r="M137" s="28" t="str">
        <f aca="false">IF(OR(L137="",N(K137)=0),"",L137/K137)</f>
        <v/>
      </c>
      <c r="N137" s="25" t="str">
        <f aca="false">IF(OR(A137="",B137=""),"",IFERROR(A137-INDEX(Inventory!$B$4:$B$503,MATCH($B137,Inventory!$A$4:$A$503,0)),""))</f>
        <v/>
      </c>
      <c r="O137" s="27" t="str">
        <f aca="false">IF($B137="","",IFERROR(INDEX(Inventory!$F$4:$F$503,MATCH($B137,Inventory!$A$4:$A$503,0)),""))</f>
        <v/>
      </c>
      <c r="P137" s="27" t="str">
        <f aca="false">IF($B137="","",IFERROR(INDEX(Inventory!$C$4:$C$503,MATCH($B137,Inventory!$A$4:$A$503,0)),""))</f>
        <v/>
      </c>
    </row>
    <row r="138" customFormat="false" ht="15" hidden="false" customHeight="false" outlineLevel="0" collapsed="false">
      <c r="A138" s="19"/>
      <c r="B138" s="10"/>
      <c r="C138" s="23" t="str">
        <f aca="false">IF($B138="","",IFERROR(INDEX(Inventory!$E$4:$E$503,MATCH($B138,Inventory!$A$4:$A$503,0)),"SKU not found"))</f>
        <v/>
      </c>
      <c r="D138" s="10"/>
      <c r="E138" s="12"/>
      <c r="F138" s="12"/>
      <c r="G138" s="12"/>
      <c r="H138" s="24" t="str">
        <f aca="false">IF(OR(B138="",D138="",E138=""),"",IFERROR(IF(AND(D138="Poshmark",E138&lt;Settings!$B$20),Settings!$B$21,(E138+IF(INDEX(Settings!$E$4:$E$11,MATCH($D138,Settings!$A$4:$A$11,0))="Y",N(F138),0))*(INDEX(Settings!$B$4:$B$11,MATCH($D138,Settings!$A$4:$A$11,0))+INDEX(Settings!$D$4:$D$11,MATCH($D138,Settings!$A$4:$A$11,0)))+INDEX(Settings!$C$4:$C$11,MATCH($D138,Settings!$A$4:$A$11,0))),0))</f>
        <v/>
      </c>
      <c r="I138" s="12"/>
      <c r="J138" s="12"/>
      <c r="K138" s="24" t="str">
        <f aca="false">IF($B138="","",IFERROR(INDEX(Inventory!$J$4:$J$503,MATCH($B138,Inventory!$A$4:$A$503,0)),0))</f>
        <v/>
      </c>
      <c r="L138" s="24" t="str">
        <f aca="false">IF(OR(B138="",E138=""),"",E138+N(F138)-N(G138)-N(H138)-N(J138)-N(K138))</f>
        <v/>
      </c>
      <c r="M138" s="28" t="str">
        <f aca="false">IF(OR(L138="",N(K138)=0),"",L138/K138)</f>
        <v/>
      </c>
      <c r="N138" s="25" t="str">
        <f aca="false">IF(OR(A138="",B138=""),"",IFERROR(A138-INDEX(Inventory!$B$4:$B$503,MATCH($B138,Inventory!$A$4:$A$503,0)),""))</f>
        <v/>
      </c>
      <c r="O138" s="27" t="str">
        <f aca="false">IF($B138="","",IFERROR(INDEX(Inventory!$F$4:$F$503,MATCH($B138,Inventory!$A$4:$A$503,0)),""))</f>
        <v/>
      </c>
      <c r="P138" s="27" t="str">
        <f aca="false">IF($B138="","",IFERROR(INDEX(Inventory!$C$4:$C$503,MATCH($B138,Inventory!$A$4:$A$503,0)),""))</f>
        <v/>
      </c>
    </row>
    <row r="139" customFormat="false" ht="15" hidden="false" customHeight="false" outlineLevel="0" collapsed="false">
      <c r="A139" s="19"/>
      <c r="B139" s="10"/>
      <c r="C139" s="23" t="str">
        <f aca="false">IF($B139="","",IFERROR(INDEX(Inventory!$E$4:$E$503,MATCH($B139,Inventory!$A$4:$A$503,0)),"SKU not found"))</f>
        <v/>
      </c>
      <c r="D139" s="10"/>
      <c r="E139" s="12"/>
      <c r="F139" s="12"/>
      <c r="G139" s="12"/>
      <c r="H139" s="24" t="str">
        <f aca="false">IF(OR(B139="",D139="",E139=""),"",IFERROR(IF(AND(D139="Poshmark",E139&lt;Settings!$B$20),Settings!$B$21,(E139+IF(INDEX(Settings!$E$4:$E$11,MATCH($D139,Settings!$A$4:$A$11,0))="Y",N(F139),0))*(INDEX(Settings!$B$4:$B$11,MATCH($D139,Settings!$A$4:$A$11,0))+INDEX(Settings!$D$4:$D$11,MATCH($D139,Settings!$A$4:$A$11,0)))+INDEX(Settings!$C$4:$C$11,MATCH($D139,Settings!$A$4:$A$11,0))),0))</f>
        <v/>
      </c>
      <c r="I139" s="12"/>
      <c r="J139" s="12"/>
      <c r="K139" s="24" t="str">
        <f aca="false">IF($B139="","",IFERROR(INDEX(Inventory!$J$4:$J$503,MATCH($B139,Inventory!$A$4:$A$503,0)),0))</f>
        <v/>
      </c>
      <c r="L139" s="24" t="str">
        <f aca="false">IF(OR(B139="",E139=""),"",E139+N(F139)-N(G139)-N(H139)-N(J139)-N(K139))</f>
        <v/>
      </c>
      <c r="M139" s="28" t="str">
        <f aca="false">IF(OR(L139="",N(K139)=0),"",L139/K139)</f>
        <v/>
      </c>
      <c r="N139" s="25" t="str">
        <f aca="false">IF(OR(A139="",B139=""),"",IFERROR(A139-INDEX(Inventory!$B$4:$B$503,MATCH($B139,Inventory!$A$4:$A$503,0)),""))</f>
        <v/>
      </c>
      <c r="O139" s="27" t="str">
        <f aca="false">IF($B139="","",IFERROR(INDEX(Inventory!$F$4:$F$503,MATCH($B139,Inventory!$A$4:$A$503,0)),""))</f>
        <v/>
      </c>
      <c r="P139" s="27" t="str">
        <f aca="false">IF($B139="","",IFERROR(INDEX(Inventory!$C$4:$C$503,MATCH($B139,Inventory!$A$4:$A$503,0)),""))</f>
        <v/>
      </c>
    </row>
    <row r="140" customFormat="false" ht="15" hidden="false" customHeight="false" outlineLevel="0" collapsed="false">
      <c r="A140" s="19"/>
      <c r="B140" s="10"/>
      <c r="C140" s="23" t="str">
        <f aca="false">IF($B140="","",IFERROR(INDEX(Inventory!$E$4:$E$503,MATCH($B140,Inventory!$A$4:$A$503,0)),"SKU not found"))</f>
        <v/>
      </c>
      <c r="D140" s="10"/>
      <c r="E140" s="12"/>
      <c r="F140" s="12"/>
      <c r="G140" s="12"/>
      <c r="H140" s="24" t="str">
        <f aca="false">IF(OR(B140="",D140="",E140=""),"",IFERROR(IF(AND(D140="Poshmark",E140&lt;Settings!$B$20),Settings!$B$21,(E140+IF(INDEX(Settings!$E$4:$E$11,MATCH($D140,Settings!$A$4:$A$11,0))="Y",N(F140),0))*(INDEX(Settings!$B$4:$B$11,MATCH($D140,Settings!$A$4:$A$11,0))+INDEX(Settings!$D$4:$D$11,MATCH($D140,Settings!$A$4:$A$11,0)))+INDEX(Settings!$C$4:$C$11,MATCH($D140,Settings!$A$4:$A$11,0))),0))</f>
        <v/>
      </c>
      <c r="I140" s="12"/>
      <c r="J140" s="12"/>
      <c r="K140" s="24" t="str">
        <f aca="false">IF($B140="","",IFERROR(INDEX(Inventory!$J$4:$J$503,MATCH($B140,Inventory!$A$4:$A$503,0)),0))</f>
        <v/>
      </c>
      <c r="L140" s="24" t="str">
        <f aca="false">IF(OR(B140="",E140=""),"",E140+N(F140)-N(G140)-N(H140)-N(J140)-N(K140))</f>
        <v/>
      </c>
      <c r="M140" s="28" t="str">
        <f aca="false">IF(OR(L140="",N(K140)=0),"",L140/K140)</f>
        <v/>
      </c>
      <c r="N140" s="25" t="str">
        <f aca="false">IF(OR(A140="",B140=""),"",IFERROR(A140-INDEX(Inventory!$B$4:$B$503,MATCH($B140,Inventory!$A$4:$A$503,0)),""))</f>
        <v/>
      </c>
      <c r="O140" s="27" t="str">
        <f aca="false">IF($B140="","",IFERROR(INDEX(Inventory!$F$4:$F$503,MATCH($B140,Inventory!$A$4:$A$503,0)),""))</f>
        <v/>
      </c>
      <c r="P140" s="27" t="str">
        <f aca="false">IF($B140="","",IFERROR(INDEX(Inventory!$C$4:$C$503,MATCH($B140,Inventory!$A$4:$A$503,0)),""))</f>
        <v/>
      </c>
    </row>
    <row r="141" customFormat="false" ht="15" hidden="false" customHeight="false" outlineLevel="0" collapsed="false">
      <c r="A141" s="19"/>
      <c r="B141" s="10"/>
      <c r="C141" s="23" t="str">
        <f aca="false">IF($B141="","",IFERROR(INDEX(Inventory!$E$4:$E$503,MATCH($B141,Inventory!$A$4:$A$503,0)),"SKU not found"))</f>
        <v/>
      </c>
      <c r="D141" s="10"/>
      <c r="E141" s="12"/>
      <c r="F141" s="12"/>
      <c r="G141" s="12"/>
      <c r="H141" s="24" t="str">
        <f aca="false">IF(OR(B141="",D141="",E141=""),"",IFERROR(IF(AND(D141="Poshmark",E141&lt;Settings!$B$20),Settings!$B$21,(E141+IF(INDEX(Settings!$E$4:$E$11,MATCH($D141,Settings!$A$4:$A$11,0))="Y",N(F141),0))*(INDEX(Settings!$B$4:$B$11,MATCH($D141,Settings!$A$4:$A$11,0))+INDEX(Settings!$D$4:$D$11,MATCH($D141,Settings!$A$4:$A$11,0)))+INDEX(Settings!$C$4:$C$11,MATCH($D141,Settings!$A$4:$A$11,0))),0))</f>
        <v/>
      </c>
      <c r="I141" s="12"/>
      <c r="J141" s="12"/>
      <c r="K141" s="24" t="str">
        <f aca="false">IF($B141="","",IFERROR(INDEX(Inventory!$J$4:$J$503,MATCH($B141,Inventory!$A$4:$A$503,0)),0))</f>
        <v/>
      </c>
      <c r="L141" s="24" t="str">
        <f aca="false">IF(OR(B141="",E141=""),"",E141+N(F141)-N(G141)-N(H141)-N(J141)-N(K141))</f>
        <v/>
      </c>
      <c r="M141" s="28" t="str">
        <f aca="false">IF(OR(L141="",N(K141)=0),"",L141/K141)</f>
        <v/>
      </c>
      <c r="N141" s="25" t="str">
        <f aca="false">IF(OR(A141="",B141=""),"",IFERROR(A141-INDEX(Inventory!$B$4:$B$503,MATCH($B141,Inventory!$A$4:$A$503,0)),""))</f>
        <v/>
      </c>
      <c r="O141" s="27" t="str">
        <f aca="false">IF($B141="","",IFERROR(INDEX(Inventory!$F$4:$F$503,MATCH($B141,Inventory!$A$4:$A$503,0)),""))</f>
        <v/>
      </c>
      <c r="P141" s="27" t="str">
        <f aca="false">IF($B141="","",IFERROR(INDEX(Inventory!$C$4:$C$503,MATCH($B141,Inventory!$A$4:$A$503,0)),""))</f>
        <v/>
      </c>
    </row>
    <row r="142" customFormat="false" ht="15" hidden="false" customHeight="false" outlineLevel="0" collapsed="false">
      <c r="A142" s="19"/>
      <c r="B142" s="10"/>
      <c r="C142" s="23" t="str">
        <f aca="false">IF($B142="","",IFERROR(INDEX(Inventory!$E$4:$E$503,MATCH($B142,Inventory!$A$4:$A$503,0)),"SKU not found"))</f>
        <v/>
      </c>
      <c r="D142" s="10"/>
      <c r="E142" s="12"/>
      <c r="F142" s="12"/>
      <c r="G142" s="12"/>
      <c r="H142" s="24" t="str">
        <f aca="false">IF(OR(B142="",D142="",E142=""),"",IFERROR(IF(AND(D142="Poshmark",E142&lt;Settings!$B$20),Settings!$B$21,(E142+IF(INDEX(Settings!$E$4:$E$11,MATCH($D142,Settings!$A$4:$A$11,0))="Y",N(F142),0))*(INDEX(Settings!$B$4:$B$11,MATCH($D142,Settings!$A$4:$A$11,0))+INDEX(Settings!$D$4:$D$11,MATCH($D142,Settings!$A$4:$A$11,0)))+INDEX(Settings!$C$4:$C$11,MATCH($D142,Settings!$A$4:$A$11,0))),0))</f>
        <v/>
      </c>
      <c r="I142" s="12"/>
      <c r="J142" s="12"/>
      <c r="K142" s="24" t="str">
        <f aca="false">IF($B142="","",IFERROR(INDEX(Inventory!$J$4:$J$503,MATCH($B142,Inventory!$A$4:$A$503,0)),0))</f>
        <v/>
      </c>
      <c r="L142" s="24" t="str">
        <f aca="false">IF(OR(B142="",E142=""),"",E142+N(F142)-N(G142)-N(H142)-N(J142)-N(K142))</f>
        <v/>
      </c>
      <c r="M142" s="28" t="str">
        <f aca="false">IF(OR(L142="",N(K142)=0),"",L142/K142)</f>
        <v/>
      </c>
      <c r="N142" s="25" t="str">
        <f aca="false">IF(OR(A142="",B142=""),"",IFERROR(A142-INDEX(Inventory!$B$4:$B$503,MATCH($B142,Inventory!$A$4:$A$503,0)),""))</f>
        <v/>
      </c>
      <c r="O142" s="27" t="str">
        <f aca="false">IF($B142="","",IFERROR(INDEX(Inventory!$F$4:$F$503,MATCH($B142,Inventory!$A$4:$A$503,0)),""))</f>
        <v/>
      </c>
      <c r="P142" s="27" t="str">
        <f aca="false">IF($B142="","",IFERROR(INDEX(Inventory!$C$4:$C$503,MATCH($B142,Inventory!$A$4:$A$503,0)),""))</f>
        <v/>
      </c>
    </row>
    <row r="143" customFormat="false" ht="15" hidden="false" customHeight="false" outlineLevel="0" collapsed="false">
      <c r="A143" s="19"/>
      <c r="B143" s="10"/>
      <c r="C143" s="23" t="str">
        <f aca="false">IF($B143="","",IFERROR(INDEX(Inventory!$E$4:$E$503,MATCH($B143,Inventory!$A$4:$A$503,0)),"SKU not found"))</f>
        <v/>
      </c>
      <c r="D143" s="10"/>
      <c r="E143" s="12"/>
      <c r="F143" s="12"/>
      <c r="G143" s="12"/>
      <c r="H143" s="24" t="str">
        <f aca="false">IF(OR(B143="",D143="",E143=""),"",IFERROR(IF(AND(D143="Poshmark",E143&lt;Settings!$B$20),Settings!$B$21,(E143+IF(INDEX(Settings!$E$4:$E$11,MATCH($D143,Settings!$A$4:$A$11,0))="Y",N(F143),0))*(INDEX(Settings!$B$4:$B$11,MATCH($D143,Settings!$A$4:$A$11,0))+INDEX(Settings!$D$4:$D$11,MATCH($D143,Settings!$A$4:$A$11,0)))+INDEX(Settings!$C$4:$C$11,MATCH($D143,Settings!$A$4:$A$11,0))),0))</f>
        <v/>
      </c>
      <c r="I143" s="12"/>
      <c r="J143" s="12"/>
      <c r="K143" s="24" t="str">
        <f aca="false">IF($B143="","",IFERROR(INDEX(Inventory!$J$4:$J$503,MATCH($B143,Inventory!$A$4:$A$503,0)),0))</f>
        <v/>
      </c>
      <c r="L143" s="24" t="str">
        <f aca="false">IF(OR(B143="",E143=""),"",E143+N(F143)-N(G143)-N(H143)-N(J143)-N(K143))</f>
        <v/>
      </c>
      <c r="M143" s="28" t="str">
        <f aca="false">IF(OR(L143="",N(K143)=0),"",L143/K143)</f>
        <v/>
      </c>
      <c r="N143" s="25" t="str">
        <f aca="false">IF(OR(A143="",B143=""),"",IFERROR(A143-INDEX(Inventory!$B$4:$B$503,MATCH($B143,Inventory!$A$4:$A$503,0)),""))</f>
        <v/>
      </c>
      <c r="O143" s="27" t="str">
        <f aca="false">IF($B143="","",IFERROR(INDEX(Inventory!$F$4:$F$503,MATCH($B143,Inventory!$A$4:$A$503,0)),""))</f>
        <v/>
      </c>
      <c r="P143" s="27" t="str">
        <f aca="false">IF($B143="","",IFERROR(INDEX(Inventory!$C$4:$C$503,MATCH($B143,Inventory!$A$4:$A$503,0)),""))</f>
        <v/>
      </c>
    </row>
    <row r="144" customFormat="false" ht="15" hidden="false" customHeight="false" outlineLevel="0" collapsed="false">
      <c r="A144" s="19"/>
      <c r="B144" s="10"/>
      <c r="C144" s="23" t="str">
        <f aca="false">IF($B144="","",IFERROR(INDEX(Inventory!$E$4:$E$503,MATCH($B144,Inventory!$A$4:$A$503,0)),"SKU not found"))</f>
        <v/>
      </c>
      <c r="D144" s="10"/>
      <c r="E144" s="12"/>
      <c r="F144" s="12"/>
      <c r="G144" s="12"/>
      <c r="H144" s="24" t="str">
        <f aca="false">IF(OR(B144="",D144="",E144=""),"",IFERROR(IF(AND(D144="Poshmark",E144&lt;Settings!$B$20),Settings!$B$21,(E144+IF(INDEX(Settings!$E$4:$E$11,MATCH($D144,Settings!$A$4:$A$11,0))="Y",N(F144),0))*(INDEX(Settings!$B$4:$B$11,MATCH($D144,Settings!$A$4:$A$11,0))+INDEX(Settings!$D$4:$D$11,MATCH($D144,Settings!$A$4:$A$11,0)))+INDEX(Settings!$C$4:$C$11,MATCH($D144,Settings!$A$4:$A$11,0))),0))</f>
        <v/>
      </c>
      <c r="I144" s="12"/>
      <c r="J144" s="12"/>
      <c r="K144" s="24" t="str">
        <f aca="false">IF($B144="","",IFERROR(INDEX(Inventory!$J$4:$J$503,MATCH($B144,Inventory!$A$4:$A$503,0)),0))</f>
        <v/>
      </c>
      <c r="L144" s="24" t="str">
        <f aca="false">IF(OR(B144="",E144=""),"",E144+N(F144)-N(G144)-N(H144)-N(J144)-N(K144))</f>
        <v/>
      </c>
      <c r="M144" s="28" t="str">
        <f aca="false">IF(OR(L144="",N(K144)=0),"",L144/K144)</f>
        <v/>
      </c>
      <c r="N144" s="25" t="str">
        <f aca="false">IF(OR(A144="",B144=""),"",IFERROR(A144-INDEX(Inventory!$B$4:$B$503,MATCH($B144,Inventory!$A$4:$A$503,0)),""))</f>
        <v/>
      </c>
      <c r="O144" s="27" t="str">
        <f aca="false">IF($B144="","",IFERROR(INDEX(Inventory!$F$4:$F$503,MATCH($B144,Inventory!$A$4:$A$503,0)),""))</f>
        <v/>
      </c>
      <c r="P144" s="27" t="str">
        <f aca="false">IF($B144="","",IFERROR(INDEX(Inventory!$C$4:$C$503,MATCH($B144,Inventory!$A$4:$A$503,0)),""))</f>
        <v/>
      </c>
    </row>
    <row r="145" customFormat="false" ht="15" hidden="false" customHeight="false" outlineLevel="0" collapsed="false">
      <c r="A145" s="19"/>
      <c r="B145" s="10"/>
      <c r="C145" s="23" t="str">
        <f aca="false">IF($B145="","",IFERROR(INDEX(Inventory!$E$4:$E$503,MATCH($B145,Inventory!$A$4:$A$503,0)),"SKU not found"))</f>
        <v/>
      </c>
      <c r="D145" s="10"/>
      <c r="E145" s="12"/>
      <c r="F145" s="12"/>
      <c r="G145" s="12"/>
      <c r="H145" s="24" t="str">
        <f aca="false">IF(OR(B145="",D145="",E145=""),"",IFERROR(IF(AND(D145="Poshmark",E145&lt;Settings!$B$20),Settings!$B$21,(E145+IF(INDEX(Settings!$E$4:$E$11,MATCH($D145,Settings!$A$4:$A$11,0))="Y",N(F145),0))*(INDEX(Settings!$B$4:$B$11,MATCH($D145,Settings!$A$4:$A$11,0))+INDEX(Settings!$D$4:$D$11,MATCH($D145,Settings!$A$4:$A$11,0)))+INDEX(Settings!$C$4:$C$11,MATCH($D145,Settings!$A$4:$A$11,0))),0))</f>
        <v/>
      </c>
      <c r="I145" s="12"/>
      <c r="J145" s="12"/>
      <c r="K145" s="24" t="str">
        <f aca="false">IF($B145="","",IFERROR(INDEX(Inventory!$J$4:$J$503,MATCH($B145,Inventory!$A$4:$A$503,0)),0))</f>
        <v/>
      </c>
      <c r="L145" s="24" t="str">
        <f aca="false">IF(OR(B145="",E145=""),"",E145+N(F145)-N(G145)-N(H145)-N(J145)-N(K145))</f>
        <v/>
      </c>
      <c r="M145" s="28" t="str">
        <f aca="false">IF(OR(L145="",N(K145)=0),"",L145/K145)</f>
        <v/>
      </c>
      <c r="N145" s="25" t="str">
        <f aca="false">IF(OR(A145="",B145=""),"",IFERROR(A145-INDEX(Inventory!$B$4:$B$503,MATCH($B145,Inventory!$A$4:$A$503,0)),""))</f>
        <v/>
      </c>
      <c r="O145" s="27" t="str">
        <f aca="false">IF($B145="","",IFERROR(INDEX(Inventory!$F$4:$F$503,MATCH($B145,Inventory!$A$4:$A$503,0)),""))</f>
        <v/>
      </c>
      <c r="P145" s="27" t="str">
        <f aca="false">IF($B145="","",IFERROR(INDEX(Inventory!$C$4:$C$503,MATCH($B145,Inventory!$A$4:$A$503,0)),""))</f>
        <v/>
      </c>
    </row>
    <row r="146" customFormat="false" ht="15" hidden="false" customHeight="false" outlineLevel="0" collapsed="false">
      <c r="A146" s="19"/>
      <c r="B146" s="10"/>
      <c r="C146" s="23" t="str">
        <f aca="false">IF($B146="","",IFERROR(INDEX(Inventory!$E$4:$E$503,MATCH($B146,Inventory!$A$4:$A$503,0)),"SKU not found"))</f>
        <v/>
      </c>
      <c r="D146" s="10"/>
      <c r="E146" s="12"/>
      <c r="F146" s="12"/>
      <c r="G146" s="12"/>
      <c r="H146" s="24" t="str">
        <f aca="false">IF(OR(B146="",D146="",E146=""),"",IFERROR(IF(AND(D146="Poshmark",E146&lt;Settings!$B$20),Settings!$B$21,(E146+IF(INDEX(Settings!$E$4:$E$11,MATCH($D146,Settings!$A$4:$A$11,0))="Y",N(F146),0))*(INDEX(Settings!$B$4:$B$11,MATCH($D146,Settings!$A$4:$A$11,0))+INDEX(Settings!$D$4:$D$11,MATCH($D146,Settings!$A$4:$A$11,0)))+INDEX(Settings!$C$4:$C$11,MATCH($D146,Settings!$A$4:$A$11,0))),0))</f>
        <v/>
      </c>
      <c r="I146" s="12"/>
      <c r="J146" s="12"/>
      <c r="K146" s="24" t="str">
        <f aca="false">IF($B146="","",IFERROR(INDEX(Inventory!$J$4:$J$503,MATCH($B146,Inventory!$A$4:$A$503,0)),0))</f>
        <v/>
      </c>
      <c r="L146" s="24" t="str">
        <f aca="false">IF(OR(B146="",E146=""),"",E146+N(F146)-N(G146)-N(H146)-N(J146)-N(K146))</f>
        <v/>
      </c>
      <c r="M146" s="28" t="str">
        <f aca="false">IF(OR(L146="",N(K146)=0),"",L146/K146)</f>
        <v/>
      </c>
      <c r="N146" s="25" t="str">
        <f aca="false">IF(OR(A146="",B146=""),"",IFERROR(A146-INDEX(Inventory!$B$4:$B$503,MATCH($B146,Inventory!$A$4:$A$503,0)),""))</f>
        <v/>
      </c>
      <c r="O146" s="27" t="str">
        <f aca="false">IF($B146="","",IFERROR(INDEX(Inventory!$F$4:$F$503,MATCH($B146,Inventory!$A$4:$A$503,0)),""))</f>
        <v/>
      </c>
      <c r="P146" s="27" t="str">
        <f aca="false">IF($B146="","",IFERROR(INDEX(Inventory!$C$4:$C$503,MATCH($B146,Inventory!$A$4:$A$503,0)),""))</f>
        <v/>
      </c>
    </row>
    <row r="147" customFormat="false" ht="15" hidden="false" customHeight="false" outlineLevel="0" collapsed="false">
      <c r="A147" s="19"/>
      <c r="B147" s="10"/>
      <c r="C147" s="23" t="str">
        <f aca="false">IF($B147="","",IFERROR(INDEX(Inventory!$E$4:$E$503,MATCH($B147,Inventory!$A$4:$A$503,0)),"SKU not found"))</f>
        <v/>
      </c>
      <c r="D147" s="10"/>
      <c r="E147" s="12"/>
      <c r="F147" s="12"/>
      <c r="G147" s="12"/>
      <c r="H147" s="24" t="str">
        <f aca="false">IF(OR(B147="",D147="",E147=""),"",IFERROR(IF(AND(D147="Poshmark",E147&lt;Settings!$B$20),Settings!$B$21,(E147+IF(INDEX(Settings!$E$4:$E$11,MATCH($D147,Settings!$A$4:$A$11,0))="Y",N(F147),0))*(INDEX(Settings!$B$4:$B$11,MATCH($D147,Settings!$A$4:$A$11,0))+INDEX(Settings!$D$4:$D$11,MATCH($D147,Settings!$A$4:$A$11,0)))+INDEX(Settings!$C$4:$C$11,MATCH($D147,Settings!$A$4:$A$11,0))),0))</f>
        <v/>
      </c>
      <c r="I147" s="12"/>
      <c r="J147" s="12"/>
      <c r="K147" s="24" t="str">
        <f aca="false">IF($B147="","",IFERROR(INDEX(Inventory!$J$4:$J$503,MATCH($B147,Inventory!$A$4:$A$503,0)),0))</f>
        <v/>
      </c>
      <c r="L147" s="24" t="str">
        <f aca="false">IF(OR(B147="",E147=""),"",E147+N(F147)-N(G147)-N(H147)-N(J147)-N(K147))</f>
        <v/>
      </c>
      <c r="M147" s="28" t="str">
        <f aca="false">IF(OR(L147="",N(K147)=0),"",L147/K147)</f>
        <v/>
      </c>
      <c r="N147" s="25" t="str">
        <f aca="false">IF(OR(A147="",B147=""),"",IFERROR(A147-INDEX(Inventory!$B$4:$B$503,MATCH($B147,Inventory!$A$4:$A$503,0)),""))</f>
        <v/>
      </c>
      <c r="O147" s="27" t="str">
        <f aca="false">IF($B147="","",IFERROR(INDEX(Inventory!$F$4:$F$503,MATCH($B147,Inventory!$A$4:$A$503,0)),""))</f>
        <v/>
      </c>
      <c r="P147" s="27" t="str">
        <f aca="false">IF($B147="","",IFERROR(INDEX(Inventory!$C$4:$C$503,MATCH($B147,Inventory!$A$4:$A$503,0)),""))</f>
        <v/>
      </c>
    </row>
    <row r="148" customFormat="false" ht="15" hidden="false" customHeight="false" outlineLevel="0" collapsed="false">
      <c r="A148" s="19"/>
      <c r="B148" s="10"/>
      <c r="C148" s="23" t="str">
        <f aca="false">IF($B148="","",IFERROR(INDEX(Inventory!$E$4:$E$503,MATCH($B148,Inventory!$A$4:$A$503,0)),"SKU not found"))</f>
        <v/>
      </c>
      <c r="D148" s="10"/>
      <c r="E148" s="12"/>
      <c r="F148" s="12"/>
      <c r="G148" s="12"/>
      <c r="H148" s="24" t="str">
        <f aca="false">IF(OR(B148="",D148="",E148=""),"",IFERROR(IF(AND(D148="Poshmark",E148&lt;Settings!$B$20),Settings!$B$21,(E148+IF(INDEX(Settings!$E$4:$E$11,MATCH($D148,Settings!$A$4:$A$11,0))="Y",N(F148),0))*(INDEX(Settings!$B$4:$B$11,MATCH($D148,Settings!$A$4:$A$11,0))+INDEX(Settings!$D$4:$D$11,MATCH($D148,Settings!$A$4:$A$11,0)))+INDEX(Settings!$C$4:$C$11,MATCH($D148,Settings!$A$4:$A$11,0))),0))</f>
        <v/>
      </c>
      <c r="I148" s="12"/>
      <c r="J148" s="12"/>
      <c r="K148" s="24" t="str">
        <f aca="false">IF($B148="","",IFERROR(INDEX(Inventory!$J$4:$J$503,MATCH($B148,Inventory!$A$4:$A$503,0)),0))</f>
        <v/>
      </c>
      <c r="L148" s="24" t="str">
        <f aca="false">IF(OR(B148="",E148=""),"",E148+N(F148)-N(G148)-N(H148)-N(J148)-N(K148))</f>
        <v/>
      </c>
      <c r="M148" s="28" t="str">
        <f aca="false">IF(OR(L148="",N(K148)=0),"",L148/K148)</f>
        <v/>
      </c>
      <c r="N148" s="25" t="str">
        <f aca="false">IF(OR(A148="",B148=""),"",IFERROR(A148-INDEX(Inventory!$B$4:$B$503,MATCH($B148,Inventory!$A$4:$A$503,0)),""))</f>
        <v/>
      </c>
      <c r="O148" s="27" t="str">
        <f aca="false">IF($B148="","",IFERROR(INDEX(Inventory!$F$4:$F$503,MATCH($B148,Inventory!$A$4:$A$503,0)),""))</f>
        <v/>
      </c>
      <c r="P148" s="27" t="str">
        <f aca="false">IF($B148="","",IFERROR(INDEX(Inventory!$C$4:$C$503,MATCH($B148,Inventory!$A$4:$A$503,0)),""))</f>
        <v/>
      </c>
    </row>
    <row r="149" customFormat="false" ht="15" hidden="false" customHeight="false" outlineLevel="0" collapsed="false">
      <c r="A149" s="19"/>
      <c r="B149" s="10"/>
      <c r="C149" s="23" t="str">
        <f aca="false">IF($B149="","",IFERROR(INDEX(Inventory!$E$4:$E$503,MATCH($B149,Inventory!$A$4:$A$503,0)),"SKU not found"))</f>
        <v/>
      </c>
      <c r="D149" s="10"/>
      <c r="E149" s="12"/>
      <c r="F149" s="12"/>
      <c r="G149" s="12"/>
      <c r="H149" s="24" t="str">
        <f aca="false">IF(OR(B149="",D149="",E149=""),"",IFERROR(IF(AND(D149="Poshmark",E149&lt;Settings!$B$20),Settings!$B$21,(E149+IF(INDEX(Settings!$E$4:$E$11,MATCH($D149,Settings!$A$4:$A$11,0))="Y",N(F149),0))*(INDEX(Settings!$B$4:$B$11,MATCH($D149,Settings!$A$4:$A$11,0))+INDEX(Settings!$D$4:$D$11,MATCH($D149,Settings!$A$4:$A$11,0)))+INDEX(Settings!$C$4:$C$11,MATCH($D149,Settings!$A$4:$A$11,0))),0))</f>
        <v/>
      </c>
      <c r="I149" s="12"/>
      <c r="J149" s="12"/>
      <c r="K149" s="24" t="str">
        <f aca="false">IF($B149="","",IFERROR(INDEX(Inventory!$J$4:$J$503,MATCH($B149,Inventory!$A$4:$A$503,0)),0))</f>
        <v/>
      </c>
      <c r="L149" s="24" t="str">
        <f aca="false">IF(OR(B149="",E149=""),"",E149+N(F149)-N(G149)-N(H149)-N(J149)-N(K149))</f>
        <v/>
      </c>
      <c r="M149" s="28" t="str">
        <f aca="false">IF(OR(L149="",N(K149)=0),"",L149/K149)</f>
        <v/>
      </c>
      <c r="N149" s="25" t="str">
        <f aca="false">IF(OR(A149="",B149=""),"",IFERROR(A149-INDEX(Inventory!$B$4:$B$503,MATCH($B149,Inventory!$A$4:$A$503,0)),""))</f>
        <v/>
      </c>
      <c r="O149" s="27" t="str">
        <f aca="false">IF($B149="","",IFERROR(INDEX(Inventory!$F$4:$F$503,MATCH($B149,Inventory!$A$4:$A$503,0)),""))</f>
        <v/>
      </c>
      <c r="P149" s="27" t="str">
        <f aca="false">IF($B149="","",IFERROR(INDEX(Inventory!$C$4:$C$503,MATCH($B149,Inventory!$A$4:$A$503,0)),""))</f>
        <v/>
      </c>
    </row>
    <row r="150" customFormat="false" ht="15" hidden="false" customHeight="false" outlineLevel="0" collapsed="false">
      <c r="A150" s="19"/>
      <c r="B150" s="10"/>
      <c r="C150" s="23" t="str">
        <f aca="false">IF($B150="","",IFERROR(INDEX(Inventory!$E$4:$E$503,MATCH($B150,Inventory!$A$4:$A$503,0)),"SKU not found"))</f>
        <v/>
      </c>
      <c r="D150" s="10"/>
      <c r="E150" s="12"/>
      <c r="F150" s="12"/>
      <c r="G150" s="12"/>
      <c r="H150" s="24" t="str">
        <f aca="false">IF(OR(B150="",D150="",E150=""),"",IFERROR(IF(AND(D150="Poshmark",E150&lt;Settings!$B$20),Settings!$B$21,(E150+IF(INDEX(Settings!$E$4:$E$11,MATCH($D150,Settings!$A$4:$A$11,0))="Y",N(F150),0))*(INDEX(Settings!$B$4:$B$11,MATCH($D150,Settings!$A$4:$A$11,0))+INDEX(Settings!$D$4:$D$11,MATCH($D150,Settings!$A$4:$A$11,0)))+INDEX(Settings!$C$4:$C$11,MATCH($D150,Settings!$A$4:$A$11,0))),0))</f>
        <v/>
      </c>
      <c r="I150" s="12"/>
      <c r="J150" s="12"/>
      <c r="K150" s="24" t="str">
        <f aca="false">IF($B150="","",IFERROR(INDEX(Inventory!$J$4:$J$503,MATCH($B150,Inventory!$A$4:$A$503,0)),0))</f>
        <v/>
      </c>
      <c r="L150" s="24" t="str">
        <f aca="false">IF(OR(B150="",E150=""),"",E150+N(F150)-N(G150)-N(H150)-N(J150)-N(K150))</f>
        <v/>
      </c>
      <c r="M150" s="28" t="str">
        <f aca="false">IF(OR(L150="",N(K150)=0),"",L150/K150)</f>
        <v/>
      </c>
      <c r="N150" s="25" t="str">
        <f aca="false">IF(OR(A150="",B150=""),"",IFERROR(A150-INDEX(Inventory!$B$4:$B$503,MATCH($B150,Inventory!$A$4:$A$503,0)),""))</f>
        <v/>
      </c>
      <c r="O150" s="27" t="str">
        <f aca="false">IF($B150="","",IFERROR(INDEX(Inventory!$F$4:$F$503,MATCH($B150,Inventory!$A$4:$A$503,0)),""))</f>
        <v/>
      </c>
      <c r="P150" s="27" t="str">
        <f aca="false">IF($B150="","",IFERROR(INDEX(Inventory!$C$4:$C$503,MATCH($B150,Inventory!$A$4:$A$503,0)),""))</f>
        <v/>
      </c>
    </row>
    <row r="151" customFormat="false" ht="15" hidden="false" customHeight="false" outlineLevel="0" collapsed="false">
      <c r="A151" s="19"/>
      <c r="B151" s="10"/>
      <c r="C151" s="23" t="str">
        <f aca="false">IF($B151="","",IFERROR(INDEX(Inventory!$E$4:$E$503,MATCH($B151,Inventory!$A$4:$A$503,0)),"SKU not found"))</f>
        <v/>
      </c>
      <c r="D151" s="10"/>
      <c r="E151" s="12"/>
      <c r="F151" s="12"/>
      <c r="G151" s="12"/>
      <c r="H151" s="24" t="str">
        <f aca="false">IF(OR(B151="",D151="",E151=""),"",IFERROR(IF(AND(D151="Poshmark",E151&lt;Settings!$B$20),Settings!$B$21,(E151+IF(INDEX(Settings!$E$4:$E$11,MATCH($D151,Settings!$A$4:$A$11,0))="Y",N(F151),0))*(INDEX(Settings!$B$4:$B$11,MATCH($D151,Settings!$A$4:$A$11,0))+INDEX(Settings!$D$4:$D$11,MATCH($D151,Settings!$A$4:$A$11,0)))+INDEX(Settings!$C$4:$C$11,MATCH($D151,Settings!$A$4:$A$11,0))),0))</f>
        <v/>
      </c>
      <c r="I151" s="12"/>
      <c r="J151" s="12"/>
      <c r="K151" s="24" t="str">
        <f aca="false">IF($B151="","",IFERROR(INDEX(Inventory!$J$4:$J$503,MATCH($B151,Inventory!$A$4:$A$503,0)),0))</f>
        <v/>
      </c>
      <c r="L151" s="24" t="str">
        <f aca="false">IF(OR(B151="",E151=""),"",E151+N(F151)-N(G151)-N(H151)-N(J151)-N(K151))</f>
        <v/>
      </c>
      <c r="M151" s="28" t="str">
        <f aca="false">IF(OR(L151="",N(K151)=0),"",L151/K151)</f>
        <v/>
      </c>
      <c r="N151" s="25" t="str">
        <f aca="false">IF(OR(A151="",B151=""),"",IFERROR(A151-INDEX(Inventory!$B$4:$B$503,MATCH($B151,Inventory!$A$4:$A$503,0)),""))</f>
        <v/>
      </c>
      <c r="O151" s="27" t="str">
        <f aca="false">IF($B151="","",IFERROR(INDEX(Inventory!$F$4:$F$503,MATCH($B151,Inventory!$A$4:$A$503,0)),""))</f>
        <v/>
      </c>
      <c r="P151" s="27" t="str">
        <f aca="false">IF($B151="","",IFERROR(INDEX(Inventory!$C$4:$C$503,MATCH($B151,Inventory!$A$4:$A$503,0)),""))</f>
        <v/>
      </c>
    </row>
    <row r="152" customFormat="false" ht="15" hidden="false" customHeight="false" outlineLevel="0" collapsed="false">
      <c r="A152" s="19"/>
      <c r="B152" s="10"/>
      <c r="C152" s="23" t="str">
        <f aca="false">IF($B152="","",IFERROR(INDEX(Inventory!$E$4:$E$503,MATCH($B152,Inventory!$A$4:$A$503,0)),"SKU not found"))</f>
        <v/>
      </c>
      <c r="D152" s="10"/>
      <c r="E152" s="12"/>
      <c r="F152" s="12"/>
      <c r="G152" s="12"/>
      <c r="H152" s="24" t="str">
        <f aca="false">IF(OR(B152="",D152="",E152=""),"",IFERROR(IF(AND(D152="Poshmark",E152&lt;Settings!$B$20),Settings!$B$21,(E152+IF(INDEX(Settings!$E$4:$E$11,MATCH($D152,Settings!$A$4:$A$11,0))="Y",N(F152),0))*(INDEX(Settings!$B$4:$B$11,MATCH($D152,Settings!$A$4:$A$11,0))+INDEX(Settings!$D$4:$D$11,MATCH($D152,Settings!$A$4:$A$11,0)))+INDEX(Settings!$C$4:$C$11,MATCH($D152,Settings!$A$4:$A$11,0))),0))</f>
        <v/>
      </c>
      <c r="I152" s="12"/>
      <c r="J152" s="12"/>
      <c r="K152" s="24" t="str">
        <f aca="false">IF($B152="","",IFERROR(INDEX(Inventory!$J$4:$J$503,MATCH($B152,Inventory!$A$4:$A$503,0)),0))</f>
        <v/>
      </c>
      <c r="L152" s="24" t="str">
        <f aca="false">IF(OR(B152="",E152=""),"",E152+N(F152)-N(G152)-N(H152)-N(J152)-N(K152))</f>
        <v/>
      </c>
      <c r="M152" s="28" t="str">
        <f aca="false">IF(OR(L152="",N(K152)=0),"",L152/K152)</f>
        <v/>
      </c>
      <c r="N152" s="25" t="str">
        <f aca="false">IF(OR(A152="",B152=""),"",IFERROR(A152-INDEX(Inventory!$B$4:$B$503,MATCH($B152,Inventory!$A$4:$A$503,0)),""))</f>
        <v/>
      </c>
      <c r="O152" s="27" t="str">
        <f aca="false">IF($B152="","",IFERROR(INDEX(Inventory!$F$4:$F$503,MATCH($B152,Inventory!$A$4:$A$503,0)),""))</f>
        <v/>
      </c>
      <c r="P152" s="27" t="str">
        <f aca="false">IF($B152="","",IFERROR(INDEX(Inventory!$C$4:$C$503,MATCH($B152,Inventory!$A$4:$A$503,0)),""))</f>
        <v/>
      </c>
    </row>
    <row r="153" customFormat="false" ht="15" hidden="false" customHeight="false" outlineLevel="0" collapsed="false">
      <c r="A153" s="19"/>
      <c r="B153" s="10"/>
      <c r="C153" s="23" t="str">
        <f aca="false">IF($B153="","",IFERROR(INDEX(Inventory!$E$4:$E$503,MATCH($B153,Inventory!$A$4:$A$503,0)),"SKU not found"))</f>
        <v/>
      </c>
      <c r="D153" s="10"/>
      <c r="E153" s="12"/>
      <c r="F153" s="12"/>
      <c r="G153" s="12"/>
      <c r="H153" s="24" t="str">
        <f aca="false">IF(OR(B153="",D153="",E153=""),"",IFERROR(IF(AND(D153="Poshmark",E153&lt;Settings!$B$20),Settings!$B$21,(E153+IF(INDEX(Settings!$E$4:$E$11,MATCH($D153,Settings!$A$4:$A$11,0))="Y",N(F153),0))*(INDEX(Settings!$B$4:$B$11,MATCH($D153,Settings!$A$4:$A$11,0))+INDEX(Settings!$D$4:$D$11,MATCH($D153,Settings!$A$4:$A$11,0)))+INDEX(Settings!$C$4:$C$11,MATCH($D153,Settings!$A$4:$A$11,0))),0))</f>
        <v/>
      </c>
      <c r="I153" s="12"/>
      <c r="J153" s="12"/>
      <c r="K153" s="24" t="str">
        <f aca="false">IF($B153="","",IFERROR(INDEX(Inventory!$J$4:$J$503,MATCH($B153,Inventory!$A$4:$A$503,0)),0))</f>
        <v/>
      </c>
      <c r="L153" s="24" t="str">
        <f aca="false">IF(OR(B153="",E153=""),"",E153+N(F153)-N(G153)-N(H153)-N(J153)-N(K153))</f>
        <v/>
      </c>
      <c r="M153" s="28" t="str">
        <f aca="false">IF(OR(L153="",N(K153)=0),"",L153/K153)</f>
        <v/>
      </c>
      <c r="N153" s="25" t="str">
        <f aca="false">IF(OR(A153="",B153=""),"",IFERROR(A153-INDEX(Inventory!$B$4:$B$503,MATCH($B153,Inventory!$A$4:$A$503,0)),""))</f>
        <v/>
      </c>
      <c r="O153" s="27" t="str">
        <f aca="false">IF($B153="","",IFERROR(INDEX(Inventory!$F$4:$F$503,MATCH($B153,Inventory!$A$4:$A$503,0)),""))</f>
        <v/>
      </c>
      <c r="P153" s="27" t="str">
        <f aca="false">IF($B153="","",IFERROR(INDEX(Inventory!$C$4:$C$503,MATCH($B153,Inventory!$A$4:$A$503,0)),""))</f>
        <v/>
      </c>
    </row>
    <row r="154" customFormat="false" ht="15" hidden="false" customHeight="false" outlineLevel="0" collapsed="false">
      <c r="A154" s="19"/>
      <c r="B154" s="10"/>
      <c r="C154" s="23" t="str">
        <f aca="false">IF($B154="","",IFERROR(INDEX(Inventory!$E$4:$E$503,MATCH($B154,Inventory!$A$4:$A$503,0)),"SKU not found"))</f>
        <v/>
      </c>
      <c r="D154" s="10"/>
      <c r="E154" s="12"/>
      <c r="F154" s="12"/>
      <c r="G154" s="12"/>
      <c r="H154" s="24" t="str">
        <f aca="false">IF(OR(B154="",D154="",E154=""),"",IFERROR(IF(AND(D154="Poshmark",E154&lt;Settings!$B$20),Settings!$B$21,(E154+IF(INDEX(Settings!$E$4:$E$11,MATCH($D154,Settings!$A$4:$A$11,0))="Y",N(F154),0))*(INDEX(Settings!$B$4:$B$11,MATCH($D154,Settings!$A$4:$A$11,0))+INDEX(Settings!$D$4:$D$11,MATCH($D154,Settings!$A$4:$A$11,0)))+INDEX(Settings!$C$4:$C$11,MATCH($D154,Settings!$A$4:$A$11,0))),0))</f>
        <v/>
      </c>
      <c r="I154" s="12"/>
      <c r="J154" s="12"/>
      <c r="K154" s="24" t="str">
        <f aca="false">IF($B154="","",IFERROR(INDEX(Inventory!$J$4:$J$503,MATCH($B154,Inventory!$A$4:$A$503,0)),0))</f>
        <v/>
      </c>
      <c r="L154" s="24" t="str">
        <f aca="false">IF(OR(B154="",E154=""),"",E154+N(F154)-N(G154)-N(H154)-N(J154)-N(K154))</f>
        <v/>
      </c>
      <c r="M154" s="28" t="str">
        <f aca="false">IF(OR(L154="",N(K154)=0),"",L154/K154)</f>
        <v/>
      </c>
      <c r="N154" s="25" t="str">
        <f aca="false">IF(OR(A154="",B154=""),"",IFERROR(A154-INDEX(Inventory!$B$4:$B$503,MATCH($B154,Inventory!$A$4:$A$503,0)),""))</f>
        <v/>
      </c>
      <c r="O154" s="27" t="str">
        <f aca="false">IF($B154="","",IFERROR(INDEX(Inventory!$F$4:$F$503,MATCH($B154,Inventory!$A$4:$A$503,0)),""))</f>
        <v/>
      </c>
      <c r="P154" s="27" t="str">
        <f aca="false">IF($B154="","",IFERROR(INDEX(Inventory!$C$4:$C$503,MATCH($B154,Inventory!$A$4:$A$503,0)),""))</f>
        <v/>
      </c>
    </row>
    <row r="155" customFormat="false" ht="15" hidden="false" customHeight="false" outlineLevel="0" collapsed="false">
      <c r="A155" s="19"/>
      <c r="B155" s="10"/>
      <c r="C155" s="23" t="str">
        <f aca="false">IF($B155="","",IFERROR(INDEX(Inventory!$E$4:$E$503,MATCH($B155,Inventory!$A$4:$A$503,0)),"SKU not found"))</f>
        <v/>
      </c>
      <c r="D155" s="10"/>
      <c r="E155" s="12"/>
      <c r="F155" s="12"/>
      <c r="G155" s="12"/>
      <c r="H155" s="24" t="str">
        <f aca="false">IF(OR(B155="",D155="",E155=""),"",IFERROR(IF(AND(D155="Poshmark",E155&lt;Settings!$B$20),Settings!$B$21,(E155+IF(INDEX(Settings!$E$4:$E$11,MATCH($D155,Settings!$A$4:$A$11,0))="Y",N(F155),0))*(INDEX(Settings!$B$4:$B$11,MATCH($D155,Settings!$A$4:$A$11,0))+INDEX(Settings!$D$4:$D$11,MATCH($D155,Settings!$A$4:$A$11,0)))+INDEX(Settings!$C$4:$C$11,MATCH($D155,Settings!$A$4:$A$11,0))),0))</f>
        <v/>
      </c>
      <c r="I155" s="12"/>
      <c r="J155" s="12"/>
      <c r="K155" s="24" t="str">
        <f aca="false">IF($B155="","",IFERROR(INDEX(Inventory!$J$4:$J$503,MATCH($B155,Inventory!$A$4:$A$503,0)),0))</f>
        <v/>
      </c>
      <c r="L155" s="24" t="str">
        <f aca="false">IF(OR(B155="",E155=""),"",E155+N(F155)-N(G155)-N(H155)-N(J155)-N(K155))</f>
        <v/>
      </c>
      <c r="M155" s="28" t="str">
        <f aca="false">IF(OR(L155="",N(K155)=0),"",L155/K155)</f>
        <v/>
      </c>
      <c r="N155" s="25" t="str">
        <f aca="false">IF(OR(A155="",B155=""),"",IFERROR(A155-INDEX(Inventory!$B$4:$B$503,MATCH($B155,Inventory!$A$4:$A$503,0)),""))</f>
        <v/>
      </c>
      <c r="O155" s="27" t="str">
        <f aca="false">IF($B155="","",IFERROR(INDEX(Inventory!$F$4:$F$503,MATCH($B155,Inventory!$A$4:$A$503,0)),""))</f>
        <v/>
      </c>
      <c r="P155" s="27" t="str">
        <f aca="false">IF($B155="","",IFERROR(INDEX(Inventory!$C$4:$C$503,MATCH($B155,Inventory!$A$4:$A$503,0)),""))</f>
        <v/>
      </c>
    </row>
    <row r="156" customFormat="false" ht="15" hidden="false" customHeight="false" outlineLevel="0" collapsed="false">
      <c r="A156" s="19"/>
      <c r="B156" s="10"/>
      <c r="C156" s="23" t="str">
        <f aca="false">IF($B156="","",IFERROR(INDEX(Inventory!$E$4:$E$503,MATCH($B156,Inventory!$A$4:$A$503,0)),"SKU not found"))</f>
        <v/>
      </c>
      <c r="D156" s="10"/>
      <c r="E156" s="12"/>
      <c r="F156" s="12"/>
      <c r="G156" s="12"/>
      <c r="H156" s="24" t="str">
        <f aca="false">IF(OR(B156="",D156="",E156=""),"",IFERROR(IF(AND(D156="Poshmark",E156&lt;Settings!$B$20),Settings!$B$21,(E156+IF(INDEX(Settings!$E$4:$E$11,MATCH($D156,Settings!$A$4:$A$11,0))="Y",N(F156),0))*(INDEX(Settings!$B$4:$B$11,MATCH($D156,Settings!$A$4:$A$11,0))+INDEX(Settings!$D$4:$D$11,MATCH($D156,Settings!$A$4:$A$11,0)))+INDEX(Settings!$C$4:$C$11,MATCH($D156,Settings!$A$4:$A$11,0))),0))</f>
        <v/>
      </c>
      <c r="I156" s="12"/>
      <c r="J156" s="12"/>
      <c r="K156" s="24" t="str">
        <f aca="false">IF($B156="","",IFERROR(INDEX(Inventory!$J$4:$J$503,MATCH($B156,Inventory!$A$4:$A$503,0)),0))</f>
        <v/>
      </c>
      <c r="L156" s="24" t="str">
        <f aca="false">IF(OR(B156="",E156=""),"",E156+N(F156)-N(G156)-N(H156)-N(J156)-N(K156))</f>
        <v/>
      </c>
      <c r="M156" s="28" t="str">
        <f aca="false">IF(OR(L156="",N(K156)=0),"",L156/K156)</f>
        <v/>
      </c>
      <c r="N156" s="25" t="str">
        <f aca="false">IF(OR(A156="",B156=""),"",IFERROR(A156-INDEX(Inventory!$B$4:$B$503,MATCH($B156,Inventory!$A$4:$A$503,0)),""))</f>
        <v/>
      </c>
      <c r="O156" s="27" t="str">
        <f aca="false">IF($B156="","",IFERROR(INDEX(Inventory!$F$4:$F$503,MATCH($B156,Inventory!$A$4:$A$503,0)),""))</f>
        <v/>
      </c>
      <c r="P156" s="27" t="str">
        <f aca="false">IF($B156="","",IFERROR(INDEX(Inventory!$C$4:$C$503,MATCH($B156,Inventory!$A$4:$A$503,0)),""))</f>
        <v/>
      </c>
    </row>
    <row r="157" customFormat="false" ht="15" hidden="false" customHeight="false" outlineLevel="0" collapsed="false">
      <c r="A157" s="19"/>
      <c r="B157" s="10"/>
      <c r="C157" s="23" t="str">
        <f aca="false">IF($B157="","",IFERROR(INDEX(Inventory!$E$4:$E$503,MATCH($B157,Inventory!$A$4:$A$503,0)),"SKU not found"))</f>
        <v/>
      </c>
      <c r="D157" s="10"/>
      <c r="E157" s="12"/>
      <c r="F157" s="12"/>
      <c r="G157" s="12"/>
      <c r="H157" s="24" t="str">
        <f aca="false">IF(OR(B157="",D157="",E157=""),"",IFERROR(IF(AND(D157="Poshmark",E157&lt;Settings!$B$20),Settings!$B$21,(E157+IF(INDEX(Settings!$E$4:$E$11,MATCH($D157,Settings!$A$4:$A$11,0))="Y",N(F157),0))*(INDEX(Settings!$B$4:$B$11,MATCH($D157,Settings!$A$4:$A$11,0))+INDEX(Settings!$D$4:$D$11,MATCH($D157,Settings!$A$4:$A$11,0)))+INDEX(Settings!$C$4:$C$11,MATCH($D157,Settings!$A$4:$A$11,0))),0))</f>
        <v/>
      </c>
      <c r="I157" s="12"/>
      <c r="J157" s="12"/>
      <c r="K157" s="24" t="str">
        <f aca="false">IF($B157="","",IFERROR(INDEX(Inventory!$J$4:$J$503,MATCH($B157,Inventory!$A$4:$A$503,0)),0))</f>
        <v/>
      </c>
      <c r="L157" s="24" t="str">
        <f aca="false">IF(OR(B157="",E157=""),"",E157+N(F157)-N(G157)-N(H157)-N(J157)-N(K157))</f>
        <v/>
      </c>
      <c r="M157" s="28" t="str">
        <f aca="false">IF(OR(L157="",N(K157)=0),"",L157/K157)</f>
        <v/>
      </c>
      <c r="N157" s="25" t="str">
        <f aca="false">IF(OR(A157="",B157=""),"",IFERROR(A157-INDEX(Inventory!$B$4:$B$503,MATCH($B157,Inventory!$A$4:$A$503,0)),""))</f>
        <v/>
      </c>
      <c r="O157" s="27" t="str">
        <f aca="false">IF($B157="","",IFERROR(INDEX(Inventory!$F$4:$F$503,MATCH($B157,Inventory!$A$4:$A$503,0)),""))</f>
        <v/>
      </c>
      <c r="P157" s="27" t="str">
        <f aca="false">IF($B157="","",IFERROR(INDEX(Inventory!$C$4:$C$503,MATCH($B157,Inventory!$A$4:$A$503,0)),""))</f>
        <v/>
      </c>
    </row>
    <row r="158" customFormat="false" ht="15" hidden="false" customHeight="false" outlineLevel="0" collapsed="false">
      <c r="A158" s="19"/>
      <c r="B158" s="10"/>
      <c r="C158" s="23" t="str">
        <f aca="false">IF($B158="","",IFERROR(INDEX(Inventory!$E$4:$E$503,MATCH($B158,Inventory!$A$4:$A$503,0)),"SKU not found"))</f>
        <v/>
      </c>
      <c r="D158" s="10"/>
      <c r="E158" s="12"/>
      <c r="F158" s="12"/>
      <c r="G158" s="12"/>
      <c r="H158" s="24" t="str">
        <f aca="false">IF(OR(B158="",D158="",E158=""),"",IFERROR(IF(AND(D158="Poshmark",E158&lt;Settings!$B$20),Settings!$B$21,(E158+IF(INDEX(Settings!$E$4:$E$11,MATCH($D158,Settings!$A$4:$A$11,0))="Y",N(F158),0))*(INDEX(Settings!$B$4:$B$11,MATCH($D158,Settings!$A$4:$A$11,0))+INDEX(Settings!$D$4:$D$11,MATCH($D158,Settings!$A$4:$A$11,0)))+INDEX(Settings!$C$4:$C$11,MATCH($D158,Settings!$A$4:$A$11,0))),0))</f>
        <v/>
      </c>
      <c r="I158" s="12"/>
      <c r="J158" s="12"/>
      <c r="K158" s="24" t="str">
        <f aca="false">IF($B158="","",IFERROR(INDEX(Inventory!$J$4:$J$503,MATCH($B158,Inventory!$A$4:$A$503,0)),0))</f>
        <v/>
      </c>
      <c r="L158" s="24" t="str">
        <f aca="false">IF(OR(B158="",E158=""),"",E158+N(F158)-N(G158)-N(H158)-N(J158)-N(K158))</f>
        <v/>
      </c>
      <c r="M158" s="28" t="str">
        <f aca="false">IF(OR(L158="",N(K158)=0),"",L158/K158)</f>
        <v/>
      </c>
      <c r="N158" s="25" t="str">
        <f aca="false">IF(OR(A158="",B158=""),"",IFERROR(A158-INDEX(Inventory!$B$4:$B$503,MATCH($B158,Inventory!$A$4:$A$503,0)),""))</f>
        <v/>
      </c>
      <c r="O158" s="27" t="str">
        <f aca="false">IF($B158="","",IFERROR(INDEX(Inventory!$F$4:$F$503,MATCH($B158,Inventory!$A$4:$A$503,0)),""))</f>
        <v/>
      </c>
      <c r="P158" s="27" t="str">
        <f aca="false">IF($B158="","",IFERROR(INDEX(Inventory!$C$4:$C$503,MATCH($B158,Inventory!$A$4:$A$503,0)),""))</f>
        <v/>
      </c>
    </row>
    <row r="159" customFormat="false" ht="15" hidden="false" customHeight="false" outlineLevel="0" collapsed="false">
      <c r="A159" s="19"/>
      <c r="B159" s="10"/>
      <c r="C159" s="23" t="str">
        <f aca="false">IF($B159="","",IFERROR(INDEX(Inventory!$E$4:$E$503,MATCH($B159,Inventory!$A$4:$A$503,0)),"SKU not found"))</f>
        <v/>
      </c>
      <c r="D159" s="10"/>
      <c r="E159" s="12"/>
      <c r="F159" s="12"/>
      <c r="G159" s="12"/>
      <c r="H159" s="24" t="str">
        <f aca="false">IF(OR(B159="",D159="",E159=""),"",IFERROR(IF(AND(D159="Poshmark",E159&lt;Settings!$B$20),Settings!$B$21,(E159+IF(INDEX(Settings!$E$4:$E$11,MATCH($D159,Settings!$A$4:$A$11,0))="Y",N(F159),0))*(INDEX(Settings!$B$4:$B$11,MATCH($D159,Settings!$A$4:$A$11,0))+INDEX(Settings!$D$4:$D$11,MATCH($D159,Settings!$A$4:$A$11,0)))+INDEX(Settings!$C$4:$C$11,MATCH($D159,Settings!$A$4:$A$11,0))),0))</f>
        <v/>
      </c>
      <c r="I159" s="12"/>
      <c r="J159" s="12"/>
      <c r="K159" s="24" t="str">
        <f aca="false">IF($B159="","",IFERROR(INDEX(Inventory!$J$4:$J$503,MATCH($B159,Inventory!$A$4:$A$503,0)),0))</f>
        <v/>
      </c>
      <c r="L159" s="24" t="str">
        <f aca="false">IF(OR(B159="",E159=""),"",E159+N(F159)-N(G159)-N(H159)-N(J159)-N(K159))</f>
        <v/>
      </c>
      <c r="M159" s="28" t="str">
        <f aca="false">IF(OR(L159="",N(K159)=0),"",L159/K159)</f>
        <v/>
      </c>
      <c r="N159" s="25" t="str">
        <f aca="false">IF(OR(A159="",B159=""),"",IFERROR(A159-INDEX(Inventory!$B$4:$B$503,MATCH($B159,Inventory!$A$4:$A$503,0)),""))</f>
        <v/>
      </c>
      <c r="O159" s="27" t="str">
        <f aca="false">IF($B159="","",IFERROR(INDEX(Inventory!$F$4:$F$503,MATCH($B159,Inventory!$A$4:$A$503,0)),""))</f>
        <v/>
      </c>
      <c r="P159" s="27" t="str">
        <f aca="false">IF($B159="","",IFERROR(INDEX(Inventory!$C$4:$C$503,MATCH($B159,Inventory!$A$4:$A$503,0)),""))</f>
        <v/>
      </c>
    </row>
    <row r="160" customFormat="false" ht="15" hidden="false" customHeight="false" outlineLevel="0" collapsed="false">
      <c r="A160" s="19"/>
      <c r="B160" s="10"/>
      <c r="C160" s="23" t="str">
        <f aca="false">IF($B160="","",IFERROR(INDEX(Inventory!$E$4:$E$503,MATCH($B160,Inventory!$A$4:$A$503,0)),"SKU not found"))</f>
        <v/>
      </c>
      <c r="D160" s="10"/>
      <c r="E160" s="12"/>
      <c r="F160" s="12"/>
      <c r="G160" s="12"/>
      <c r="H160" s="24" t="str">
        <f aca="false">IF(OR(B160="",D160="",E160=""),"",IFERROR(IF(AND(D160="Poshmark",E160&lt;Settings!$B$20),Settings!$B$21,(E160+IF(INDEX(Settings!$E$4:$E$11,MATCH($D160,Settings!$A$4:$A$11,0))="Y",N(F160),0))*(INDEX(Settings!$B$4:$B$11,MATCH($D160,Settings!$A$4:$A$11,0))+INDEX(Settings!$D$4:$D$11,MATCH($D160,Settings!$A$4:$A$11,0)))+INDEX(Settings!$C$4:$C$11,MATCH($D160,Settings!$A$4:$A$11,0))),0))</f>
        <v/>
      </c>
      <c r="I160" s="12"/>
      <c r="J160" s="12"/>
      <c r="K160" s="24" t="str">
        <f aca="false">IF($B160="","",IFERROR(INDEX(Inventory!$J$4:$J$503,MATCH($B160,Inventory!$A$4:$A$503,0)),0))</f>
        <v/>
      </c>
      <c r="L160" s="24" t="str">
        <f aca="false">IF(OR(B160="",E160=""),"",E160+N(F160)-N(G160)-N(H160)-N(J160)-N(K160))</f>
        <v/>
      </c>
      <c r="M160" s="28" t="str">
        <f aca="false">IF(OR(L160="",N(K160)=0),"",L160/K160)</f>
        <v/>
      </c>
      <c r="N160" s="25" t="str">
        <f aca="false">IF(OR(A160="",B160=""),"",IFERROR(A160-INDEX(Inventory!$B$4:$B$503,MATCH($B160,Inventory!$A$4:$A$503,0)),""))</f>
        <v/>
      </c>
      <c r="O160" s="27" t="str">
        <f aca="false">IF($B160="","",IFERROR(INDEX(Inventory!$F$4:$F$503,MATCH($B160,Inventory!$A$4:$A$503,0)),""))</f>
        <v/>
      </c>
      <c r="P160" s="27" t="str">
        <f aca="false">IF($B160="","",IFERROR(INDEX(Inventory!$C$4:$C$503,MATCH($B160,Inventory!$A$4:$A$503,0)),""))</f>
        <v/>
      </c>
    </row>
    <row r="161" customFormat="false" ht="15" hidden="false" customHeight="false" outlineLevel="0" collapsed="false">
      <c r="A161" s="19"/>
      <c r="B161" s="10"/>
      <c r="C161" s="23" t="str">
        <f aca="false">IF($B161="","",IFERROR(INDEX(Inventory!$E$4:$E$503,MATCH($B161,Inventory!$A$4:$A$503,0)),"SKU not found"))</f>
        <v/>
      </c>
      <c r="D161" s="10"/>
      <c r="E161" s="12"/>
      <c r="F161" s="12"/>
      <c r="G161" s="12"/>
      <c r="H161" s="24" t="str">
        <f aca="false">IF(OR(B161="",D161="",E161=""),"",IFERROR(IF(AND(D161="Poshmark",E161&lt;Settings!$B$20),Settings!$B$21,(E161+IF(INDEX(Settings!$E$4:$E$11,MATCH($D161,Settings!$A$4:$A$11,0))="Y",N(F161),0))*(INDEX(Settings!$B$4:$B$11,MATCH($D161,Settings!$A$4:$A$11,0))+INDEX(Settings!$D$4:$D$11,MATCH($D161,Settings!$A$4:$A$11,0)))+INDEX(Settings!$C$4:$C$11,MATCH($D161,Settings!$A$4:$A$11,0))),0))</f>
        <v/>
      </c>
      <c r="I161" s="12"/>
      <c r="J161" s="12"/>
      <c r="K161" s="24" t="str">
        <f aca="false">IF($B161="","",IFERROR(INDEX(Inventory!$J$4:$J$503,MATCH($B161,Inventory!$A$4:$A$503,0)),0))</f>
        <v/>
      </c>
      <c r="L161" s="24" t="str">
        <f aca="false">IF(OR(B161="",E161=""),"",E161+N(F161)-N(G161)-N(H161)-N(J161)-N(K161))</f>
        <v/>
      </c>
      <c r="M161" s="28" t="str">
        <f aca="false">IF(OR(L161="",N(K161)=0),"",L161/K161)</f>
        <v/>
      </c>
      <c r="N161" s="25" t="str">
        <f aca="false">IF(OR(A161="",B161=""),"",IFERROR(A161-INDEX(Inventory!$B$4:$B$503,MATCH($B161,Inventory!$A$4:$A$503,0)),""))</f>
        <v/>
      </c>
      <c r="O161" s="27" t="str">
        <f aca="false">IF($B161="","",IFERROR(INDEX(Inventory!$F$4:$F$503,MATCH($B161,Inventory!$A$4:$A$503,0)),""))</f>
        <v/>
      </c>
      <c r="P161" s="27" t="str">
        <f aca="false">IF($B161="","",IFERROR(INDEX(Inventory!$C$4:$C$503,MATCH($B161,Inventory!$A$4:$A$503,0)),""))</f>
        <v/>
      </c>
    </row>
    <row r="162" customFormat="false" ht="15" hidden="false" customHeight="false" outlineLevel="0" collapsed="false">
      <c r="A162" s="19"/>
      <c r="B162" s="10"/>
      <c r="C162" s="23" t="str">
        <f aca="false">IF($B162="","",IFERROR(INDEX(Inventory!$E$4:$E$503,MATCH($B162,Inventory!$A$4:$A$503,0)),"SKU not found"))</f>
        <v/>
      </c>
      <c r="D162" s="10"/>
      <c r="E162" s="12"/>
      <c r="F162" s="12"/>
      <c r="G162" s="12"/>
      <c r="H162" s="24" t="str">
        <f aca="false">IF(OR(B162="",D162="",E162=""),"",IFERROR(IF(AND(D162="Poshmark",E162&lt;Settings!$B$20),Settings!$B$21,(E162+IF(INDEX(Settings!$E$4:$E$11,MATCH($D162,Settings!$A$4:$A$11,0))="Y",N(F162),0))*(INDEX(Settings!$B$4:$B$11,MATCH($D162,Settings!$A$4:$A$11,0))+INDEX(Settings!$D$4:$D$11,MATCH($D162,Settings!$A$4:$A$11,0)))+INDEX(Settings!$C$4:$C$11,MATCH($D162,Settings!$A$4:$A$11,0))),0))</f>
        <v/>
      </c>
      <c r="I162" s="12"/>
      <c r="J162" s="12"/>
      <c r="K162" s="24" t="str">
        <f aca="false">IF($B162="","",IFERROR(INDEX(Inventory!$J$4:$J$503,MATCH($B162,Inventory!$A$4:$A$503,0)),0))</f>
        <v/>
      </c>
      <c r="L162" s="24" t="str">
        <f aca="false">IF(OR(B162="",E162=""),"",E162+N(F162)-N(G162)-N(H162)-N(J162)-N(K162))</f>
        <v/>
      </c>
      <c r="M162" s="28" t="str">
        <f aca="false">IF(OR(L162="",N(K162)=0),"",L162/K162)</f>
        <v/>
      </c>
      <c r="N162" s="25" t="str">
        <f aca="false">IF(OR(A162="",B162=""),"",IFERROR(A162-INDEX(Inventory!$B$4:$B$503,MATCH($B162,Inventory!$A$4:$A$503,0)),""))</f>
        <v/>
      </c>
      <c r="O162" s="27" t="str">
        <f aca="false">IF($B162="","",IFERROR(INDEX(Inventory!$F$4:$F$503,MATCH($B162,Inventory!$A$4:$A$503,0)),""))</f>
        <v/>
      </c>
      <c r="P162" s="27" t="str">
        <f aca="false">IF($B162="","",IFERROR(INDEX(Inventory!$C$4:$C$503,MATCH($B162,Inventory!$A$4:$A$503,0)),""))</f>
        <v/>
      </c>
    </row>
    <row r="163" customFormat="false" ht="15" hidden="false" customHeight="false" outlineLevel="0" collapsed="false">
      <c r="A163" s="19"/>
      <c r="B163" s="10"/>
      <c r="C163" s="23" t="str">
        <f aca="false">IF($B163="","",IFERROR(INDEX(Inventory!$E$4:$E$503,MATCH($B163,Inventory!$A$4:$A$503,0)),"SKU not found"))</f>
        <v/>
      </c>
      <c r="D163" s="10"/>
      <c r="E163" s="12"/>
      <c r="F163" s="12"/>
      <c r="G163" s="12"/>
      <c r="H163" s="24" t="str">
        <f aca="false">IF(OR(B163="",D163="",E163=""),"",IFERROR(IF(AND(D163="Poshmark",E163&lt;Settings!$B$20),Settings!$B$21,(E163+IF(INDEX(Settings!$E$4:$E$11,MATCH($D163,Settings!$A$4:$A$11,0))="Y",N(F163),0))*(INDEX(Settings!$B$4:$B$11,MATCH($D163,Settings!$A$4:$A$11,0))+INDEX(Settings!$D$4:$D$11,MATCH($D163,Settings!$A$4:$A$11,0)))+INDEX(Settings!$C$4:$C$11,MATCH($D163,Settings!$A$4:$A$11,0))),0))</f>
        <v/>
      </c>
      <c r="I163" s="12"/>
      <c r="J163" s="12"/>
      <c r="K163" s="24" t="str">
        <f aca="false">IF($B163="","",IFERROR(INDEX(Inventory!$J$4:$J$503,MATCH($B163,Inventory!$A$4:$A$503,0)),0))</f>
        <v/>
      </c>
      <c r="L163" s="24" t="str">
        <f aca="false">IF(OR(B163="",E163=""),"",E163+N(F163)-N(G163)-N(H163)-N(J163)-N(K163))</f>
        <v/>
      </c>
      <c r="M163" s="28" t="str">
        <f aca="false">IF(OR(L163="",N(K163)=0),"",L163/K163)</f>
        <v/>
      </c>
      <c r="N163" s="25" t="str">
        <f aca="false">IF(OR(A163="",B163=""),"",IFERROR(A163-INDEX(Inventory!$B$4:$B$503,MATCH($B163,Inventory!$A$4:$A$503,0)),""))</f>
        <v/>
      </c>
      <c r="O163" s="27" t="str">
        <f aca="false">IF($B163="","",IFERROR(INDEX(Inventory!$F$4:$F$503,MATCH($B163,Inventory!$A$4:$A$503,0)),""))</f>
        <v/>
      </c>
      <c r="P163" s="27" t="str">
        <f aca="false">IF($B163="","",IFERROR(INDEX(Inventory!$C$4:$C$503,MATCH($B163,Inventory!$A$4:$A$503,0)),""))</f>
        <v/>
      </c>
    </row>
    <row r="164" customFormat="false" ht="15" hidden="false" customHeight="false" outlineLevel="0" collapsed="false">
      <c r="A164" s="19"/>
      <c r="B164" s="10"/>
      <c r="C164" s="23" t="str">
        <f aca="false">IF($B164="","",IFERROR(INDEX(Inventory!$E$4:$E$503,MATCH($B164,Inventory!$A$4:$A$503,0)),"SKU not found"))</f>
        <v/>
      </c>
      <c r="D164" s="10"/>
      <c r="E164" s="12"/>
      <c r="F164" s="12"/>
      <c r="G164" s="12"/>
      <c r="H164" s="24" t="str">
        <f aca="false">IF(OR(B164="",D164="",E164=""),"",IFERROR(IF(AND(D164="Poshmark",E164&lt;Settings!$B$20),Settings!$B$21,(E164+IF(INDEX(Settings!$E$4:$E$11,MATCH($D164,Settings!$A$4:$A$11,0))="Y",N(F164),0))*(INDEX(Settings!$B$4:$B$11,MATCH($D164,Settings!$A$4:$A$11,0))+INDEX(Settings!$D$4:$D$11,MATCH($D164,Settings!$A$4:$A$11,0)))+INDEX(Settings!$C$4:$C$11,MATCH($D164,Settings!$A$4:$A$11,0))),0))</f>
        <v/>
      </c>
      <c r="I164" s="12"/>
      <c r="J164" s="12"/>
      <c r="K164" s="24" t="str">
        <f aca="false">IF($B164="","",IFERROR(INDEX(Inventory!$J$4:$J$503,MATCH($B164,Inventory!$A$4:$A$503,0)),0))</f>
        <v/>
      </c>
      <c r="L164" s="24" t="str">
        <f aca="false">IF(OR(B164="",E164=""),"",E164+N(F164)-N(G164)-N(H164)-N(J164)-N(K164))</f>
        <v/>
      </c>
      <c r="M164" s="28" t="str">
        <f aca="false">IF(OR(L164="",N(K164)=0),"",L164/K164)</f>
        <v/>
      </c>
      <c r="N164" s="25" t="str">
        <f aca="false">IF(OR(A164="",B164=""),"",IFERROR(A164-INDEX(Inventory!$B$4:$B$503,MATCH($B164,Inventory!$A$4:$A$503,0)),""))</f>
        <v/>
      </c>
      <c r="O164" s="27" t="str">
        <f aca="false">IF($B164="","",IFERROR(INDEX(Inventory!$F$4:$F$503,MATCH($B164,Inventory!$A$4:$A$503,0)),""))</f>
        <v/>
      </c>
      <c r="P164" s="27" t="str">
        <f aca="false">IF($B164="","",IFERROR(INDEX(Inventory!$C$4:$C$503,MATCH($B164,Inventory!$A$4:$A$503,0)),""))</f>
        <v/>
      </c>
    </row>
    <row r="165" customFormat="false" ht="15" hidden="false" customHeight="false" outlineLevel="0" collapsed="false">
      <c r="A165" s="19"/>
      <c r="B165" s="10"/>
      <c r="C165" s="23" t="str">
        <f aca="false">IF($B165="","",IFERROR(INDEX(Inventory!$E$4:$E$503,MATCH($B165,Inventory!$A$4:$A$503,0)),"SKU not found"))</f>
        <v/>
      </c>
      <c r="D165" s="10"/>
      <c r="E165" s="12"/>
      <c r="F165" s="12"/>
      <c r="G165" s="12"/>
      <c r="H165" s="24" t="str">
        <f aca="false">IF(OR(B165="",D165="",E165=""),"",IFERROR(IF(AND(D165="Poshmark",E165&lt;Settings!$B$20),Settings!$B$21,(E165+IF(INDEX(Settings!$E$4:$E$11,MATCH($D165,Settings!$A$4:$A$11,0))="Y",N(F165),0))*(INDEX(Settings!$B$4:$B$11,MATCH($D165,Settings!$A$4:$A$11,0))+INDEX(Settings!$D$4:$D$11,MATCH($D165,Settings!$A$4:$A$11,0)))+INDEX(Settings!$C$4:$C$11,MATCH($D165,Settings!$A$4:$A$11,0))),0))</f>
        <v/>
      </c>
      <c r="I165" s="12"/>
      <c r="J165" s="12"/>
      <c r="K165" s="24" t="str">
        <f aca="false">IF($B165="","",IFERROR(INDEX(Inventory!$J$4:$J$503,MATCH($B165,Inventory!$A$4:$A$503,0)),0))</f>
        <v/>
      </c>
      <c r="L165" s="24" t="str">
        <f aca="false">IF(OR(B165="",E165=""),"",E165+N(F165)-N(G165)-N(H165)-N(J165)-N(K165))</f>
        <v/>
      </c>
      <c r="M165" s="28" t="str">
        <f aca="false">IF(OR(L165="",N(K165)=0),"",L165/K165)</f>
        <v/>
      </c>
      <c r="N165" s="25" t="str">
        <f aca="false">IF(OR(A165="",B165=""),"",IFERROR(A165-INDEX(Inventory!$B$4:$B$503,MATCH($B165,Inventory!$A$4:$A$503,0)),""))</f>
        <v/>
      </c>
      <c r="O165" s="27" t="str">
        <f aca="false">IF($B165="","",IFERROR(INDEX(Inventory!$F$4:$F$503,MATCH($B165,Inventory!$A$4:$A$503,0)),""))</f>
        <v/>
      </c>
      <c r="P165" s="27" t="str">
        <f aca="false">IF($B165="","",IFERROR(INDEX(Inventory!$C$4:$C$503,MATCH($B165,Inventory!$A$4:$A$503,0)),""))</f>
        <v/>
      </c>
    </row>
    <row r="166" customFormat="false" ht="15" hidden="false" customHeight="false" outlineLevel="0" collapsed="false">
      <c r="A166" s="19"/>
      <c r="B166" s="10"/>
      <c r="C166" s="23" t="str">
        <f aca="false">IF($B166="","",IFERROR(INDEX(Inventory!$E$4:$E$503,MATCH($B166,Inventory!$A$4:$A$503,0)),"SKU not found"))</f>
        <v/>
      </c>
      <c r="D166" s="10"/>
      <c r="E166" s="12"/>
      <c r="F166" s="12"/>
      <c r="G166" s="12"/>
      <c r="H166" s="24" t="str">
        <f aca="false">IF(OR(B166="",D166="",E166=""),"",IFERROR(IF(AND(D166="Poshmark",E166&lt;Settings!$B$20),Settings!$B$21,(E166+IF(INDEX(Settings!$E$4:$E$11,MATCH($D166,Settings!$A$4:$A$11,0))="Y",N(F166),0))*(INDEX(Settings!$B$4:$B$11,MATCH($D166,Settings!$A$4:$A$11,0))+INDEX(Settings!$D$4:$D$11,MATCH($D166,Settings!$A$4:$A$11,0)))+INDEX(Settings!$C$4:$C$11,MATCH($D166,Settings!$A$4:$A$11,0))),0))</f>
        <v/>
      </c>
      <c r="I166" s="12"/>
      <c r="J166" s="12"/>
      <c r="K166" s="24" t="str">
        <f aca="false">IF($B166="","",IFERROR(INDEX(Inventory!$J$4:$J$503,MATCH($B166,Inventory!$A$4:$A$503,0)),0))</f>
        <v/>
      </c>
      <c r="L166" s="24" t="str">
        <f aca="false">IF(OR(B166="",E166=""),"",E166+N(F166)-N(G166)-N(H166)-N(J166)-N(K166))</f>
        <v/>
      </c>
      <c r="M166" s="28" t="str">
        <f aca="false">IF(OR(L166="",N(K166)=0),"",L166/K166)</f>
        <v/>
      </c>
      <c r="N166" s="25" t="str">
        <f aca="false">IF(OR(A166="",B166=""),"",IFERROR(A166-INDEX(Inventory!$B$4:$B$503,MATCH($B166,Inventory!$A$4:$A$503,0)),""))</f>
        <v/>
      </c>
      <c r="O166" s="27" t="str">
        <f aca="false">IF($B166="","",IFERROR(INDEX(Inventory!$F$4:$F$503,MATCH($B166,Inventory!$A$4:$A$503,0)),""))</f>
        <v/>
      </c>
      <c r="P166" s="27" t="str">
        <f aca="false">IF($B166="","",IFERROR(INDEX(Inventory!$C$4:$C$503,MATCH($B166,Inventory!$A$4:$A$503,0)),""))</f>
        <v/>
      </c>
    </row>
    <row r="167" customFormat="false" ht="15" hidden="false" customHeight="false" outlineLevel="0" collapsed="false">
      <c r="A167" s="19"/>
      <c r="B167" s="10"/>
      <c r="C167" s="23" t="str">
        <f aca="false">IF($B167="","",IFERROR(INDEX(Inventory!$E$4:$E$503,MATCH($B167,Inventory!$A$4:$A$503,0)),"SKU not found"))</f>
        <v/>
      </c>
      <c r="D167" s="10"/>
      <c r="E167" s="12"/>
      <c r="F167" s="12"/>
      <c r="G167" s="12"/>
      <c r="H167" s="24" t="str">
        <f aca="false">IF(OR(B167="",D167="",E167=""),"",IFERROR(IF(AND(D167="Poshmark",E167&lt;Settings!$B$20),Settings!$B$21,(E167+IF(INDEX(Settings!$E$4:$E$11,MATCH($D167,Settings!$A$4:$A$11,0))="Y",N(F167),0))*(INDEX(Settings!$B$4:$B$11,MATCH($D167,Settings!$A$4:$A$11,0))+INDEX(Settings!$D$4:$D$11,MATCH($D167,Settings!$A$4:$A$11,0)))+INDEX(Settings!$C$4:$C$11,MATCH($D167,Settings!$A$4:$A$11,0))),0))</f>
        <v/>
      </c>
      <c r="I167" s="12"/>
      <c r="J167" s="12"/>
      <c r="K167" s="24" t="str">
        <f aca="false">IF($B167="","",IFERROR(INDEX(Inventory!$J$4:$J$503,MATCH($B167,Inventory!$A$4:$A$503,0)),0))</f>
        <v/>
      </c>
      <c r="L167" s="24" t="str">
        <f aca="false">IF(OR(B167="",E167=""),"",E167+N(F167)-N(G167)-N(H167)-N(J167)-N(K167))</f>
        <v/>
      </c>
      <c r="M167" s="28" t="str">
        <f aca="false">IF(OR(L167="",N(K167)=0),"",L167/K167)</f>
        <v/>
      </c>
      <c r="N167" s="25" t="str">
        <f aca="false">IF(OR(A167="",B167=""),"",IFERROR(A167-INDEX(Inventory!$B$4:$B$503,MATCH($B167,Inventory!$A$4:$A$503,0)),""))</f>
        <v/>
      </c>
      <c r="O167" s="27" t="str">
        <f aca="false">IF($B167="","",IFERROR(INDEX(Inventory!$F$4:$F$503,MATCH($B167,Inventory!$A$4:$A$503,0)),""))</f>
        <v/>
      </c>
      <c r="P167" s="27" t="str">
        <f aca="false">IF($B167="","",IFERROR(INDEX(Inventory!$C$4:$C$503,MATCH($B167,Inventory!$A$4:$A$503,0)),""))</f>
        <v/>
      </c>
    </row>
    <row r="168" customFormat="false" ht="15" hidden="false" customHeight="false" outlineLevel="0" collapsed="false">
      <c r="A168" s="19"/>
      <c r="B168" s="10"/>
      <c r="C168" s="23" t="str">
        <f aca="false">IF($B168="","",IFERROR(INDEX(Inventory!$E$4:$E$503,MATCH($B168,Inventory!$A$4:$A$503,0)),"SKU not found"))</f>
        <v/>
      </c>
      <c r="D168" s="10"/>
      <c r="E168" s="12"/>
      <c r="F168" s="12"/>
      <c r="G168" s="12"/>
      <c r="H168" s="24" t="str">
        <f aca="false">IF(OR(B168="",D168="",E168=""),"",IFERROR(IF(AND(D168="Poshmark",E168&lt;Settings!$B$20),Settings!$B$21,(E168+IF(INDEX(Settings!$E$4:$E$11,MATCH($D168,Settings!$A$4:$A$11,0))="Y",N(F168),0))*(INDEX(Settings!$B$4:$B$11,MATCH($D168,Settings!$A$4:$A$11,0))+INDEX(Settings!$D$4:$D$11,MATCH($D168,Settings!$A$4:$A$11,0)))+INDEX(Settings!$C$4:$C$11,MATCH($D168,Settings!$A$4:$A$11,0))),0))</f>
        <v/>
      </c>
      <c r="I168" s="12"/>
      <c r="J168" s="12"/>
      <c r="K168" s="24" t="str">
        <f aca="false">IF($B168="","",IFERROR(INDEX(Inventory!$J$4:$J$503,MATCH($B168,Inventory!$A$4:$A$503,0)),0))</f>
        <v/>
      </c>
      <c r="L168" s="24" t="str">
        <f aca="false">IF(OR(B168="",E168=""),"",E168+N(F168)-N(G168)-N(H168)-N(J168)-N(K168))</f>
        <v/>
      </c>
      <c r="M168" s="28" t="str">
        <f aca="false">IF(OR(L168="",N(K168)=0),"",L168/K168)</f>
        <v/>
      </c>
      <c r="N168" s="25" t="str">
        <f aca="false">IF(OR(A168="",B168=""),"",IFERROR(A168-INDEX(Inventory!$B$4:$B$503,MATCH($B168,Inventory!$A$4:$A$503,0)),""))</f>
        <v/>
      </c>
      <c r="O168" s="27" t="str">
        <f aca="false">IF($B168="","",IFERROR(INDEX(Inventory!$F$4:$F$503,MATCH($B168,Inventory!$A$4:$A$503,0)),""))</f>
        <v/>
      </c>
      <c r="P168" s="27" t="str">
        <f aca="false">IF($B168="","",IFERROR(INDEX(Inventory!$C$4:$C$503,MATCH($B168,Inventory!$A$4:$A$503,0)),""))</f>
        <v/>
      </c>
    </row>
    <row r="169" customFormat="false" ht="15" hidden="false" customHeight="false" outlineLevel="0" collapsed="false">
      <c r="A169" s="19"/>
      <c r="B169" s="10"/>
      <c r="C169" s="23" t="str">
        <f aca="false">IF($B169="","",IFERROR(INDEX(Inventory!$E$4:$E$503,MATCH($B169,Inventory!$A$4:$A$503,0)),"SKU not found"))</f>
        <v/>
      </c>
      <c r="D169" s="10"/>
      <c r="E169" s="12"/>
      <c r="F169" s="12"/>
      <c r="G169" s="12"/>
      <c r="H169" s="24" t="str">
        <f aca="false">IF(OR(B169="",D169="",E169=""),"",IFERROR(IF(AND(D169="Poshmark",E169&lt;Settings!$B$20),Settings!$B$21,(E169+IF(INDEX(Settings!$E$4:$E$11,MATCH($D169,Settings!$A$4:$A$11,0))="Y",N(F169),0))*(INDEX(Settings!$B$4:$B$11,MATCH($D169,Settings!$A$4:$A$11,0))+INDEX(Settings!$D$4:$D$11,MATCH($D169,Settings!$A$4:$A$11,0)))+INDEX(Settings!$C$4:$C$11,MATCH($D169,Settings!$A$4:$A$11,0))),0))</f>
        <v/>
      </c>
      <c r="I169" s="12"/>
      <c r="J169" s="12"/>
      <c r="K169" s="24" t="str">
        <f aca="false">IF($B169="","",IFERROR(INDEX(Inventory!$J$4:$J$503,MATCH($B169,Inventory!$A$4:$A$503,0)),0))</f>
        <v/>
      </c>
      <c r="L169" s="24" t="str">
        <f aca="false">IF(OR(B169="",E169=""),"",E169+N(F169)-N(G169)-N(H169)-N(J169)-N(K169))</f>
        <v/>
      </c>
      <c r="M169" s="28" t="str">
        <f aca="false">IF(OR(L169="",N(K169)=0),"",L169/K169)</f>
        <v/>
      </c>
      <c r="N169" s="25" t="str">
        <f aca="false">IF(OR(A169="",B169=""),"",IFERROR(A169-INDEX(Inventory!$B$4:$B$503,MATCH($B169,Inventory!$A$4:$A$503,0)),""))</f>
        <v/>
      </c>
      <c r="O169" s="27" t="str">
        <f aca="false">IF($B169="","",IFERROR(INDEX(Inventory!$F$4:$F$503,MATCH($B169,Inventory!$A$4:$A$503,0)),""))</f>
        <v/>
      </c>
      <c r="P169" s="27" t="str">
        <f aca="false">IF($B169="","",IFERROR(INDEX(Inventory!$C$4:$C$503,MATCH($B169,Inventory!$A$4:$A$503,0)),""))</f>
        <v/>
      </c>
    </row>
    <row r="170" customFormat="false" ht="15" hidden="false" customHeight="false" outlineLevel="0" collapsed="false">
      <c r="A170" s="19"/>
      <c r="B170" s="10"/>
      <c r="C170" s="23" t="str">
        <f aca="false">IF($B170="","",IFERROR(INDEX(Inventory!$E$4:$E$503,MATCH($B170,Inventory!$A$4:$A$503,0)),"SKU not found"))</f>
        <v/>
      </c>
      <c r="D170" s="10"/>
      <c r="E170" s="12"/>
      <c r="F170" s="12"/>
      <c r="G170" s="12"/>
      <c r="H170" s="24" t="str">
        <f aca="false">IF(OR(B170="",D170="",E170=""),"",IFERROR(IF(AND(D170="Poshmark",E170&lt;Settings!$B$20),Settings!$B$21,(E170+IF(INDEX(Settings!$E$4:$E$11,MATCH($D170,Settings!$A$4:$A$11,0))="Y",N(F170),0))*(INDEX(Settings!$B$4:$B$11,MATCH($D170,Settings!$A$4:$A$11,0))+INDEX(Settings!$D$4:$D$11,MATCH($D170,Settings!$A$4:$A$11,0)))+INDEX(Settings!$C$4:$C$11,MATCH($D170,Settings!$A$4:$A$11,0))),0))</f>
        <v/>
      </c>
      <c r="I170" s="12"/>
      <c r="J170" s="12"/>
      <c r="K170" s="24" t="str">
        <f aca="false">IF($B170="","",IFERROR(INDEX(Inventory!$J$4:$J$503,MATCH($B170,Inventory!$A$4:$A$503,0)),0))</f>
        <v/>
      </c>
      <c r="L170" s="24" t="str">
        <f aca="false">IF(OR(B170="",E170=""),"",E170+N(F170)-N(G170)-N(H170)-N(J170)-N(K170))</f>
        <v/>
      </c>
      <c r="M170" s="28" t="str">
        <f aca="false">IF(OR(L170="",N(K170)=0),"",L170/K170)</f>
        <v/>
      </c>
      <c r="N170" s="25" t="str">
        <f aca="false">IF(OR(A170="",B170=""),"",IFERROR(A170-INDEX(Inventory!$B$4:$B$503,MATCH($B170,Inventory!$A$4:$A$503,0)),""))</f>
        <v/>
      </c>
      <c r="O170" s="27" t="str">
        <f aca="false">IF($B170="","",IFERROR(INDEX(Inventory!$F$4:$F$503,MATCH($B170,Inventory!$A$4:$A$503,0)),""))</f>
        <v/>
      </c>
      <c r="P170" s="27" t="str">
        <f aca="false">IF($B170="","",IFERROR(INDEX(Inventory!$C$4:$C$503,MATCH($B170,Inventory!$A$4:$A$503,0)),""))</f>
        <v/>
      </c>
    </row>
    <row r="171" customFormat="false" ht="15" hidden="false" customHeight="false" outlineLevel="0" collapsed="false">
      <c r="A171" s="19"/>
      <c r="B171" s="10"/>
      <c r="C171" s="23" t="str">
        <f aca="false">IF($B171="","",IFERROR(INDEX(Inventory!$E$4:$E$503,MATCH($B171,Inventory!$A$4:$A$503,0)),"SKU not found"))</f>
        <v/>
      </c>
      <c r="D171" s="10"/>
      <c r="E171" s="12"/>
      <c r="F171" s="12"/>
      <c r="G171" s="12"/>
      <c r="H171" s="24" t="str">
        <f aca="false">IF(OR(B171="",D171="",E171=""),"",IFERROR(IF(AND(D171="Poshmark",E171&lt;Settings!$B$20),Settings!$B$21,(E171+IF(INDEX(Settings!$E$4:$E$11,MATCH($D171,Settings!$A$4:$A$11,0))="Y",N(F171),0))*(INDEX(Settings!$B$4:$B$11,MATCH($D171,Settings!$A$4:$A$11,0))+INDEX(Settings!$D$4:$D$11,MATCH($D171,Settings!$A$4:$A$11,0)))+INDEX(Settings!$C$4:$C$11,MATCH($D171,Settings!$A$4:$A$11,0))),0))</f>
        <v/>
      </c>
      <c r="I171" s="12"/>
      <c r="J171" s="12"/>
      <c r="K171" s="24" t="str">
        <f aca="false">IF($B171="","",IFERROR(INDEX(Inventory!$J$4:$J$503,MATCH($B171,Inventory!$A$4:$A$503,0)),0))</f>
        <v/>
      </c>
      <c r="L171" s="24" t="str">
        <f aca="false">IF(OR(B171="",E171=""),"",E171+N(F171)-N(G171)-N(H171)-N(J171)-N(K171))</f>
        <v/>
      </c>
      <c r="M171" s="28" t="str">
        <f aca="false">IF(OR(L171="",N(K171)=0),"",L171/K171)</f>
        <v/>
      </c>
      <c r="N171" s="25" t="str">
        <f aca="false">IF(OR(A171="",B171=""),"",IFERROR(A171-INDEX(Inventory!$B$4:$B$503,MATCH($B171,Inventory!$A$4:$A$503,0)),""))</f>
        <v/>
      </c>
      <c r="O171" s="27" t="str">
        <f aca="false">IF($B171="","",IFERROR(INDEX(Inventory!$F$4:$F$503,MATCH($B171,Inventory!$A$4:$A$503,0)),""))</f>
        <v/>
      </c>
      <c r="P171" s="27" t="str">
        <f aca="false">IF($B171="","",IFERROR(INDEX(Inventory!$C$4:$C$503,MATCH($B171,Inventory!$A$4:$A$503,0)),""))</f>
        <v/>
      </c>
    </row>
    <row r="172" customFormat="false" ht="15" hidden="false" customHeight="false" outlineLevel="0" collapsed="false">
      <c r="A172" s="19"/>
      <c r="B172" s="10"/>
      <c r="C172" s="23" t="str">
        <f aca="false">IF($B172="","",IFERROR(INDEX(Inventory!$E$4:$E$503,MATCH($B172,Inventory!$A$4:$A$503,0)),"SKU not found"))</f>
        <v/>
      </c>
      <c r="D172" s="10"/>
      <c r="E172" s="12"/>
      <c r="F172" s="12"/>
      <c r="G172" s="12"/>
      <c r="H172" s="24" t="str">
        <f aca="false">IF(OR(B172="",D172="",E172=""),"",IFERROR(IF(AND(D172="Poshmark",E172&lt;Settings!$B$20),Settings!$B$21,(E172+IF(INDEX(Settings!$E$4:$E$11,MATCH($D172,Settings!$A$4:$A$11,0))="Y",N(F172),0))*(INDEX(Settings!$B$4:$B$11,MATCH($D172,Settings!$A$4:$A$11,0))+INDEX(Settings!$D$4:$D$11,MATCH($D172,Settings!$A$4:$A$11,0)))+INDEX(Settings!$C$4:$C$11,MATCH($D172,Settings!$A$4:$A$11,0))),0))</f>
        <v/>
      </c>
      <c r="I172" s="12"/>
      <c r="J172" s="12"/>
      <c r="K172" s="24" t="str">
        <f aca="false">IF($B172="","",IFERROR(INDEX(Inventory!$J$4:$J$503,MATCH($B172,Inventory!$A$4:$A$503,0)),0))</f>
        <v/>
      </c>
      <c r="L172" s="24" t="str">
        <f aca="false">IF(OR(B172="",E172=""),"",E172+N(F172)-N(G172)-N(H172)-N(J172)-N(K172))</f>
        <v/>
      </c>
      <c r="M172" s="28" t="str">
        <f aca="false">IF(OR(L172="",N(K172)=0),"",L172/K172)</f>
        <v/>
      </c>
      <c r="N172" s="25" t="str">
        <f aca="false">IF(OR(A172="",B172=""),"",IFERROR(A172-INDEX(Inventory!$B$4:$B$503,MATCH($B172,Inventory!$A$4:$A$503,0)),""))</f>
        <v/>
      </c>
      <c r="O172" s="27" t="str">
        <f aca="false">IF($B172="","",IFERROR(INDEX(Inventory!$F$4:$F$503,MATCH($B172,Inventory!$A$4:$A$503,0)),""))</f>
        <v/>
      </c>
      <c r="P172" s="27" t="str">
        <f aca="false">IF($B172="","",IFERROR(INDEX(Inventory!$C$4:$C$503,MATCH($B172,Inventory!$A$4:$A$503,0)),""))</f>
        <v/>
      </c>
    </row>
    <row r="173" customFormat="false" ht="15" hidden="false" customHeight="false" outlineLevel="0" collapsed="false">
      <c r="A173" s="19"/>
      <c r="B173" s="10"/>
      <c r="C173" s="23" t="str">
        <f aca="false">IF($B173="","",IFERROR(INDEX(Inventory!$E$4:$E$503,MATCH($B173,Inventory!$A$4:$A$503,0)),"SKU not found"))</f>
        <v/>
      </c>
      <c r="D173" s="10"/>
      <c r="E173" s="12"/>
      <c r="F173" s="12"/>
      <c r="G173" s="12"/>
      <c r="H173" s="24" t="str">
        <f aca="false">IF(OR(B173="",D173="",E173=""),"",IFERROR(IF(AND(D173="Poshmark",E173&lt;Settings!$B$20),Settings!$B$21,(E173+IF(INDEX(Settings!$E$4:$E$11,MATCH($D173,Settings!$A$4:$A$11,0))="Y",N(F173),0))*(INDEX(Settings!$B$4:$B$11,MATCH($D173,Settings!$A$4:$A$11,0))+INDEX(Settings!$D$4:$D$11,MATCH($D173,Settings!$A$4:$A$11,0)))+INDEX(Settings!$C$4:$C$11,MATCH($D173,Settings!$A$4:$A$11,0))),0))</f>
        <v/>
      </c>
      <c r="I173" s="12"/>
      <c r="J173" s="12"/>
      <c r="K173" s="24" t="str">
        <f aca="false">IF($B173="","",IFERROR(INDEX(Inventory!$J$4:$J$503,MATCH($B173,Inventory!$A$4:$A$503,0)),0))</f>
        <v/>
      </c>
      <c r="L173" s="24" t="str">
        <f aca="false">IF(OR(B173="",E173=""),"",E173+N(F173)-N(G173)-N(H173)-N(J173)-N(K173))</f>
        <v/>
      </c>
      <c r="M173" s="28" t="str">
        <f aca="false">IF(OR(L173="",N(K173)=0),"",L173/K173)</f>
        <v/>
      </c>
      <c r="N173" s="25" t="str">
        <f aca="false">IF(OR(A173="",B173=""),"",IFERROR(A173-INDEX(Inventory!$B$4:$B$503,MATCH($B173,Inventory!$A$4:$A$503,0)),""))</f>
        <v/>
      </c>
      <c r="O173" s="27" t="str">
        <f aca="false">IF($B173="","",IFERROR(INDEX(Inventory!$F$4:$F$503,MATCH($B173,Inventory!$A$4:$A$503,0)),""))</f>
        <v/>
      </c>
      <c r="P173" s="27" t="str">
        <f aca="false">IF($B173="","",IFERROR(INDEX(Inventory!$C$4:$C$503,MATCH($B173,Inventory!$A$4:$A$503,0)),""))</f>
        <v/>
      </c>
    </row>
    <row r="174" customFormat="false" ht="15" hidden="false" customHeight="false" outlineLevel="0" collapsed="false">
      <c r="A174" s="19"/>
      <c r="B174" s="10"/>
      <c r="C174" s="23" t="str">
        <f aca="false">IF($B174="","",IFERROR(INDEX(Inventory!$E$4:$E$503,MATCH($B174,Inventory!$A$4:$A$503,0)),"SKU not found"))</f>
        <v/>
      </c>
      <c r="D174" s="10"/>
      <c r="E174" s="12"/>
      <c r="F174" s="12"/>
      <c r="G174" s="12"/>
      <c r="H174" s="24" t="str">
        <f aca="false">IF(OR(B174="",D174="",E174=""),"",IFERROR(IF(AND(D174="Poshmark",E174&lt;Settings!$B$20),Settings!$B$21,(E174+IF(INDEX(Settings!$E$4:$E$11,MATCH($D174,Settings!$A$4:$A$11,0))="Y",N(F174),0))*(INDEX(Settings!$B$4:$B$11,MATCH($D174,Settings!$A$4:$A$11,0))+INDEX(Settings!$D$4:$D$11,MATCH($D174,Settings!$A$4:$A$11,0)))+INDEX(Settings!$C$4:$C$11,MATCH($D174,Settings!$A$4:$A$11,0))),0))</f>
        <v/>
      </c>
      <c r="I174" s="12"/>
      <c r="J174" s="12"/>
      <c r="K174" s="24" t="str">
        <f aca="false">IF($B174="","",IFERROR(INDEX(Inventory!$J$4:$J$503,MATCH($B174,Inventory!$A$4:$A$503,0)),0))</f>
        <v/>
      </c>
      <c r="L174" s="24" t="str">
        <f aca="false">IF(OR(B174="",E174=""),"",E174+N(F174)-N(G174)-N(H174)-N(J174)-N(K174))</f>
        <v/>
      </c>
      <c r="M174" s="28" t="str">
        <f aca="false">IF(OR(L174="",N(K174)=0),"",L174/K174)</f>
        <v/>
      </c>
      <c r="N174" s="25" t="str">
        <f aca="false">IF(OR(A174="",B174=""),"",IFERROR(A174-INDEX(Inventory!$B$4:$B$503,MATCH($B174,Inventory!$A$4:$A$503,0)),""))</f>
        <v/>
      </c>
      <c r="O174" s="27" t="str">
        <f aca="false">IF($B174="","",IFERROR(INDEX(Inventory!$F$4:$F$503,MATCH($B174,Inventory!$A$4:$A$503,0)),""))</f>
        <v/>
      </c>
      <c r="P174" s="27" t="str">
        <f aca="false">IF($B174="","",IFERROR(INDEX(Inventory!$C$4:$C$503,MATCH($B174,Inventory!$A$4:$A$503,0)),""))</f>
        <v/>
      </c>
    </row>
    <row r="175" customFormat="false" ht="15" hidden="false" customHeight="false" outlineLevel="0" collapsed="false">
      <c r="A175" s="19"/>
      <c r="B175" s="10"/>
      <c r="C175" s="23" t="str">
        <f aca="false">IF($B175="","",IFERROR(INDEX(Inventory!$E$4:$E$503,MATCH($B175,Inventory!$A$4:$A$503,0)),"SKU not found"))</f>
        <v/>
      </c>
      <c r="D175" s="10"/>
      <c r="E175" s="12"/>
      <c r="F175" s="12"/>
      <c r="G175" s="12"/>
      <c r="H175" s="24" t="str">
        <f aca="false">IF(OR(B175="",D175="",E175=""),"",IFERROR(IF(AND(D175="Poshmark",E175&lt;Settings!$B$20),Settings!$B$21,(E175+IF(INDEX(Settings!$E$4:$E$11,MATCH($D175,Settings!$A$4:$A$11,0))="Y",N(F175),0))*(INDEX(Settings!$B$4:$B$11,MATCH($D175,Settings!$A$4:$A$11,0))+INDEX(Settings!$D$4:$D$11,MATCH($D175,Settings!$A$4:$A$11,0)))+INDEX(Settings!$C$4:$C$11,MATCH($D175,Settings!$A$4:$A$11,0))),0))</f>
        <v/>
      </c>
      <c r="I175" s="12"/>
      <c r="J175" s="12"/>
      <c r="K175" s="24" t="str">
        <f aca="false">IF($B175="","",IFERROR(INDEX(Inventory!$J$4:$J$503,MATCH($B175,Inventory!$A$4:$A$503,0)),0))</f>
        <v/>
      </c>
      <c r="L175" s="24" t="str">
        <f aca="false">IF(OR(B175="",E175=""),"",E175+N(F175)-N(G175)-N(H175)-N(J175)-N(K175))</f>
        <v/>
      </c>
      <c r="M175" s="28" t="str">
        <f aca="false">IF(OR(L175="",N(K175)=0),"",L175/K175)</f>
        <v/>
      </c>
      <c r="N175" s="25" t="str">
        <f aca="false">IF(OR(A175="",B175=""),"",IFERROR(A175-INDEX(Inventory!$B$4:$B$503,MATCH($B175,Inventory!$A$4:$A$503,0)),""))</f>
        <v/>
      </c>
      <c r="O175" s="27" t="str">
        <f aca="false">IF($B175="","",IFERROR(INDEX(Inventory!$F$4:$F$503,MATCH($B175,Inventory!$A$4:$A$503,0)),""))</f>
        <v/>
      </c>
      <c r="P175" s="27" t="str">
        <f aca="false">IF($B175="","",IFERROR(INDEX(Inventory!$C$4:$C$503,MATCH($B175,Inventory!$A$4:$A$503,0)),""))</f>
        <v/>
      </c>
    </row>
    <row r="176" customFormat="false" ht="15" hidden="false" customHeight="false" outlineLevel="0" collapsed="false">
      <c r="A176" s="19"/>
      <c r="B176" s="10"/>
      <c r="C176" s="23" t="str">
        <f aca="false">IF($B176="","",IFERROR(INDEX(Inventory!$E$4:$E$503,MATCH($B176,Inventory!$A$4:$A$503,0)),"SKU not found"))</f>
        <v/>
      </c>
      <c r="D176" s="10"/>
      <c r="E176" s="12"/>
      <c r="F176" s="12"/>
      <c r="G176" s="12"/>
      <c r="H176" s="24" t="str">
        <f aca="false">IF(OR(B176="",D176="",E176=""),"",IFERROR(IF(AND(D176="Poshmark",E176&lt;Settings!$B$20),Settings!$B$21,(E176+IF(INDEX(Settings!$E$4:$E$11,MATCH($D176,Settings!$A$4:$A$11,0))="Y",N(F176),0))*(INDEX(Settings!$B$4:$B$11,MATCH($D176,Settings!$A$4:$A$11,0))+INDEX(Settings!$D$4:$D$11,MATCH($D176,Settings!$A$4:$A$11,0)))+INDEX(Settings!$C$4:$C$11,MATCH($D176,Settings!$A$4:$A$11,0))),0))</f>
        <v/>
      </c>
      <c r="I176" s="12"/>
      <c r="J176" s="12"/>
      <c r="K176" s="24" t="str">
        <f aca="false">IF($B176="","",IFERROR(INDEX(Inventory!$J$4:$J$503,MATCH($B176,Inventory!$A$4:$A$503,0)),0))</f>
        <v/>
      </c>
      <c r="L176" s="24" t="str">
        <f aca="false">IF(OR(B176="",E176=""),"",E176+N(F176)-N(G176)-N(H176)-N(J176)-N(K176))</f>
        <v/>
      </c>
      <c r="M176" s="28" t="str">
        <f aca="false">IF(OR(L176="",N(K176)=0),"",L176/K176)</f>
        <v/>
      </c>
      <c r="N176" s="25" t="str">
        <f aca="false">IF(OR(A176="",B176=""),"",IFERROR(A176-INDEX(Inventory!$B$4:$B$503,MATCH($B176,Inventory!$A$4:$A$503,0)),""))</f>
        <v/>
      </c>
      <c r="O176" s="27" t="str">
        <f aca="false">IF($B176="","",IFERROR(INDEX(Inventory!$F$4:$F$503,MATCH($B176,Inventory!$A$4:$A$503,0)),""))</f>
        <v/>
      </c>
      <c r="P176" s="27" t="str">
        <f aca="false">IF($B176="","",IFERROR(INDEX(Inventory!$C$4:$C$503,MATCH($B176,Inventory!$A$4:$A$503,0)),""))</f>
        <v/>
      </c>
    </row>
    <row r="177" customFormat="false" ht="15" hidden="false" customHeight="false" outlineLevel="0" collapsed="false">
      <c r="A177" s="19"/>
      <c r="B177" s="10"/>
      <c r="C177" s="23" t="str">
        <f aca="false">IF($B177="","",IFERROR(INDEX(Inventory!$E$4:$E$503,MATCH($B177,Inventory!$A$4:$A$503,0)),"SKU not found"))</f>
        <v/>
      </c>
      <c r="D177" s="10"/>
      <c r="E177" s="12"/>
      <c r="F177" s="12"/>
      <c r="G177" s="12"/>
      <c r="H177" s="24" t="str">
        <f aca="false">IF(OR(B177="",D177="",E177=""),"",IFERROR(IF(AND(D177="Poshmark",E177&lt;Settings!$B$20),Settings!$B$21,(E177+IF(INDEX(Settings!$E$4:$E$11,MATCH($D177,Settings!$A$4:$A$11,0))="Y",N(F177),0))*(INDEX(Settings!$B$4:$B$11,MATCH($D177,Settings!$A$4:$A$11,0))+INDEX(Settings!$D$4:$D$11,MATCH($D177,Settings!$A$4:$A$11,0)))+INDEX(Settings!$C$4:$C$11,MATCH($D177,Settings!$A$4:$A$11,0))),0))</f>
        <v/>
      </c>
      <c r="I177" s="12"/>
      <c r="J177" s="12"/>
      <c r="K177" s="24" t="str">
        <f aca="false">IF($B177="","",IFERROR(INDEX(Inventory!$J$4:$J$503,MATCH($B177,Inventory!$A$4:$A$503,0)),0))</f>
        <v/>
      </c>
      <c r="L177" s="24" t="str">
        <f aca="false">IF(OR(B177="",E177=""),"",E177+N(F177)-N(G177)-N(H177)-N(J177)-N(K177))</f>
        <v/>
      </c>
      <c r="M177" s="28" t="str">
        <f aca="false">IF(OR(L177="",N(K177)=0),"",L177/K177)</f>
        <v/>
      </c>
      <c r="N177" s="25" t="str">
        <f aca="false">IF(OR(A177="",B177=""),"",IFERROR(A177-INDEX(Inventory!$B$4:$B$503,MATCH($B177,Inventory!$A$4:$A$503,0)),""))</f>
        <v/>
      </c>
      <c r="O177" s="27" t="str">
        <f aca="false">IF($B177="","",IFERROR(INDEX(Inventory!$F$4:$F$503,MATCH($B177,Inventory!$A$4:$A$503,0)),""))</f>
        <v/>
      </c>
      <c r="P177" s="27" t="str">
        <f aca="false">IF($B177="","",IFERROR(INDEX(Inventory!$C$4:$C$503,MATCH($B177,Inventory!$A$4:$A$503,0)),""))</f>
        <v/>
      </c>
    </row>
    <row r="178" customFormat="false" ht="15" hidden="false" customHeight="false" outlineLevel="0" collapsed="false">
      <c r="A178" s="19"/>
      <c r="B178" s="10"/>
      <c r="C178" s="23" t="str">
        <f aca="false">IF($B178="","",IFERROR(INDEX(Inventory!$E$4:$E$503,MATCH($B178,Inventory!$A$4:$A$503,0)),"SKU not found"))</f>
        <v/>
      </c>
      <c r="D178" s="10"/>
      <c r="E178" s="12"/>
      <c r="F178" s="12"/>
      <c r="G178" s="12"/>
      <c r="H178" s="24" t="str">
        <f aca="false">IF(OR(B178="",D178="",E178=""),"",IFERROR(IF(AND(D178="Poshmark",E178&lt;Settings!$B$20),Settings!$B$21,(E178+IF(INDEX(Settings!$E$4:$E$11,MATCH($D178,Settings!$A$4:$A$11,0))="Y",N(F178),0))*(INDEX(Settings!$B$4:$B$11,MATCH($D178,Settings!$A$4:$A$11,0))+INDEX(Settings!$D$4:$D$11,MATCH($D178,Settings!$A$4:$A$11,0)))+INDEX(Settings!$C$4:$C$11,MATCH($D178,Settings!$A$4:$A$11,0))),0))</f>
        <v/>
      </c>
      <c r="I178" s="12"/>
      <c r="J178" s="12"/>
      <c r="K178" s="24" t="str">
        <f aca="false">IF($B178="","",IFERROR(INDEX(Inventory!$J$4:$J$503,MATCH($B178,Inventory!$A$4:$A$503,0)),0))</f>
        <v/>
      </c>
      <c r="L178" s="24" t="str">
        <f aca="false">IF(OR(B178="",E178=""),"",E178+N(F178)-N(G178)-N(H178)-N(J178)-N(K178))</f>
        <v/>
      </c>
      <c r="M178" s="28" t="str">
        <f aca="false">IF(OR(L178="",N(K178)=0),"",L178/K178)</f>
        <v/>
      </c>
      <c r="N178" s="25" t="str">
        <f aca="false">IF(OR(A178="",B178=""),"",IFERROR(A178-INDEX(Inventory!$B$4:$B$503,MATCH($B178,Inventory!$A$4:$A$503,0)),""))</f>
        <v/>
      </c>
      <c r="O178" s="27" t="str">
        <f aca="false">IF($B178="","",IFERROR(INDEX(Inventory!$F$4:$F$503,MATCH($B178,Inventory!$A$4:$A$503,0)),""))</f>
        <v/>
      </c>
      <c r="P178" s="27" t="str">
        <f aca="false">IF($B178="","",IFERROR(INDEX(Inventory!$C$4:$C$503,MATCH($B178,Inventory!$A$4:$A$503,0)),""))</f>
        <v/>
      </c>
    </row>
    <row r="179" customFormat="false" ht="15" hidden="false" customHeight="false" outlineLevel="0" collapsed="false">
      <c r="A179" s="19"/>
      <c r="B179" s="10"/>
      <c r="C179" s="23" t="str">
        <f aca="false">IF($B179="","",IFERROR(INDEX(Inventory!$E$4:$E$503,MATCH($B179,Inventory!$A$4:$A$503,0)),"SKU not found"))</f>
        <v/>
      </c>
      <c r="D179" s="10"/>
      <c r="E179" s="12"/>
      <c r="F179" s="12"/>
      <c r="G179" s="12"/>
      <c r="H179" s="24" t="str">
        <f aca="false">IF(OR(B179="",D179="",E179=""),"",IFERROR(IF(AND(D179="Poshmark",E179&lt;Settings!$B$20),Settings!$B$21,(E179+IF(INDEX(Settings!$E$4:$E$11,MATCH($D179,Settings!$A$4:$A$11,0))="Y",N(F179),0))*(INDEX(Settings!$B$4:$B$11,MATCH($D179,Settings!$A$4:$A$11,0))+INDEX(Settings!$D$4:$D$11,MATCH($D179,Settings!$A$4:$A$11,0)))+INDEX(Settings!$C$4:$C$11,MATCH($D179,Settings!$A$4:$A$11,0))),0))</f>
        <v/>
      </c>
      <c r="I179" s="12"/>
      <c r="J179" s="12"/>
      <c r="K179" s="24" t="str">
        <f aca="false">IF($B179="","",IFERROR(INDEX(Inventory!$J$4:$J$503,MATCH($B179,Inventory!$A$4:$A$503,0)),0))</f>
        <v/>
      </c>
      <c r="L179" s="24" t="str">
        <f aca="false">IF(OR(B179="",E179=""),"",E179+N(F179)-N(G179)-N(H179)-N(J179)-N(K179))</f>
        <v/>
      </c>
      <c r="M179" s="28" t="str">
        <f aca="false">IF(OR(L179="",N(K179)=0),"",L179/K179)</f>
        <v/>
      </c>
      <c r="N179" s="25" t="str">
        <f aca="false">IF(OR(A179="",B179=""),"",IFERROR(A179-INDEX(Inventory!$B$4:$B$503,MATCH($B179,Inventory!$A$4:$A$503,0)),""))</f>
        <v/>
      </c>
      <c r="O179" s="27" t="str">
        <f aca="false">IF($B179="","",IFERROR(INDEX(Inventory!$F$4:$F$503,MATCH($B179,Inventory!$A$4:$A$503,0)),""))</f>
        <v/>
      </c>
      <c r="P179" s="27" t="str">
        <f aca="false">IF($B179="","",IFERROR(INDEX(Inventory!$C$4:$C$503,MATCH($B179,Inventory!$A$4:$A$503,0)),""))</f>
        <v/>
      </c>
    </row>
    <row r="180" customFormat="false" ht="15" hidden="false" customHeight="false" outlineLevel="0" collapsed="false">
      <c r="A180" s="19"/>
      <c r="B180" s="10"/>
      <c r="C180" s="23" t="str">
        <f aca="false">IF($B180="","",IFERROR(INDEX(Inventory!$E$4:$E$503,MATCH($B180,Inventory!$A$4:$A$503,0)),"SKU not found"))</f>
        <v/>
      </c>
      <c r="D180" s="10"/>
      <c r="E180" s="12"/>
      <c r="F180" s="12"/>
      <c r="G180" s="12"/>
      <c r="H180" s="24" t="str">
        <f aca="false">IF(OR(B180="",D180="",E180=""),"",IFERROR(IF(AND(D180="Poshmark",E180&lt;Settings!$B$20),Settings!$B$21,(E180+IF(INDEX(Settings!$E$4:$E$11,MATCH($D180,Settings!$A$4:$A$11,0))="Y",N(F180),0))*(INDEX(Settings!$B$4:$B$11,MATCH($D180,Settings!$A$4:$A$11,0))+INDEX(Settings!$D$4:$D$11,MATCH($D180,Settings!$A$4:$A$11,0)))+INDEX(Settings!$C$4:$C$11,MATCH($D180,Settings!$A$4:$A$11,0))),0))</f>
        <v/>
      </c>
      <c r="I180" s="12"/>
      <c r="J180" s="12"/>
      <c r="K180" s="24" t="str">
        <f aca="false">IF($B180="","",IFERROR(INDEX(Inventory!$J$4:$J$503,MATCH($B180,Inventory!$A$4:$A$503,0)),0))</f>
        <v/>
      </c>
      <c r="L180" s="24" t="str">
        <f aca="false">IF(OR(B180="",E180=""),"",E180+N(F180)-N(G180)-N(H180)-N(J180)-N(K180))</f>
        <v/>
      </c>
      <c r="M180" s="28" t="str">
        <f aca="false">IF(OR(L180="",N(K180)=0),"",L180/K180)</f>
        <v/>
      </c>
      <c r="N180" s="25" t="str">
        <f aca="false">IF(OR(A180="",B180=""),"",IFERROR(A180-INDEX(Inventory!$B$4:$B$503,MATCH($B180,Inventory!$A$4:$A$503,0)),""))</f>
        <v/>
      </c>
      <c r="O180" s="27" t="str">
        <f aca="false">IF($B180="","",IFERROR(INDEX(Inventory!$F$4:$F$503,MATCH($B180,Inventory!$A$4:$A$503,0)),""))</f>
        <v/>
      </c>
      <c r="P180" s="27" t="str">
        <f aca="false">IF($B180="","",IFERROR(INDEX(Inventory!$C$4:$C$503,MATCH($B180,Inventory!$A$4:$A$503,0)),""))</f>
        <v/>
      </c>
    </row>
    <row r="181" customFormat="false" ht="15" hidden="false" customHeight="false" outlineLevel="0" collapsed="false">
      <c r="A181" s="19"/>
      <c r="B181" s="10"/>
      <c r="C181" s="23" t="str">
        <f aca="false">IF($B181="","",IFERROR(INDEX(Inventory!$E$4:$E$503,MATCH($B181,Inventory!$A$4:$A$503,0)),"SKU not found"))</f>
        <v/>
      </c>
      <c r="D181" s="10"/>
      <c r="E181" s="12"/>
      <c r="F181" s="12"/>
      <c r="G181" s="12"/>
      <c r="H181" s="24" t="str">
        <f aca="false">IF(OR(B181="",D181="",E181=""),"",IFERROR(IF(AND(D181="Poshmark",E181&lt;Settings!$B$20),Settings!$B$21,(E181+IF(INDEX(Settings!$E$4:$E$11,MATCH($D181,Settings!$A$4:$A$11,0))="Y",N(F181),0))*(INDEX(Settings!$B$4:$B$11,MATCH($D181,Settings!$A$4:$A$11,0))+INDEX(Settings!$D$4:$D$11,MATCH($D181,Settings!$A$4:$A$11,0)))+INDEX(Settings!$C$4:$C$11,MATCH($D181,Settings!$A$4:$A$11,0))),0))</f>
        <v/>
      </c>
      <c r="I181" s="12"/>
      <c r="J181" s="12"/>
      <c r="K181" s="24" t="str">
        <f aca="false">IF($B181="","",IFERROR(INDEX(Inventory!$J$4:$J$503,MATCH($B181,Inventory!$A$4:$A$503,0)),0))</f>
        <v/>
      </c>
      <c r="L181" s="24" t="str">
        <f aca="false">IF(OR(B181="",E181=""),"",E181+N(F181)-N(G181)-N(H181)-N(J181)-N(K181))</f>
        <v/>
      </c>
      <c r="M181" s="28" t="str">
        <f aca="false">IF(OR(L181="",N(K181)=0),"",L181/K181)</f>
        <v/>
      </c>
      <c r="N181" s="25" t="str">
        <f aca="false">IF(OR(A181="",B181=""),"",IFERROR(A181-INDEX(Inventory!$B$4:$B$503,MATCH($B181,Inventory!$A$4:$A$503,0)),""))</f>
        <v/>
      </c>
      <c r="O181" s="27" t="str">
        <f aca="false">IF($B181="","",IFERROR(INDEX(Inventory!$F$4:$F$503,MATCH($B181,Inventory!$A$4:$A$503,0)),""))</f>
        <v/>
      </c>
      <c r="P181" s="27" t="str">
        <f aca="false">IF($B181="","",IFERROR(INDEX(Inventory!$C$4:$C$503,MATCH($B181,Inventory!$A$4:$A$503,0)),""))</f>
        <v/>
      </c>
    </row>
    <row r="182" customFormat="false" ht="15" hidden="false" customHeight="false" outlineLevel="0" collapsed="false">
      <c r="A182" s="19"/>
      <c r="B182" s="10"/>
      <c r="C182" s="23" t="str">
        <f aca="false">IF($B182="","",IFERROR(INDEX(Inventory!$E$4:$E$503,MATCH($B182,Inventory!$A$4:$A$503,0)),"SKU not found"))</f>
        <v/>
      </c>
      <c r="D182" s="10"/>
      <c r="E182" s="12"/>
      <c r="F182" s="12"/>
      <c r="G182" s="12"/>
      <c r="H182" s="24" t="str">
        <f aca="false">IF(OR(B182="",D182="",E182=""),"",IFERROR(IF(AND(D182="Poshmark",E182&lt;Settings!$B$20),Settings!$B$21,(E182+IF(INDEX(Settings!$E$4:$E$11,MATCH($D182,Settings!$A$4:$A$11,0))="Y",N(F182),0))*(INDEX(Settings!$B$4:$B$11,MATCH($D182,Settings!$A$4:$A$11,0))+INDEX(Settings!$D$4:$D$11,MATCH($D182,Settings!$A$4:$A$11,0)))+INDEX(Settings!$C$4:$C$11,MATCH($D182,Settings!$A$4:$A$11,0))),0))</f>
        <v/>
      </c>
      <c r="I182" s="12"/>
      <c r="J182" s="12"/>
      <c r="K182" s="24" t="str">
        <f aca="false">IF($B182="","",IFERROR(INDEX(Inventory!$J$4:$J$503,MATCH($B182,Inventory!$A$4:$A$503,0)),0))</f>
        <v/>
      </c>
      <c r="L182" s="24" t="str">
        <f aca="false">IF(OR(B182="",E182=""),"",E182+N(F182)-N(G182)-N(H182)-N(J182)-N(K182))</f>
        <v/>
      </c>
      <c r="M182" s="28" t="str">
        <f aca="false">IF(OR(L182="",N(K182)=0),"",L182/K182)</f>
        <v/>
      </c>
      <c r="N182" s="25" t="str">
        <f aca="false">IF(OR(A182="",B182=""),"",IFERROR(A182-INDEX(Inventory!$B$4:$B$503,MATCH($B182,Inventory!$A$4:$A$503,0)),""))</f>
        <v/>
      </c>
      <c r="O182" s="27" t="str">
        <f aca="false">IF($B182="","",IFERROR(INDEX(Inventory!$F$4:$F$503,MATCH($B182,Inventory!$A$4:$A$503,0)),""))</f>
        <v/>
      </c>
      <c r="P182" s="27" t="str">
        <f aca="false">IF($B182="","",IFERROR(INDEX(Inventory!$C$4:$C$503,MATCH($B182,Inventory!$A$4:$A$503,0)),""))</f>
        <v/>
      </c>
    </row>
    <row r="183" customFormat="false" ht="15" hidden="false" customHeight="false" outlineLevel="0" collapsed="false">
      <c r="A183" s="19"/>
      <c r="B183" s="10"/>
      <c r="C183" s="23" t="str">
        <f aca="false">IF($B183="","",IFERROR(INDEX(Inventory!$E$4:$E$503,MATCH($B183,Inventory!$A$4:$A$503,0)),"SKU not found"))</f>
        <v/>
      </c>
      <c r="D183" s="10"/>
      <c r="E183" s="12"/>
      <c r="F183" s="12"/>
      <c r="G183" s="12"/>
      <c r="H183" s="24" t="str">
        <f aca="false">IF(OR(B183="",D183="",E183=""),"",IFERROR(IF(AND(D183="Poshmark",E183&lt;Settings!$B$20),Settings!$B$21,(E183+IF(INDEX(Settings!$E$4:$E$11,MATCH($D183,Settings!$A$4:$A$11,0))="Y",N(F183),0))*(INDEX(Settings!$B$4:$B$11,MATCH($D183,Settings!$A$4:$A$11,0))+INDEX(Settings!$D$4:$D$11,MATCH($D183,Settings!$A$4:$A$11,0)))+INDEX(Settings!$C$4:$C$11,MATCH($D183,Settings!$A$4:$A$11,0))),0))</f>
        <v/>
      </c>
      <c r="I183" s="12"/>
      <c r="J183" s="12"/>
      <c r="K183" s="24" t="str">
        <f aca="false">IF($B183="","",IFERROR(INDEX(Inventory!$J$4:$J$503,MATCH($B183,Inventory!$A$4:$A$503,0)),0))</f>
        <v/>
      </c>
      <c r="L183" s="24" t="str">
        <f aca="false">IF(OR(B183="",E183=""),"",E183+N(F183)-N(G183)-N(H183)-N(J183)-N(K183))</f>
        <v/>
      </c>
      <c r="M183" s="28" t="str">
        <f aca="false">IF(OR(L183="",N(K183)=0),"",L183/K183)</f>
        <v/>
      </c>
      <c r="N183" s="25" t="str">
        <f aca="false">IF(OR(A183="",B183=""),"",IFERROR(A183-INDEX(Inventory!$B$4:$B$503,MATCH($B183,Inventory!$A$4:$A$503,0)),""))</f>
        <v/>
      </c>
      <c r="O183" s="27" t="str">
        <f aca="false">IF($B183="","",IFERROR(INDEX(Inventory!$F$4:$F$503,MATCH($B183,Inventory!$A$4:$A$503,0)),""))</f>
        <v/>
      </c>
      <c r="P183" s="27" t="str">
        <f aca="false">IF($B183="","",IFERROR(INDEX(Inventory!$C$4:$C$503,MATCH($B183,Inventory!$A$4:$A$503,0)),""))</f>
        <v/>
      </c>
    </row>
    <row r="184" customFormat="false" ht="15" hidden="false" customHeight="false" outlineLevel="0" collapsed="false">
      <c r="A184" s="19"/>
      <c r="B184" s="10"/>
      <c r="C184" s="23" t="str">
        <f aca="false">IF($B184="","",IFERROR(INDEX(Inventory!$E$4:$E$503,MATCH($B184,Inventory!$A$4:$A$503,0)),"SKU not found"))</f>
        <v/>
      </c>
      <c r="D184" s="10"/>
      <c r="E184" s="12"/>
      <c r="F184" s="12"/>
      <c r="G184" s="12"/>
      <c r="H184" s="24" t="str">
        <f aca="false">IF(OR(B184="",D184="",E184=""),"",IFERROR(IF(AND(D184="Poshmark",E184&lt;Settings!$B$20),Settings!$B$21,(E184+IF(INDEX(Settings!$E$4:$E$11,MATCH($D184,Settings!$A$4:$A$11,0))="Y",N(F184),0))*(INDEX(Settings!$B$4:$B$11,MATCH($D184,Settings!$A$4:$A$11,0))+INDEX(Settings!$D$4:$D$11,MATCH($D184,Settings!$A$4:$A$11,0)))+INDEX(Settings!$C$4:$C$11,MATCH($D184,Settings!$A$4:$A$11,0))),0))</f>
        <v/>
      </c>
      <c r="I184" s="12"/>
      <c r="J184" s="12"/>
      <c r="K184" s="24" t="str">
        <f aca="false">IF($B184="","",IFERROR(INDEX(Inventory!$J$4:$J$503,MATCH($B184,Inventory!$A$4:$A$503,0)),0))</f>
        <v/>
      </c>
      <c r="L184" s="24" t="str">
        <f aca="false">IF(OR(B184="",E184=""),"",E184+N(F184)-N(G184)-N(H184)-N(J184)-N(K184))</f>
        <v/>
      </c>
      <c r="M184" s="28" t="str">
        <f aca="false">IF(OR(L184="",N(K184)=0),"",L184/K184)</f>
        <v/>
      </c>
      <c r="N184" s="25" t="str">
        <f aca="false">IF(OR(A184="",B184=""),"",IFERROR(A184-INDEX(Inventory!$B$4:$B$503,MATCH($B184,Inventory!$A$4:$A$503,0)),""))</f>
        <v/>
      </c>
      <c r="O184" s="27" t="str">
        <f aca="false">IF($B184="","",IFERROR(INDEX(Inventory!$F$4:$F$503,MATCH($B184,Inventory!$A$4:$A$503,0)),""))</f>
        <v/>
      </c>
      <c r="P184" s="27" t="str">
        <f aca="false">IF($B184="","",IFERROR(INDEX(Inventory!$C$4:$C$503,MATCH($B184,Inventory!$A$4:$A$503,0)),""))</f>
        <v/>
      </c>
    </row>
    <row r="185" customFormat="false" ht="15" hidden="false" customHeight="false" outlineLevel="0" collapsed="false">
      <c r="A185" s="19"/>
      <c r="B185" s="10"/>
      <c r="C185" s="23" t="str">
        <f aca="false">IF($B185="","",IFERROR(INDEX(Inventory!$E$4:$E$503,MATCH($B185,Inventory!$A$4:$A$503,0)),"SKU not found"))</f>
        <v/>
      </c>
      <c r="D185" s="10"/>
      <c r="E185" s="12"/>
      <c r="F185" s="12"/>
      <c r="G185" s="12"/>
      <c r="H185" s="24" t="str">
        <f aca="false">IF(OR(B185="",D185="",E185=""),"",IFERROR(IF(AND(D185="Poshmark",E185&lt;Settings!$B$20),Settings!$B$21,(E185+IF(INDEX(Settings!$E$4:$E$11,MATCH($D185,Settings!$A$4:$A$11,0))="Y",N(F185),0))*(INDEX(Settings!$B$4:$B$11,MATCH($D185,Settings!$A$4:$A$11,0))+INDEX(Settings!$D$4:$D$11,MATCH($D185,Settings!$A$4:$A$11,0)))+INDEX(Settings!$C$4:$C$11,MATCH($D185,Settings!$A$4:$A$11,0))),0))</f>
        <v/>
      </c>
      <c r="I185" s="12"/>
      <c r="J185" s="12"/>
      <c r="K185" s="24" t="str">
        <f aca="false">IF($B185="","",IFERROR(INDEX(Inventory!$J$4:$J$503,MATCH($B185,Inventory!$A$4:$A$503,0)),0))</f>
        <v/>
      </c>
      <c r="L185" s="24" t="str">
        <f aca="false">IF(OR(B185="",E185=""),"",E185+N(F185)-N(G185)-N(H185)-N(J185)-N(K185))</f>
        <v/>
      </c>
      <c r="M185" s="28" t="str">
        <f aca="false">IF(OR(L185="",N(K185)=0),"",L185/K185)</f>
        <v/>
      </c>
      <c r="N185" s="25" t="str">
        <f aca="false">IF(OR(A185="",B185=""),"",IFERROR(A185-INDEX(Inventory!$B$4:$B$503,MATCH($B185,Inventory!$A$4:$A$503,0)),""))</f>
        <v/>
      </c>
      <c r="O185" s="27" t="str">
        <f aca="false">IF($B185="","",IFERROR(INDEX(Inventory!$F$4:$F$503,MATCH($B185,Inventory!$A$4:$A$503,0)),""))</f>
        <v/>
      </c>
      <c r="P185" s="27" t="str">
        <f aca="false">IF($B185="","",IFERROR(INDEX(Inventory!$C$4:$C$503,MATCH($B185,Inventory!$A$4:$A$503,0)),""))</f>
        <v/>
      </c>
    </row>
    <row r="186" customFormat="false" ht="15" hidden="false" customHeight="false" outlineLevel="0" collapsed="false">
      <c r="A186" s="19"/>
      <c r="B186" s="10"/>
      <c r="C186" s="23" t="str">
        <f aca="false">IF($B186="","",IFERROR(INDEX(Inventory!$E$4:$E$503,MATCH($B186,Inventory!$A$4:$A$503,0)),"SKU not found"))</f>
        <v/>
      </c>
      <c r="D186" s="10"/>
      <c r="E186" s="12"/>
      <c r="F186" s="12"/>
      <c r="G186" s="12"/>
      <c r="H186" s="24" t="str">
        <f aca="false">IF(OR(B186="",D186="",E186=""),"",IFERROR(IF(AND(D186="Poshmark",E186&lt;Settings!$B$20),Settings!$B$21,(E186+IF(INDEX(Settings!$E$4:$E$11,MATCH($D186,Settings!$A$4:$A$11,0))="Y",N(F186),0))*(INDEX(Settings!$B$4:$B$11,MATCH($D186,Settings!$A$4:$A$11,0))+INDEX(Settings!$D$4:$D$11,MATCH($D186,Settings!$A$4:$A$11,0)))+INDEX(Settings!$C$4:$C$11,MATCH($D186,Settings!$A$4:$A$11,0))),0))</f>
        <v/>
      </c>
      <c r="I186" s="12"/>
      <c r="J186" s="12"/>
      <c r="K186" s="24" t="str">
        <f aca="false">IF($B186="","",IFERROR(INDEX(Inventory!$J$4:$J$503,MATCH($B186,Inventory!$A$4:$A$503,0)),0))</f>
        <v/>
      </c>
      <c r="L186" s="24" t="str">
        <f aca="false">IF(OR(B186="",E186=""),"",E186+N(F186)-N(G186)-N(H186)-N(J186)-N(K186))</f>
        <v/>
      </c>
      <c r="M186" s="28" t="str">
        <f aca="false">IF(OR(L186="",N(K186)=0),"",L186/K186)</f>
        <v/>
      </c>
      <c r="N186" s="25" t="str">
        <f aca="false">IF(OR(A186="",B186=""),"",IFERROR(A186-INDEX(Inventory!$B$4:$B$503,MATCH($B186,Inventory!$A$4:$A$503,0)),""))</f>
        <v/>
      </c>
      <c r="O186" s="27" t="str">
        <f aca="false">IF($B186="","",IFERROR(INDEX(Inventory!$F$4:$F$503,MATCH($B186,Inventory!$A$4:$A$503,0)),""))</f>
        <v/>
      </c>
      <c r="P186" s="27" t="str">
        <f aca="false">IF($B186="","",IFERROR(INDEX(Inventory!$C$4:$C$503,MATCH($B186,Inventory!$A$4:$A$503,0)),""))</f>
        <v/>
      </c>
    </row>
    <row r="187" customFormat="false" ht="15" hidden="false" customHeight="false" outlineLevel="0" collapsed="false">
      <c r="A187" s="19"/>
      <c r="B187" s="10"/>
      <c r="C187" s="23" t="str">
        <f aca="false">IF($B187="","",IFERROR(INDEX(Inventory!$E$4:$E$503,MATCH($B187,Inventory!$A$4:$A$503,0)),"SKU not found"))</f>
        <v/>
      </c>
      <c r="D187" s="10"/>
      <c r="E187" s="12"/>
      <c r="F187" s="12"/>
      <c r="G187" s="12"/>
      <c r="H187" s="24" t="str">
        <f aca="false">IF(OR(B187="",D187="",E187=""),"",IFERROR(IF(AND(D187="Poshmark",E187&lt;Settings!$B$20),Settings!$B$21,(E187+IF(INDEX(Settings!$E$4:$E$11,MATCH($D187,Settings!$A$4:$A$11,0))="Y",N(F187),0))*(INDEX(Settings!$B$4:$B$11,MATCH($D187,Settings!$A$4:$A$11,0))+INDEX(Settings!$D$4:$D$11,MATCH($D187,Settings!$A$4:$A$11,0)))+INDEX(Settings!$C$4:$C$11,MATCH($D187,Settings!$A$4:$A$11,0))),0))</f>
        <v/>
      </c>
      <c r="I187" s="12"/>
      <c r="J187" s="12"/>
      <c r="K187" s="24" t="str">
        <f aca="false">IF($B187="","",IFERROR(INDEX(Inventory!$J$4:$J$503,MATCH($B187,Inventory!$A$4:$A$503,0)),0))</f>
        <v/>
      </c>
      <c r="L187" s="24" t="str">
        <f aca="false">IF(OR(B187="",E187=""),"",E187+N(F187)-N(G187)-N(H187)-N(J187)-N(K187))</f>
        <v/>
      </c>
      <c r="M187" s="28" t="str">
        <f aca="false">IF(OR(L187="",N(K187)=0),"",L187/K187)</f>
        <v/>
      </c>
      <c r="N187" s="25" t="str">
        <f aca="false">IF(OR(A187="",B187=""),"",IFERROR(A187-INDEX(Inventory!$B$4:$B$503,MATCH($B187,Inventory!$A$4:$A$503,0)),""))</f>
        <v/>
      </c>
      <c r="O187" s="27" t="str">
        <f aca="false">IF($B187="","",IFERROR(INDEX(Inventory!$F$4:$F$503,MATCH($B187,Inventory!$A$4:$A$503,0)),""))</f>
        <v/>
      </c>
      <c r="P187" s="27" t="str">
        <f aca="false">IF($B187="","",IFERROR(INDEX(Inventory!$C$4:$C$503,MATCH($B187,Inventory!$A$4:$A$503,0)),""))</f>
        <v/>
      </c>
    </row>
    <row r="188" customFormat="false" ht="15" hidden="false" customHeight="false" outlineLevel="0" collapsed="false">
      <c r="A188" s="19"/>
      <c r="B188" s="10"/>
      <c r="C188" s="23" t="str">
        <f aca="false">IF($B188="","",IFERROR(INDEX(Inventory!$E$4:$E$503,MATCH($B188,Inventory!$A$4:$A$503,0)),"SKU not found"))</f>
        <v/>
      </c>
      <c r="D188" s="10"/>
      <c r="E188" s="12"/>
      <c r="F188" s="12"/>
      <c r="G188" s="12"/>
      <c r="H188" s="24" t="str">
        <f aca="false">IF(OR(B188="",D188="",E188=""),"",IFERROR(IF(AND(D188="Poshmark",E188&lt;Settings!$B$20),Settings!$B$21,(E188+IF(INDEX(Settings!$E$4:$E$11,MATCH($D188,Settings!$A$4:$A$11,0))="Y",N(F188),0))*(INDEX(Settings!$B$4:$B$11,MATCH($D188,Settings!$A$4:$A$11,0))+INDEX(Settings!$D$4:$D$11,MATCH($D188,Settings!$A$4:$A$11,0)))+INDEX(Settings!$C$4:$C$11,MATCH($D188,Settings!$A$4:$A$11,0))),0))</f>
        <v/>
      </c>
      <c r="I188" s="12"/>
      <c r="J188" s="12"/>
      <c r="K188" s="24" t="str">
        <f aca="false">IF($B188="","",IFERROR(INDEX(Inventory!$J$4:$J$503,MATCH($B188,Inventory!$A$4:$A$503,0)),0))</f>
        <v/>
      </c>
      <c r="L188" s="24" t="str">
        <f aca="false">IF(OR(B188="",E188=""),"",E188+N(F188)-N(G188)-N(H188)-N(J188)-N(K188))</f>
        <v/>
      </c>
      <c r="M188" s="28" t="str">
        <f aca="false">IF(OR(L188="",N(K188)=0),"",L188/K188)</f>
        <v/>
      </c>
      <c r="N188" s="25" t="str">
        <f aca="false">IF(OR(A188="",B188=""),"",IFERROR(A188-INDEX(Inventory!$B$4:$B$503,MATCH($B188,Inventory!$A$4:$A$503,0)),""))</f>
        <v/>
      </c>
      <c r="O188" s="27" t="str">
        <f aca="false">IF($B188="","",IFERROR(INDEX(Inventory!$F$4:$F$503,MATCH($B188,Inventory!$A$4:$A$503,0)),""))</f>
        <v/>
      </c>
      <c r="P188" s="27" t="str">
        <f aca="false">IF($B188="","",IFERROR(INDEX(Inventory!$C$4:$C$503,MATCH($B188,Inventory!$A$4:$A$503,0)),""))</f>
        <v/>
      </c>
    </row>
    <row r="189" customFormat="false" ht="15" hidden="false" customHeight="false" outlineLevel="0" collapsed="false">
      <c r="A189" s="19"/>
      <c r="B189" s="10"/>
      <c r="C189" s="23" t="str">
        <f aca="false">IF($B189="","",IFERROR(INDEX(Inventory!$E$4:$E$503,MATCH($B189,Inventory!$A$4:$A$503,0)),"SKU not found"))</f>
        <v/>
      </c>
      <c r="D189" s="10"/>
      <c r="E189" s="12"/>
      <c r="F189" s="12"/>
      <c r="G189" s="12"/>
      <c r="H189" s="24" t="str">
        <f aca="false">IF(OR(B189="",D189="",E189=""),"",IFERROR(IF(AND(D189="Poshmark",E189&lt;Settings!$B$20),Settings!$B$21,(E189+IF(INDEX(Settings!$E$4:$E$11,MATCH($D189,Settings!$A$4:$A$11,0))="Y",N(F189),0))*(INDEX(Settings!$B$4:$B$11,MATCH($D189,Settings!$A$4:$A$11,0))+INDEX(Settings!$D$4:$D$11,MATCH($D189,Settings!$A$4:$A$11,0)))+INDEX(Settings!$C$4:$C$11,MATCH($D189,Settings!$A$4:$A$11,0))),0))</f>
        <v/>
      </c>
      <c r="I189" s="12"/>
      <c r="J189" s="12"/>
      <c r="K189" s="24" t="str">
        <f aca="false">IF($B189="","",IFERROR(INDEX(Inventory!$J$4:$J$503,MATCH($B189,Inventory!$A$4:$A$503,0)),0))</f>
        <v/>
      </c>
      <c r="L189" s="24" t="str">
        <f aca="false">IF(OR(B189="",E189=""),"",E189+N(F189)-N(G189)-N(H189)-N(J189)-N(K189))</f>
        <v/>
      </c>
      <c r="M189" s="28" t="str">
        <f aca="false">IF(OR(L189="",N(K189)=0),"",L189/K189)</f>
        <v/>
      </c>
      <c r="N189" s="25" t="str">
        <f aca="false">IF(OR(A189="",B189=""),"",IFERROR(A189-INDEX(Inventory!$B$4:$B$503,MATCH($B189,Inventory!$A$4:$A$503,0)),""))</f>
        <v/>
      </c>
      <c r="O189" s="27" t="str">
        <f aca="false">IF($B189="","",IFERROR(INDEX(Inventory!$F$4:$F$503,MATCH($B189,Inventory!$A$4:$A$503,0)),""))</f>
        <v/>
      </c>
      <c r="P189" s="27" t="str">
        <f aca="false">IF($B189="","",IFERROR(INDEX(Inventory!$C$4:$C$503,MATCH($B189,Inventory!$A$4:$A$503,0)),""))</f>
        <v/>
      </c>
    </row>
    <row r="190" customFormat="false" ht="15" hidden="false" customHeight="false" outlineLevel="0" collapsed="false">
      <c r="A190" s="19"/>
      <c r="B190" s="10"/>
      <c r="C190" s="23" t="str">
        <f aca="false">IF($B190="","",IFERROR(INDEX(Inventory!$E$4:$E$503,MATCH($B190,Inventory!$A$4:$A$503,0)),"SKU not found"))</f>
        <v/>
      </c>
      <c r="D190" s="10"/>
      <c r="E190" s="12"/>
      <c r="F190" s="12"/>
      <c r="G190" s="12"/>
      <c r="H190" s="24" t="str">
        <f aca="false">IF(OR(B190="",D190="",E190=""),"",IFERROR(IF(AND(D190="Poshmark",E190&lt;Settings!$B$20),Settings!$B$21,(E190+IF(INDEX(Settings!$E$4:$E$11,MATCH($D190,Settings!$A$4:$A$11,0))="Y",N(F190),0))*(INDEX(Settings!$B$4:$B$11,MATCH($D190,Settings!$A$4:$A$11,0))+INDEX(Settings!$D$4:$D$11,MATCH($D190,Settings!$A$4:$A$11,0)))+INDEX(Settings!$C$4:$C$11,MATCH($D190,Settings!$A$4:$A$11,0))),0))</f>
        <v/>
      </c>
      <c r="I190" s="12"/>
      <c r="J190" s="12"/>
      <c r="K190" s="24" t="str">
        <f aca="false">IF($B190="","",IFERROR(INDEX(Inventory!$J$4:$J$503,MATCH($B190,Inventory!$A$4:$A$503,0)),0))</f>
        <v/>
      </c>
      <c r="L190" s="24" t="str">
        <f aca="false">IF(OR(B190="",E190=""),"",E190+N(F190)-N(G190)-N(H190)-N(J190)-N(K190))</f>
        <v/>
      </c>
      <c r="M190" s="28" t="str">
        <f aca="false">IF(OR(L190="",N(K190)=0),"",L190/K190)</f>
        <v/>
      </c>
      <c r="N190" s="25" t="str">
        <f aca="false">IF(OR(A190="",B190=""),"",IFERROR(A190-INDEX(Inventory!$B$4:$B$503,MATCH($B190,Inventory!$A$4:$A$503,0)),""))</f>
        <v/>
      </c>
      <c r="O190" s="27" t="str">
        <f aca="false">IF($B190="","",IFERROR(INDEX(Inventory!$F$4:$F$503,MATCH($B190,Inventory!$A$4:$A$503,0)),""))</f>
        <v/>
      </c>
      <c r="P190" s="27" t="str">
        <f aca="false">IF($B190="","",IFERROR(INDEX(Inventory!$C$4:$C$503,MATCH($B190,Inventory!$A$4:$A$503,0)),""))</f>
        <v/>
      </c>
    </row>
    <row r="191" customFormat="false" ht="15" hidden="false" customHeight="false" outlineLevel="0" collapsed="false">
      <c r="A191" s="19"/>
      <c r="B191" s="10"/>
      <c r="C191" s="23" t="str">
        <f aca="false">IF($B191="","",IFERROR(INDEX(Inventory!$E$4:$E$503,MATCH($B191,Inventory!$A$4:$A$503,0)),"SKU not found"))</f>
        <v/>
      </c>
      <c r="D191" s="10"/>
      <c r="E191" s="12"/>
      <c r="F191" s="12"/>
      <c r="G191" s="12"/>
      <c r="H191" s="24" t="str">
        <f aca="false">IF(OR(B191="",D191="",E191=""),"",IFERROR(IF(AND(D191="Poshmark",E191&lt;Settings!$B$20),Settings!$B$21,(E191+IF(INDEX(Settings!$E$4:$E$11,MATCH($D191,Settings!$A$4:$A$11,0))="Y",N(F191),0))*(INDEX(Settings!$B$4:$B$11,MATCH($D191,Settings!$A$4:$A$11,0))+INDEX(Settings!$D$4:$D$11,MATCH($D191,Settings!$A$4:$A$11,0)))+INDEX(Settings!$C$4:$C$11,MATCH($D191,Settings!$A$4:$A$11,0))),0))</f>
        <v/>
      </c>
      <c r="I191" s="12"/>
      <c r="J191" s="12"/>
      <c r="K191" s="24" t="str">
        <f aca="false">IF($B191="","",IFERROR(INDEX(Inventory!$J$4:$J$503,MATCH($B191,Inventory!$A$4:$A$503,0)),0))</f>
        <v/>
      </c>
      <c r="L191" s="24" t="str">
        <f aca="false">IF(OR(B191="",E191=""),"",E191+N(F191)-N(G191)-N(H191)-N(J191)-N(K191))</f>
        <v/>
      </c>
      <c r="M191" s="28" t="str">
        <f aca="false">IF(OR(L191="",N(K191)=0),"",L191/K191)</f>
        <v/>
      </c>
      <c r="N191" s="25" t="str">
        <f aca="false">IF(OR(A191="",B191=""),"",IFERROR(A191-INDEX(Inventory!$B$4:$B$503,MATCH($B191,Inventory!$A$4:$A$503,0)),""))</f>
        <v/>
      </c>
      <c r="O191" s="27" t="str">
        <f aca="false">IF($B191="","",IFERROR(INDEX(Inventory!$F$4:$F$503,MATCH($B191,Inventory!$A$4:$A$503,0)),""))</f>
        <v/>
      </c>
      <c r="P191" s="27" t="str">
        <f aca="false">IF($B191="","",IFERROR(INDEX(Inventory!$C$4:$C$503,MATCH($B191,Inventory!$A$4:$A$503,0)),""))</f>
        <v/>
      </c>
    </row>
    <row r="192" customFormat="false" ht="15" hidden="false" customHeight="false" outlineLevel="0" collapsed="false">
      <c r="A192" s="19"/>
      <c r="B192" s="10"/>
      <c r="C192" s="23" t="str">
        <f aca="false">IF($B192="","",IFERROR(INDEX(Inventory!$E$4:$E$503,MATCH($B192,Inventory!$A$4:$A$503,0)),"SKU not found"))</f>
        <v/>
      </c>
      <c r="D192" s="10"/>
      <c r="E192" s="12"/>
      <c r="F192" s="12"/>
      <c r="G192" s="12"/>
      <c r="H192" s="24" t="str">
        <f aca="false">IF(OR(B192="",D192="",E192=""),"",IFERROR(IF(AND(D192="Poshmark",E192&lt;Settings!$B$20),Settings!$B$21,(E192+IF(INDEX(Settings!$E$4:$E$11,MATCH($D192,Settings!$A$4:$A$11,0))="Y",N(F192),0))*(INDEX(Settings!$B$4:$B$11,MATCH($D192,Settings!$A$4:$A$11,0))+INDEX(Settings!$D$4:$D$11,MATCH($D192,Settings!$A$4:$A$11,0)))+INDEX(Settings!$C$4:$C$11,MATCH($D192,Settings!$A$4:$A$11,0))),0))</f>
        <v/>
      </c>
      <c r="I192" s="12"/>
      <c r="J192" s="12"/>
      <c r="K192" s="24" t="str">
        <f aca="false">IF($B192="","",IFERROR(INDEX(Inventory!$J$4:$J$503,MATCH($B192,Inventory!$A$4:$A$503,0)),0))</f>
        <v/>
      </c>
      <c r="L192" s="24" t="str">
        <f aca="false">IF(OR(B192="",E192=""),"",E192+N(F192)-N(G192)-N(H192)-N(J192)-N(K192))</f>
        <v/>
      </c>
      <c r="M192" s="28" t="str">
        <f aca="false">IF(OR(L192="",N(K192)=0),"",L192/K192)</f>
        <v/>
      </c>
      <c r="N192" s="25" t="str">
        <f aca="false">IF(OR(A192="",B192=""),"",IFERROR(A192-INDEX(Inventory!$B$4:$B$503,MATCH($B192,Inventory!$A$4:$A$503,0)),""))</f>
        <v/>
      </c>
      <c r="O192" s="27" t="str">
        <f aca="false">IF($B192="","",IFERROR(INDEX(Inventory!$F$4:$F$503,MATCH($B192,Inventory!$A$4:$A$503,0)),""))</f>
        <v/>
      </c>
      <c r="P192" s="27" t="str">
        <f aca="false">IF($B192="","",IFERROR(INDEX(Inventory!$C$4:$C$503,MATCH($B192,Inventory!$A$4:$A$503,0)),""))</f>
        <v/>
      </c>
    </row>
    <row r="193" customFormat="false" ht="15" hidden="false" customHeight="false" outlineLevel="0" collapsed="false">
      <c r="A193" s="19"/>
      <c r="B193" s="10"/>
      <c r="C193" s="23" t="str">
        <f aca="false">IF($B193="","",IFERROR(INDEX(Inventory!$E$4:$E$503,MATCH($B193,Inventory!$A$4:$A$503,0)),"SKU not found"))</f>
        <v/>
      </c>
      <c r="D193" s="10"/>
      <c r="E193" s="12"/>
      <c r="F193" s="12"/>
      <c r="G193" s="12"/>
      <c r="H193" s="24" t="str">
        <f aca="false">IF(OR(B193="",D193="",E193=""),"",IFERROR(IF(AND(D193="Poshmark",E193&lt;Settings!$B$20),Settings!$B$21,(E193+IF(INDEX(Settings!$E$4:$E$11,MATCH($D193,Settings!$A$4:$A$11,0))="Y",N(F193),0))*(INDEX(Settings!$B$4:$B$11,MATCH($D193,Settings!$A$4:$A$11,0))+INDEX(Settings!$D$4:$D$11,MATCH($D193,Settings!$A$4:$A$11,0)))+INDEX(Settings!$C$4:$C$11,MATCH($D193,Settings!$A$4:$A$11,0))),0))</f>
        <v/>
      </c>
      <c r="I193" s="12"/>
      <c r="J193" s="12"/>
      <c r="K193" s="24" t="str">
        <f aca="false">IF($B193="","",IFERROR(INDEX(Inventory!$J$4:$J$503,MATCH($B193,Inventory!$A$4:$A$503,0)),0))</f>
        <v/>
      </c>
      <c r="L193" s="24" t="str">
        <f aca="false">IF(OR(B193="",E193=""),"",E193+N(F193)-N(G193)-N(H193)-N(J193)-N(K193))</f>
        <v/>
      </c>
      <c r="M193" s="28" t="str">
        <f aca="false">IF(OR(L193="",N(K193)=0),"",L193/K193)</f>
        <v/>
      </c>
      <c r="N193" s="25" t="str">
        <f aca="false">IF(OR(A193="",B193=""),"",IFERROR(A193-INDEX(Inventory!$B$4:$B$503,MATCH($B193,Inventory!$A$4:$A$503,0)),""))</f>
        <v/>
      </c>
      <c r="O193" s="27" t="str">
        <f aca="false">IF($B193="","",IFERROR(INDEX(Inventory!$F$4:$F$503,MATCH($B193,Inventory!$A$4:$A$503,0)),""))</f>
        <v/>
      </c>
      <c r="P193" s="27" t="str">
        <f aca="false">IF($B193="","",IFERROR(INDEX(Inventory!$C$4:$C$503,MATCH($B193,Inventory!$A$4:$A$503,0)),""))</f>
        <v/>
      </c>
    </row>
    <row r="194" customFormat="false" ht="15" hidden="false" customHeight="false" outlineLevel="0" collapsed="false">
      <c r="A194" s="19"/>
      <c r="B194" s="10"/>
      <c r="C194" s="23" t="str">
        <f aca="false">IF($B194="","",IFERROR(INDEX(Inventory!$E$4:$E$503,MATCH($B194,Inventory!$A$4:$A$503,0)),"SKU not found"))</f>
        <v/>
      </c>
      <c r="D194" s="10"/>
      <c r="E194" s="12"/>
      <c r="F194" s="12"/>
      <c r="G194" s="12"/>
      <c r="H194" s="24" t="str">
        <f aca="false">IF(OR(B194="",D194="",E194=""),"",IFERROR(IF(AND(D194="Poshmark",E194&lt;Settings!$B$20),Settings!$B$21,(E194+IF(INDEX(Settings!$E$4:$E$11,MATCH($D194,Settings!$A$4:$A$11,0))="Y",N(F194),0))*(INDEX(Settings!$B$4:$B$11,MATCH($D194,Settings!$A$4:$A$11,0))+INDEX(Settings!$D$4:$D$11,MATCH($D194,Settings!$A$4:$A$11,0)))+INDEX(Settings!$C$4:$C$11,MATCH($D194,Settings!$A$4:$A$11,0))),0))</f>
        <v/>
      </c>
      <c r="I194" s="12"/>
      <c r="J194" s="12"/>
      <c r="K194" s="24" t="str">
        <f aca="false">IF($B194="","",IFERROR(INDEX(Inventory!$J$4:$J$503,MATCH($B194,Inventory!$A$4:$A$503,0)),0))</f>
        <v/>
      </c>
      <c r="L194" s="24" t="str">
        <f aca="false">IF(OR(B194="",E194=""),"",E194+N(F194)-N(G194)-N(H194)-N(J194)-N(K194))</f>
        <v/>
      </c>
      <c r="M194" s="28" t="str">
        <f aca="false">IF(OR(L194="",N(K194)=0),"",L194/K194)</f>
        <v/>
      </c>
      <c r="N194" s="25" t="str">
        <f aca="false">IF(OR(A194="",B194=""),"",IFERROR(A194-INDEX(Inventory!$B$4:$B$503,MATCH($B194,Inventory!$A$4:$A$503,0)),""))</f>
        <v/>
      </c>
      <c r="O194" s="27" t="str">
        <f aca="false">IF($B194="","",IFERROR(INDEX(Inventory!$F$4:$F$503,MATCH($B194,Inventory!$A$4:$A$503,0)),""))</f>
        <v/>
      </c>
      <c r="P194" s="27" t="str">
        <f aca="false">IF($B194="","",IFERROR(INDEX(Inventory!$C$4:$C$503,MATCH($B194,Inventory!$A$4:$A$503,0)),""))</f>
        <v/>
      </c>
    </row>
    <row r="195" customFormat="false" ht="15" hidden="false" customHeight="false" outlineLevel="0" collapsed="false">
      <c r="A195" s="19"/>
      <c r="B195" s="10"/>
      <c r="C195" s="23" t="str">
        <f aca="false">IF($B195="","",IFERROR(INDEX(Inventory!$E$4:$E$503,MATCH($B195,Inventory!$A$4:$A$503,0)),"SKU not found"))</f>
        <v/>
      </c>
      <c r="D195" s="10"/>
      <c r="E195" s="12"/>
      <c r="F195" s="12"/>
      <c r="G195" s="12"/>
      <c r="H195" s="24" t="str">
        <f aca="false">IF(OR(B195="",D195="",E195=""),"",IFERROR(IF(AND(D195="Poshmark",E195&lt;Settings!$B$20),Settings!$B$21,(E195+IF(INDEX(Settings!$E$4:$E$11,MATCH($D195,Settings!$A$4:$A$11,0))="Y",N(F195),0))*(INDEX(Settings!$B$4:$B$11,MATCH($D195,Settings!$A$4:$A$11,0))+INDEX(Settings!$D$4:$D$11,MATCH($D195,Settings!$A$4:$A$11,0)))+INDEX(Settings!$C$4:$C$11,MATCH($D195,Settings!$A$4:$A$11,0))),0))</f>
        <v/>
      </c>
      <c r="I195" s="12"/>
      <c r="J195" s="12"/>
      <c r="K195" s="24" t="str">
        <f aca="false">IF($B195="","",IFERROR(INDEX(Inventory!$J$4:$J$503,MATCH($B195,Inventory!$A$4:$A$503,0)),0))</f>
        <v/>
      </c>
      <c r="L195" s="24" t="str">
        <f aca="false">IF(OR(B195="",E195=""),"",E195+N(F195)-N(G195)-N(H195)-N(J195)-N(K195))</f>
        <v/>
      </c>
      <c r="M195" s="28" t="str">
        <f aca="false">IF(OR(L195="",N(K195)=0),"",L195/K195)</f>
        <v/>
      </c>
      <c r="N195" s="25" t="str">
        <f aca="false">IF(OR(A195="",B195=""),"",IFERROR(A195-INDEX(Inventory!$B$4:$B$503,MATCH($B195,Inventory!$A$4:$A$503,0)),""))</f>
        <v/>
      </c>
      <c r="O195" s="27" t="str">
        <f aca="false">IF($B195="","",IFERROR(INDEX(Inventory!$F$4:$F$503,MATCH($B195,Inventory!$A$4:$A$503,0)),""))</f>
        <v/>
      </c>
      <c r="P195" s="27" t="str">
        <f aca="false">IF($B195="","",IFERROR(INDEX(Inventory!$C$4:$C$503,MATCH($B195,Inventory!$A$4:$A$503,0)),""))</f>
        <v/>
      </c>
    </row>
    <row r="196" customFormat="false" ht="15" hidden="false" customHeight="false" outlineLevel="0" collapsed="false">
      <c r="A196" s="19"/>
      <c r="B196" s="10"/>
      <c r="C196" s="23" t="str">
        <f aca="false">IF($B196="","",IFERROR(INDEX(Inventory!$E$4:$E$503,MATCH($B196,Inventory!$A$4:$A$503,0)),"SKU not found"))</f>
        <v/>
      </c>
      <c r="D196" s="10"/>
      <c r="E196" s="12"/>
      <c r="F196" s="12"/>
      <c r="G196" s="12"/>
      <c r="H196" s="24" t="str">
        <f aca="false">IF(OR(B196="",D196="",E196=""),"",IFERROR(IF(AND(D196="Poshmark",E196&lt;Settings!$B$20),Settings!$B$21,(E196+IF(INDEX(Settings!$E$4:$E$11,MATCH($D196,Settings!$A$4:$A$11,0))="Y",N(F196),0))*(INDEX(Settings!$B$4:$B$11,MATCH($D196,Settings!$A$4:$A$11,0))+INDEX(Settings!$D$4:$D$11,MATCH($D196,Settings!$A$4:$A$11,0)))+INDEX(Settings!$C$4:$C$11,MATCH($D196,Settings!$A$4:$A$11,0))),0))</f>
        <v/>
      </c>
      <c r="I196" s="12"/>
      <c r="J196" s="12"/>
      <c r="K196" s="24" t="str">
        <f aca="false">IF($B196="","",IFERROR(INDEX(Inventory!$J$4:$J$503,MATCH($B196,Inventory!$A$4:$A$503,0)),0))</f>
        <v/>
      </c>
      <c r="L196" s="24" t="str">
        <f aca="false">IF(OR(B196="",E196=""),"",E196+N(F196)-N(G196)-N(H196)-N(J196)-N(K196))</f>
        <v/>
      </c>
      <c r="M196" s="28" t="str">
        <f aca="false">IF(OR(L196="",N(K196)=0),"",L196/K196)</f>
        <v/>
      </c>
      <c r="N196" s="25" t="str">
        <f aca="false">IF(OR(A196="",B196=""),"",IFERROR(A196-INDEX(Inventory!$B$4:$B$503,MATCH($B196,Inventory!$A$4:$A$503,0)),""))</f>
        <v/>
      </c>
      <c r="O196" s="27" t="str">
        <f aca="false">IF($B196="","",IFERROR(INDEX(Inventory!$F$4:$F$503,MATCH($B196,Inventory!$A$4:$A$503,0)),""))</f>
        <v/>
      </c>
      <c r="P196" s="27" t="str">
        <f aca="false">IF($B196="","",IFERROR(INDEX(Inventory!$C$4:$C$503,MATCH($B196,Inventory!$A$4:$A$503,0)),""))</f>
        <v/>
      </c>
    </row>
    <row r="197" customFormat="false" ht="15" hidden="false" customHeight="false" outlineLevel="0" collapsed="false">
      <c r="A197" s="19"/>
      <c r="B197" s="10"/>
      <c r="C197" s="23" t="str">
        <f aca="false">IF($B197="","",IFERROR(INDEX(Inventory!$E$4:$E$503,MATCH($B197,Inventory!$A$4:$A$503,0)),"SKU not found"))</f>
        <v/>
      </c>
      <c r="D197" s="10"/>
      <c r="E197" s="12"/>
      <c r="F197" s="12"/>
      <c r="G197" s="12"/>
      <c r="H197" s="24" t="str">
        <f aca="false">IF(OR(B197="",D197="",E197=""),"",IFERROR(IF(AND(D197="Poshmark",E197&lt;Settings!$B$20),Settings!$B$21,(E197+IF(INDEX(Settings!$E$4:$E$11,MATCH($D197,Settings!$A$4:$A$11,0))="Y",N(F197),0))*(INDEX(Settings!$B$4:$B$11,MATCH($D197,Settings!$A$4:$A$11,0))+INDEX(Settings!$D$4:$D$11,MATCH($D197,Settings!$A$4:$A$11,0)))+INDEX(Settings!$C$4:$C$11,MATCH($D197,Settings!$A$4:$A$11,0))),0))</f>
        <v/>
      </c>
      <c r="I197" s="12"/>
      <c r="J197" s="12"/>
      <c r="K197" s="24" t="str">
        <f aca="false">IF($B197="","",IFERROR(INDEX(Inventory!$J$4:$J$503,MATCH($B197,Inventory!$A$4:$A$503,0)),0))</f>
        <v/>
      </c>
      <c r="L197" s="24" t="str">
        <f aca="false">IF(OR(B197="",E197=""),"",E197+N(F197)-N(G197)-N(H197)-N(J197)-N(K197))</f>
        <v/>
      </c>
      <c r="M197" s="28" t="str">
        <f aca="false">IF(OR(L197="",N(K197)=0),"",L197/K197)</f>
        <v/>
      </c>
      <c r="N197" s="25" t="str">
        <f aca="false">IF(OR(A197="",B197=""),"",IFERROR(A197-INDEX(Inventory!$B$4:$B$503,MATCH($B197,Inventory!$A$4:$A$503,0)),""))</f>
        <v/>
      </c>
      <c r="O197" s="27" t="str">
        <f aca="false">IF($B197="","",IFERROR(INDEX(Inventory!$F$4:$F$503,MATCH($B197,Inventory!$A$4:$A$503,0)),""))</f>
        <v/>
      </c>
      <c r="P197" s="27" t="str">
        <f aca="false">IF($B197="","",IFERROR(INDEX(Inventory!$C$4:$C$503,MATCH($B197,Inventory!$A$4:$A$503,0)),""))</f>
        <v/>
      </c>
    </row>
    <row r="198" customFormat="false" ht="15" hidden="false" customHeight="false" outlineLevel="0" collapsed="false">
      <c r="A198" s="19"/>
      <c r="B198" s="10"/>
      <c r="C198" s="23" t="str">
        <f aca="false">IF($B198="","",IFERROR(INDEX(Inventory!$E$4:$E$503,MATCH($B198,Inventory!$A$4:$A$503,0)),"SKU not found"))</f>
        <v/>
      </c>
      <c r="D198" s="10"/>
      <c r="E198" s="12"/>
      <c r="F198" s="12"/>
      <c r="G198" s="12"/>
      <c r="H198" s="24" t="str">
        <f aca="false">IF(OR(B198="",D198="",E198=""),"",IFERROR(IF(AND(D198="Poshmark",E198&lt;Settings!$B$20),Settings!$B$21,(E198+IF(INDEX(Settings!$E$4:$E$11,MATCH($D198,Settings!$A$4:$A$11,0))="Y",N(F198),0))*(INDEX(Settings!$B$4:$B$11,MATCH($D198,Settings!$A$4:$A$11,0))+INDEX(Settings!$D$4:$D$11,MATCH($D198,Settings!$A$4:$A$11,0)))+INDEX(Settings!$C$4:$C$11,MATCH($D198,Settings!$A$4:$A$11,0))),0))</f>
        <v/>
      </c>
      <c r="I198" s="12"/>
      <c r="J198" s="12"/>
      <c r="K198" s="24" t="str">
        <f aca="false">IF($B198="","",IFERROR(INDEX(Inventory!$J$4:$J$503,MATCH($B198,Inventory!$A$4:$A$503,0)),0))</f>
        <v/>
      </c>
      <c r="L198" s="24" t="str">
        <f aca="false">IF(OR(B198="",E198=""),"",E198+N(F198)-N(G198)-N(H198)-N(J198)-N(K198))</f>
        <v/>
      </c>
      <c r="M198" s="28" t="str">
        <f aca="false">IF(OR(L198="",N(K198)=0),"",L198/K198)</f>
        <v/>
      </c>
      <c r="N198" s="25" t="str">
        <f aca="false">IF(OR(A198="",B198=""),"",IFERROR(A198-INDEX(Inventory!$B$4:$B$503,MATCH($B198,Inventory!$A$4:$A$503,0)),""))</f>
        <v/>
      </c>
      <c r="O198" s="27" t="str">
        <f aca="false">IF($B198="","",IFERROR(INDEX(Inventory!$F$4:$F$503,MATCH($B198,Inventory!$A$4:$A$503,0)),""))</f>
        <v/>
      </c>
      <c r="P198" s="27" t="str">
        <f aca="false">IF($B198="","",IFERROR(INDEX(Inventory!$C$4:$C$503,MATCH($B198,Inventory!$A$4:$A$503,0)),""))</f>
        <v/>
      </c>
    </row>
    <row r="199" customFormat="false" ht="15" hidden="false" customHeight="false" outlineLevel="0" collapsed="false">
      <c r="A199" s="19"/>
      <c r="B199" s="10"/>
      <c r="C199" s="23" t="str">
        <f aca="false">IF($B199="","",IFERROR(INDEX(Inventory!$E$4:$E$503,MATCH($B199,Inventory!$A$4:$A$503,0)),"SKU not found"))</f>
        <v/>
      </c>
      <c r="D199" s="10"/>
      <c r="E199" s="12"/>
      <c r="F199" s="12"/>
      <c r="G199" s="12"/>
      <c r="H199" s="24" t="str">
        <f aca="false">IF(OR(B199="",D199="",E199=""),"",IFERROR(IF(AND(D199="Poshmark",E199&lt;Settings!$B$20),Settings!$B$21,(E199+IF(INDEX(Settings!$E$4:$E$11,MATCH($D199,Settings!$A$4:$A$11,0))="Y",N(F199),0))*(INDEX(Settings!$B$4:$B$11,MATCH($D199,Settings!$A$4:$A$11,0))+INDEX(Settings!$D$4:$D$11,MATCH($D199,Settings!$A$4:$A$11,0)))+INDEX(Settings!$C$4:$C$11,MATCH($D199,Settings!$A$4:$A$11,0))),0))</f>
        <v/>
      </c>
      <c r="I199" s="12"/>
      <c r="J199" s="12"/>
      <c r="K199" s="24" t="str">
        <f aca="false">IF($B199="","",IFERROR(INDEX(Inventory!$J$4:$J$503,MATCH($B199,Inventory!$A$4:$A$503,0)),0))</f>
        <v/>
      </c>
      <c r="L199" s="24" t="str">
        <f aca="false">IF(OR(B199="",E199=""),"",E199+N(F199)-N(G199)-N(H199)-N(J199)-N(K199))</f>
        <v/>
      </c>
      <c r="M199" s="28" t="str">
        <f aca="false">IF(OR(L199="",N(K199)=0),"",L199/K199)</f>
        <v/>
      </c>
      <c r="N199" s="25" t="str">
        <f aca="false">IF(OR(A199="",B199=""),"",IFERROR(A199-INDEX(Inventory!$B$4:$B$503,MATCH($B199,Inventory!$A$4:$A$503,0)),""))</f>
        <v/>
      </c>
      <c r="O199" s="27" t="str">
        <f aca="false">IF($B199="","",IFERROR(INDEX(Inventory!$F$4:$F$503,MATCH($B199,Inventory!$A$4:$A$503,0)),""))</f>
        <v/>
      </c>
      <c r="P199" s="27" t="str">
        <f aca="false">IF($B199="","",IFERROR(INDEX(Inventory!$C$4:$C$503,MATCH($B199,Inventory!$A$4:$A$503,0)),""))</f>
        <v/>
      </c>
    </row>
    <row r="200" customFormat="false" ht="15" hidden="false" customHeight="false" outlineLevel="0" collapsed="false">
      <c r="A200" s="19"/>
      <c r="B200" s="10"/>
      <c r="C200" s="23" t="str">
        <f aca="false">IF($B200="","",IFERROR(INDEX(Inventory!$E$4:$E$503,MATCH($B200,Inventory!$A$4:$A$503,0)),"SKU not found"))</f>
        <v/>
      </c>
      <c r="D200" s="10"/>
      <c r="E200" s="12"/>
      <c r="F200" s="12"/>
      <c r="G200" s="12"/>
      <c r="H200" s="24" t="str">
        <f aca="false">IF(OR(B200="",D200="",E200=""),"",IFERROR(IF(AND(D200="Poshmark",E200&lt;Settings!$B$20),Settings!$B$21,(E200+IF(INDEX(Settings!$E$4:$E$11,MATCH($D200,Settings!$A$4:$A$11,0))="Y",N(F200),0))*(INDEX(Settings!$B$4:$B$11,MATCH($D200,Settings!$A$4:$A$11,0))+INDEX(Settings!$D$4:$D$11,MATCH($D200,Settings!$A$4:$A$11,0)))+INDEX(Settings!$C$4:$C$11,MATCH($D200,Settings!$A$4:$A$11,0))),0))</f>
        <v/>
      </c>
      <c r="I200" s="12"/>
      <c r="J200" s="12"/>
      <c r="K200" s="24" t="str">
        <f aca="false">IF($B200="","",IFERROR(INDEX(Inventory!$J$4:$J$503,MATCH($B200,Inventory!$A$4:$A$503,0)),0))</f>
        <v/>
      </c>
      <c r="L200" s="24" t="str">
        <f aca="false">IF(OR(B200="",E200=""),"",E200+N(F200)-N(G200)-N(H200)-N(J200)-N(K200))</f>
        <v/>
      </c>
      <c r="M200" s="28" t="str">
        <f aca="false">IF(OR(L200="",N(K200)=0),"",L200/K200)</f>
        <v/>
      </c>
      <c r="N200" s="25" t="str">
        <f aca="false">IF(OR(A200="",B200=""),"",IFERROR(A200-INDEX(Inventory!$B$4:$B$503,MATCH($B200,Inventory!$A$4:$A$503,0)),""))</f>
        <v/>
      </c>
      <c r="O200" s="27" t="str">
        <f aca="false">IF($B200="","",IFERROR(INDEX(Inventory!$F$4:$F$503,MATCH($B200,Inventory!$A$4:$A$503,0)),""))</f>
        <v/>
      </c>
      <c r="P200" s="27" t="str">
        <f aca="false">IF($B200="","",IFERROR(INDEX(Inventory!$C$4:$C$503,MATCH($B200,Inventory!$A$4:$A$503,0)),""))</f>
        <v/>
      </c>
    </row>
    <row r="201" customFormat="false" ht="15" hidden="false" customHeight="false" outlineLevel="0" collapsed="false">
      <c r="A201" s="19"/>
      <c r="B201" s="10"/>
      <c r="C201" s="23" t="str">
        <f aca="false">IF($B201="","",IFERROR(INDEX(Inventory!$E$4:$E$503,MATCH($B201,Inventory!$A$4:$A$503,0)),"SKU not found"))</f>
        <v/>
      </c>
      <c r="D201" s="10"/>
      <c r="E201" s="12"/>
      <c r="F201" s="12"/>
      <c r="G201" s="12"/>
      <c r="H201" s="24" t="str">
        <f aca="false">IF(OR(B201="",D201="",E201=""),"",IFERROR(IF(AND(D201="Poshmark",E201&lt;Settings!$B$20),Settings!$B$21,(E201+IF(INDEX(Settings!$E$4:$E$11,MATCH($D201,Settings!$A$4:$A$11,0))="Y",N(F201),0))*(INDEX(Settings!$B$4:$B$11,MATCH($D201,Settings!$A$4:$A$11,0))+INDEX(Settings!$D$4:$D$11,MATCH($D201,Settings!$A$4:$A$11,0)))+INDEX(Settings!$C$4:$C$11,MATCH($D201,Settings!$A$4:$A$11,0))),0))</f>
        <v/>
      </c>
      <c r="I201" s="12"/>
      <c r="J201" s="12"/>
      <c r="K201" s="24" t="str">
        <f aca="false">IF($B201="","",IFERROR(INDEX(Inventory!$J$4:$J$503,MATCH($B201,Inventory!$A$4:$A$503,0)),0))</f>
        <v/>
      </c>
      <c r="L201" s="24" t="str">
        <f aca="false">IF(OR(B201="",E201=""),"",E201+N(F201)-N(G201)-N(H201)-N(J201)-N(K201))</f>
        <v/>
      </c>
      <c r="M201" s="28" t="str">
        <f aca="false">IF(OR(L201="",N(K201)=0),"",L201/K201)</f>
        <v/>
      </c>
      <c r="N201" s="25" t="str">
        <f aca="false">IF(OR(A201="",B201=""),"",IFERROR(A201-INDEX(Inventory!$B$4:$B$503,MATCH($B201,Inventory!$A$4:$A$503,0)),""))</f>
        <v/>
      </c>
      <c r="O201" s="27" t="str">
        <f aca="false">IF($B201="","",IFERROR(INDEX(Inventory!$F$4:$F$503,MATCH($B201,Inventory!$A$4:$A$503,0)),""))</f>
        <v/>
      </c>
      <c r="P201" s="27" t="str">
        <f aca="false">IF($B201="","",IFERROR(INDEX(Inventory!$C$4:$C$503,MATCH($B201,Inventory!$A$4:$A$503,0)),""))</f>
        <v/>
      </c>
    </row>
    <row r="202" customFormat="false" ht="15" hidden="false" customHeight="false" outlineLevel="0" collapsed="false">
      <c r="A202" s="19"/>
      <c r="B202" s="10"/>
      <c r="C202" s="23" t="str">
        <f aca="false">IF($B202="","",IFERROR(INDEX(Inventory!$E$4:$E$503,MATCH($B202,Inventory!$A$4:$A$503,0)),"SKU not found"))</f>
        <v/>
      </c>
      <c r="D202" s="10"/>
      <c r="E202" s="12"/>
      <c r="F202" s="12"/>
      <c r="G202" s="12"/>
      <c r="H202" s="24" t="str">
        <f aca="false">IF(OR(B202="",D202="",E202=""),"",IFERROR(IF(AND(D202="Poshmark",E202&lt;Settings!$B$20),Settings!$B$21,(E202+IF(INDEX(Settings!$E$4:$E$11,MATCH($D202,Settings!$A$4:$A$11,0))="Y",N(F202),0))*(INDEX(Settings!$B$4:$B$11,MATCH($D202,Settings!$A$4:$A$11,0))+INDEX(Settings!$D$4:$D$11,MATCH($D202,Settings!$A$4:$A$11,0)))+INDEX(Settings!$C$4:$C$11,MATCH($D202,Settings!$A$4:$A$11,0))),0))</f>
        <v/>
      </c>
      <c r="I202" s="12"/>
      <c r="J202" s="12"/>
      <c r="K202" s="24" t="str">
        <f aca="false">IF($B202="","",IFERROR(INDEX(Inventory!$J$4:$J$503,MATCH($B202,Inventory!$A$4:$A$503,0)),0))</f>
        <v/>
      </c>
      <c r="L202" s="24" t="str">
        <f aca="false">IF(OR(B202="",E202=""),"",E202+N(F202)-N(G202)-N(H202)-N(J202)-N(K202))</f>
        <v/>
      </c>
      <c r="M202" s="28" t="str">
        <f aca="false">IF(OR(L202="",N(K202)=0),"",L202/K202)</f>
        <v/>
      </c>
      <c r="N202" s="25" t="str">
        <f aca="false">IF(OR(A202="",B202=""),"",IFERROR(A202-INDEX(Inventory!$B$4:$B$503,MATCH($B202,Inventory!$A$4:$A$503,0)),""))</f>
        <v/>
      </c>
      <c r="O202" s="27" t="str">
        <f aca="false">IF($B202="","",IFERROR(INDEX(Inventory!$F$4:$F$503,MATCH($B202,Inventory!$A$4:$A$503,0)),""))</f>
        <v/>
      </c>
      <c r="P202" s="27" t="str">
        <f aca="false">IF($B202="","",IFERROR(INDEX(Inventory!$C$4:$C$503,MATCH($B202,Inventory!$A$4:$A$503,0)),""))</f>
        <v/>
      </c>
    </row>
    <row r="203" customFormat="false" ht="15" hidden="false" customHeight="false" outlineLevel="0" collapsed="false">
      <c r="A203" s="19"/>
      <c r="B203" s="10"/>
      <c r="C203" s="23" t="str">
        <f aca="false">IF($B203="","",IFERROR(INDEX(Inventory!$E$4:$E$503,MATCH($B203,Inventory!$A$4:$A$503,0)),"SKU not found"))</f>
        <v/>
      </c>
      <c r="D203" s="10"/>
      <c r="E203" s="12"/>
      <c r="F203" s="12"/>
      <c r="G203" s="12"/>
      <c r="H203" s="24" t="str">
        <f aca="false">IF(OR(B203="",D203="",E203=""),"",IFERROR(IF(AND(D203="Poshmark",E203&lt;Settings!$B$20),Settings!$B$21,(E203+IF(INDEX(Settings!$E$4:$E$11,MATCH($D203,Settings!$A$4:$A$11,0))="Y",N(F203),0))*(INDEX(Settings!$B$4:$B$11,MATCH($D203,Settings!$A$4:$A$11,0))+INDEX(Settings!$D$4:$D$11,MATCH($D203,Settings!$A$4:$A$11,0)))+INDEX(Settings!$C$4:$C$11,MATCH($D203,Settings!$A$4:$A$11,0))),0))</f>
        <v/>
      </c>
      <c r="I203" s="12"/>
      <c r="J203" s="12"/>
      <c r="K203" s="24" t="str">
        <f aca="false">IF($B203="","",IFERROR(INDEX(Inventory!$J$4:$J$503,MATCH($B203,Inventory!$A$4:$A$503,0)),0))</f>
        <v/>
      </c>
      <c r="L203" s="24" t="str">
        <f aca="false">IF(OR(B203="",E203=""),"",E203+N(F203)-N(G203)-N(H203)-N(J203)-N(K203))</f>
        <v/>
      </c>
      <c r="M203" s="28" t="str">
        <f aca="false">IF(OR(L203="",N(K203)=0),"",L203/K203)</f>
        <v/>
      </c>
      <c r="N203" s="25" t="str">
        <f aca="false">IF(OR(A203="",B203=""),"",IFERROR(A203-INDEX(Inventory!$B$4:$B$503,MATCH($B203,Inventory!$A$4:$A$503,0)),""))</f>
        <v/>
      </c>
      <c r="O203" s="27" t="str">
        <f aca="false">IF($B203="","",IFERROR(INDEX(Inventory!$F$4:$F$503,MATCH($B203,Inventory!$A$4:$A$503,0)),""))</f>
        <v/>
      </c>
      <c r="P203" s="27" t="str">
        <f aca="false">IF($B203="","",IFERROR(INDEX(Inventory!$C$4:$C$503,MATCH($B203,Inventory!$A$4:$A$503,0)),""))</f>
        <v/>
      </c>
    </row>
    <row r="204" customFormat="false" ht="15" hidden="false" customHeight="false" outlineLevel="0" collapsed="false">
      <c r="A204" s="19"/>
      <c r="B204" s="10"/>
      <c r="C204" s="23" t="str">
        <f aca="false">IF($B204="","",IFERROR(INDEX(Inventory!$E$4:$E$503,MATCH($B204,Inventory!$A$4:$A$503,0)),"SKU not found"))</f>
        <v/>
      </c>
      <c r="D204" s="10"/>
      <c r="E204" s="12"/>
      <c r="F204" s="12"/>
      <c r="G204" s="12"/>
      <c r="H204" s="24" t="str">
        <f aca="false">IF(OR(B204="",D204="",E204=""),"",IFERROR(IF(AND(D204="Poshmark",E204&lt;Settings!$B$20),Settings!$B$21,(E204+IF(INDEX(Settings!$E$4:$E$11,MATCH($D204,Settings!$A$4:$A$11,0))="Y",N(F204),0))*(INDEX(Settings!$B$4:$B$11,MATCH($D204,Settings!$A$4:$A$11,0))+INDEX(Settings!$D$4:$D$11,MATCH($D204,Settings!$A$4:$A$11,0)))+INDEX(Settings!$C$4:$C$11,MATCH($D204,Settings!$A$4:$A$11,0))),0))</f>
        <v/>
      </c>
      <c r="I204" s="12"/>
      <c r="J204" s="12"/>
      <c r="K204" s="24" t="str">
        <f aca="false">IF($B204="","",IFERROR(INDEX(Inventory!$J$4:$J$503,MATCH($B204,Inventory!$A$4:$A$503,0)),0))</f>
        <v/>
      </c>
      <c r="L204" s="24" t="str">
        <f aca="false">IF(OR(B204="",E204=""),"",E204+N(F204)-N(G204)-N(H204)-N(J204)-N(K204))</f>
        <v/>
      </c>
      <c r="M204" s="28" t="str">
        <f aca="false">IF(OR(L204="",N(K204)=0),"",L204/K204)</f>
        <v/>
      </c>
      <c r="N204" s="25" t="str">
        <f aca="false">IF(OR(A204="",B204=""),"",IFERROR(A204-INDEX(Inventory!$B$4:$B$503,MATCH($B204,Inventory!$A$4:$A$503,0)),""))</f>
        <v/>
      </c>
      <c r="O204" s="27" t="str">
        <f aca="false">IF($B204="","",IFERROR(INDEX(Inventory!$F$4:$F$503,MATCH($B204,Inventory!$A$4:$A$503,0)),""))</f>
        <v/>
      </c>
      <c r="P204" s="27" t="str">
        <f aca="false">IF($B204="","",IFERROR(INDEX(Inventory!$C$4:$C$503,MATCH($B204,Inventory!$A$4:$A$503,0)),""))</f>
        <v/>
      </c>
    </row>
    <row r="205" customFormat="false" ht="15" hidden="false" customHeight="false" outlineLevel="0" collapsed="false">
      <c r="A205" s="19"/>
      <c r="B205" s="10"/>
      <c r="C205" s="23" t="str">
        <f aca="false">IF($B205="","",IFERROR(INDEX(Inventory!$E$4:$E$503,MATCH($B205,Inventory!$A$4:$A$503,0)),"SKU not found"))</f>
        <v/>
      </c>
      <c r="D205" s="10"/>
      <c r="E205" s="12"/>
      <c r="F205" s="12"/>
      <c r="G205" s="12"/>
      <c r="H205" s="24" t="str">
        <f aca="false">IF(OR(B205="",D205="",E205=""),"",IFERROR(IF(AND(D205="Poshmark",E205&lt;Settings!$B$20),Settings!$B$21,(E205+IF(INDEX(Settings!$E$4:$E$11,MATCH($D205,Settings!$A$4:$A$11,0))="Y",N(F205),0))*(INDEX(Settings!$B$4:$B$11,MATCH($D205,Settings!$A$4:$A$11,0))+INDEX(Settings!$D$4:$D$11,MATCH($D205,Settings!$A$4:$A$11,0)))+INDEX(Settings!$C$4:$C$11,MATCH($D205,Settings!$A$4:$A$11,0))),0))</f>
        <v/>
      </c>
      <c r="I205" s="12"/>
      <c r="J205" s="12"/>
      <c r="K205" s="24" t="str">
        <f aca="false">IF($B205="","",IFERROR(INDEX(Inventory!$J$4:$J$503,MATCH($B205,Inventory!$A$4:$A$503,0)),0))</f>
        <v/>
      </c>
      <c r="L205" s="24" t="str">
        <f aca="false">IF(OR(B205="",E205=""),"",E205+N(F205)-N(G205)-N(H205)-N(J205)-N(K205))</f>
        <v/>
      </c>
      <c r="M205" s="28" t="str">
        <f aca="false">IF(OR(L205="",N(K205)=0),"",L205/K205)</f>
        <v/>
      </c>
      <c r="N205" s="25" t="str">
        <f aca="false">IF(OR(A205="",B205=""),"",IFERROR(A205-INDEX(Inventory!$B$4:$B$503,MATCH($B205,Inventory!$A$4:$A$503,0)),""))</f>
        <v/>
      </c>
      <c r="O205" s="27" t="str">
        <f aca="false">IF($B205="","",IFERROR(INDEX(Inventory!$F$4:$F$503,MATCH($B205,Inventory!$A$4:$A$503,0)),""))</f>
        <v/>
      </c>
      <c r="P205" s="27" t="str">
        <f aca="false">IF($B205="","",IFERROR(INDEX(Inventory!$C$4:$C$503,MATCH($B205,Inventory!$A$4:$A$503,0)),""))</f>
        <v/>
      </c>
    </row>
    <row r="206" customFormat="false" ht="15" hidden="false" customHeight="false" outlineLevel="0" collapsed="false">
      <c r="A206" s="19"/>
      <c r="B206" s="10"/>
      <c r="C206" s="23" t="str">
        <f aca="false">IF($B206="","",IFERROR(INDEX(Inventory!$E$4:$E$503,MATCH($B206,Inventory!$A$4:$A$503,0)),"SKU not found"))</f>
        <v/>
      </c>
      <c r="D206" s="10"/>
      <c r="E206" s="12"/>
      <c r="F206" s="12"/>
      <c r="G206" s="12"/>
      <c r="H206" s="24" t="str">
        <f aca="false">IF(OR(B206="",D206="",E206=""),"",IFERROR(IF(AND(D206="Poshmark",E206&lt;Settings!$B$20),Settings!$B$21,(E206+IF(INDEX(Settings!$E$4:$E$11,MATCH($D206,Settings!$A$4:$A$11,0))="Y",N(F206),0))*(INDEX(Settings!$B$4:$B$11,MATCH($D206,Settings!$A$4:$A$11,0))+INDEX(Settings!$D$4:$D$11,MATCH($D206,Settings!$A$4:$A$11,0)))+INDEX(Settings!$C$4:$C$11,MATCH($D206,Settings!$A$4:$A$11,0))),0))</f>
        <v/>
      </c>
      <c r="I206" s="12"/>
      <c r="J206" s="12"/>
      <c r="K206" s="24" t="str">
        <f aca="false">IF($B206="","",IFERROR(INDEX(Inventory!$J$4:$J$503,MATCH($B206,Inventory!$A$4:$A$503,0)),0))</f>
        <v/>
      </c>
      <c r="L206" s="24" t="str">
        <f aca="false">IF(OR(B206="",E206=""),"",E206+N(F206)-N(G206)-N(H206)-N(J206)-N(K206))</f>
        <v/>
      </c>
      <c r="M206" s="28" t="str">
        <f aca="false">IF(OR(L206="",N(K206)=0),"",L206/K206)</f>
        <v/>
      </c>
      <c r="N206" s="25" t="str">
        <f aca="false">IF(OR(A206="",B206=""),"",IFERROR(A206-INDEX(Inventory!$B$4:$B$503,MATCH($B206,Inventory!$A$4:$A$503,0)),""))</f>
        <v/>
      </c>
      <c r="O206" s="27" t="str">
        <f aca="false">IF($B206="","",IFERROR(INDEX(Inventory!$F$4:$F$503,MATCH($B206,Inventory!$A$4:$A$503,0)),""))</f>
        <v/>
      </c>
      <c r="P206" s="27" t="str">
        <f aca="false">IF($B206="","",IFERROR(INDEX(Inventory!$C$4:$C$503,MATCH($B206,Inventory!$A$4:$A$503,0)),""))</f>
        <v/>
      </c>
    </row>
    <row r="207" customFormat="false" ht="15" hidden="false" customHeight="false" outlineLevel="0" collapsed="false">
      <c r="A207" s="19"/>
      <c r="B207" s="10"/>
      <c r="C207" s="23" t="str">
        <f aca="false">IF($B207="","",IFERROR(INDEX(Inventory!$E$4:$E$503,MATCH($B207,Inventory!$A$4:$A$503,0)),"SKU not found"))</f>
        <v/>
      </c>
      <c r="D207" s="10"/>
      <c r="E207" s="12"/>
      <c r="F207" s="12"/>
      <c r="G207" s="12"/>
      <c r="H207" s="24" t="str">
        <f aca="false">IF(OR(B207="",D207="",E207=""),"",IFERROR(IF(AND(D207="Poshmark",E207&lt;Settings!$B$20),Settings!$B$21,(E207+IF(INDEX(Settings!$E$4:$E$11,MATCH($D207,Settings!$A$4:$A$11,0))="Y",N(F207),0))*(INDEX(Settings!$B$4:$B$11,MATCH($D207,Settings!$A$4:$A$11,0))+INDEX(Settings!$D$4:$D$11,MATCH($D207,Settings!$A$4:$A$11,0)))+INDEX(Settings!$C$4:$C$11,MATCH($D207,Settings!$A$4:$A$11,0))),0))</f>
        <v/>
      </c>
      <c r="I207" s="12"/>
      <c r="J207" s="12"/>
      <c r="K207" s="24" t="str">
        <f aca="false">IF($B207="","",IFERROR(INDEX(Inventory!$J$4:$J$503,MATCH($B207,Inventory!$A$4:$A$503,0)),0))</f>
        <v/>
      </c>
      <c r="L207" s="24" t="str">
        <f aca="false">IF(OR(B207="",E207=""),"",E207+N(F207)-N(G207)-N(H207)-N(J207)-N(K207))</f>
        <v/>
      </c>
      <c r="M207" s="28" t="str">
        <f aca="false">IF(OR(L207="",N(K207)=0),"",L207/K207)</f>
        <v/>
      </c>
      <c r="N207" s="25" t="str">
        <f aca="false">IF(OR(A207="",B207=""),"",IFERROR(A207-INDEX(Inventory!$B$4:$B$503,MATCH($B207,Inventory!$A$4:$A$503,0)),""))</f>
        <v/>
      </c>
      <c r="O207" s="27" t="str">
        <f aca="false">IF($B207="","",IFERROR(INDEX(Inventory!$F$4:$F$503,MATCH($B207,Inventory!$A$4:$A$503,0)),""))</f>
        <v/>
      </c>
      <c r="P207" s="27" t="str">
        <f aca="false">IF($B207="","",IFERROR(INDEX(Inventory!$C$4:$C$503,MATCH($B207,Inventory!$A$4:$A$503,0)),""))</f>
        <v/>
      </c>
    </row>
    <row r="208" customFormat="false" ht="15" hidden="false" customHeight="false" outlineLevel="0" collapsed="false">
      <c r="A208" s="19"/>
      <c r="B208" s="10"/>
      <c r="C208" s="23" t="str">
        <f aca="false">IF($B208="","",IFERROR(INDEX(Inventory!$E$4:$E$503,MATCH($B208,Inventory!$A$4:$A$503,0)),"SKU not found"))</f>
        <v/>
      </c>
      <c r="D208" s="10"/>
      <c r="E208" s="12"/>
      <c r="F208" s="12"/>
      <c r="G208" s="12"/>
      <c r="H208" s="24" t="str">
        <f aca="false">IF(OR(B208="",D208="",E208=""),"",IFERROR(IF(AND(D208="Poshmark",E208&lt;Settings!$B$20),Settings!$B$21,(E208+IF(INDEX(Settings!$E$4:$E$11,MATCH($D208,Settings!$A$4:$A$11,0))="Y",N(F208),0))*(INDEX(Settings!$B$4:$B$11,MATCH($D208,Settings!$A$4:$A$11,0))+INDEX(Settings!$D$4:$D$11,MATCH($D208,Settings!$A$4:$A$11,0)))+INDEX(Settings!$C$4:$C$11,MATCH($D208,Settings!$A$4:$A$11,0))),0))</f>
        <v/>
      </c>
      <c r="I208" s="12"/>
      <c r="J208" s="12"/>
      <c r="K208" s="24" t="str">
        <f aca="false">IF($B208="","",IFERROR(INDEX(Inventory!$J$4:$J$503,MATCH($B208,Inventory!$A$4:$A$503,0)),0))</f>
        <v/>
      </c>
      <c r="L208" s="24" t="str">
        <f aca="false">IF(OR(B208="",E208=""),"",E208+N(F208)-N(G208)-N(H208)-N(J208)-N(K208))</f>
        <v/>
      </c>
      <c r="M208" s="28" t="str">
        <f aca="false">IF(OR(L208="",N(K208)=0),"",L208/K208)</f>
        <v/>
      </c>
      <c r="N208" s="25" t="str">
        <f aca="false">IF(OR(A208="",B208=""),"",IFERROR(A208-INDEX(Inventory!$B$4:$B$503,MATCH($B208,Inventory!$A$4:$A$503,0)),""))</f>
        <v/>
      </c>
      <c r="O208" s="27" t="str">
        <f aca="false">IF($B208="","",IFERROR(INDEX(Inventory!$F$4:$F$503,MATCH($B208,Inventory!$A$4:$A$503,0)),""))</f>
        <v/>
      </c>
      <c r="P208" s="27" t="str">
        <f aca="false">IF($B208="","",IFERROR(INDEX(Inventory!$C$4:$C$503,MATCH($B208,Inventory!$A$4:$A$503,0)),""))</f>
        <v/>
      </c>
    </row>
    <row r="209" customFormat="false" ht="15" hidden="false" customHeight="false" outlineLevel="0" collapsed="false">
      <c r="A209" s="19"/>
      <c r="B209" s="10"/>
      <c r="C209" s="23" t="str">
        <f aca="false">IF($B209="","",IFERROR(INDEX(Inventory!$E$4:$E$503,MATCH($B209,Inventory!$A$4:$A$503,0)),"SKU not found"))</f>
        <v/>
      </c>
      <c r="D209" s="10"/>
      <c r="E209" s="12"/>
      <c r="F209" s="12"/>
      <c r="G209" s="12"/>
      <c r="H209" s="24" t="str">
        <f aca="false">IF(OR(B209="",D209="",E209=""),"",IFERROR(IF(AND(D209="Poshmark",E209&lt;Settings!$B$20),Settings!$B$21,(E209+IF(INDEX(Settings!$E$4:$E$11,MATCH($D209,Settings!$A$4:$A$11,0))="Y",N(F209),0))*(INDEX(Settings!$B$4:$B$11,MATCH($D209,Settings!$A$4:$A$11,0))+INDEX(Settings!$D$4:$D$11,MATCH($D209,Settings!$A$4:$A$11,0)))+INDEX(Settings!$C$4:$C$11,MATCH($D209,Settings!$A$4:$A$11,0))),0))</f>
        <v/>
      </c>
      <c r="I209" s="12"/>
      <c r="J209" s="12"/>
      <c r="K209" s="24" t="str">
        <f aca="false">IF($B209="","",IFERROR(INDEX(Inventory!$J$4:$J$503,MATCH($B209,Inventory!$A$4:$A$503,0)),0))</f>
        <v/>
      </c>
      <c r="L209" s="24" t="str">
        <f aca="false">IF(OR(B209="",E209=""),"",E209+N(F209)-N(G209)-N(H209)-N(J209)-N(K209))</f>
        <v/>
      </c>
      <c r="M209" s="28" t="str">
        <f aca="false">IF(OR(L209="",N(K209)=0),"",L209/K209)</f>
        <v/>
      </c>
      <c r="N209" s="25" t="str">
        <f aca="false">IF(OR(A209="",B209=""),"",IFERROR(A209-INDEX(Inventory!$B$4:$B$503,MATCH($B209,Inventory!$A$4:$A$503,0)),""))</f>
        <v/>
      </c>
      <c r="O209" s="27" t="str">
        <f aca="false">IF($B209="","",IFERROR(INDEX(Inventory!$F$4:$F$503,MATCH($B209,Inventory!$A$4:$A$503,0)),""))</f>
        <v/>
      </c>
      <c r="P209" s="27" t="str">
        <f aca="false">IF($B209="","",IFERROR(INDEX(Inventory!$C$4:$C$503,MATCH($B209,Inventory!$A$4:$A$503,0)),""))</f>
        <v/>
      </c>
    </row>
    <row r="210" customFormat="false" ht="15" hidden="false" customHeight="false" outlineLevel="0" collapsed="false">
      <c r="A210" s="19"/>
      <c r="B210" s="10"/>
      <c r="C210" s="23" t="str">
        <f aca="false">IF($B210="","",IFERROR(INDEX(Inventory!$E$4:$E$503,MATCH($B210,Inventory!$A$4:$A$503,0)),"SKU not found"))</f>
        <v/>
      </c>
      <c r="D210" s="10"/>
      <c r="E210" s="12"/>
      <c r="F210" s="12"/>
      <c r="G210" s="12"/>
      <c r="H210" s="24" t="str">
        <f aca="false">IF(OR(B210="",D210="",E210=""),"",IFERROR(IF(AND(D210="Poshmark",E210&lt;Settings!$B$20),Settings!$B$21,(E210+IF(INDEX(Settings!$E$4:$E$11,MATCH($D210,Settings!$A$4:$A$11,0))="Y",N(F210),0))*(INDEX(Settings!$B$4:$B$11,MATCH($D210,Settings!$A$4:$A$11,0))+INDEX(Settings!$D$4:$D$11,MATCH($D210,Settings!$A$4:$A$11,0)))+INDEX(Settings!$C$4:$C$11,MATCH($D210,Settings!$A$4:$A$11,0))),0))</f>
        <v/>
      </c>
      <c r="I210" s="12"/>
      <c r="J210" s="12"/>
      <c r="K210" s="24" t="str">
        <f aca="false">IF($B210="","",IFERROR(INDEX(Inventory!$J$4:$J$503,MATCH($B210,Inventory!$A$4:$A$503,0)),0))</f>
        <v/>
      </c>
      <c r="L210" s="24" t="str">
        <f aca="false">IF(OR(B210="",E210=""),"",E210+N(F210)-N(G210)-N(H210)-N(J210)-N(K210))</f>
        <v/>
      </c>
      <c r="M210" s="28" t="str">
        <f aca="false">IF(OR(L210="",N(K210)=0),"",L210/K210)</f>
        <v/>
      </c>
      <c r="N210" s="25" t="str">
        <f aca="false">IF(OR(A210="",B210=""),"",IFERROR(A210-INDEX(Inventory!$B$4:$B$503,MATCH($B210,Inventory!$A$4:$A$503,0)),""))</f>
        <v/>
      </c>
      <c r="O210" s="27" t="str">
        <f aca="false">IF($B210="","",IFERROR(INDEX(Inventory!$F$4:$F$503,MATCH($B210,Inventory!$A$4:$A$503,0)),""))</f>
        <v/>
      </c>
      <c r="P210" s="27" t="str">
        <f aca="false">IF($B210="","",IFERROR(INDEX(Inventory!$C$4:$C$503,MATCH($B210,Inventory!$A$4:$A$503,0)),""))</f>
        <v/>
      </c>
    </row>
    <row r="211" customFormat="false" ht="15" hidden="false" customHeight="false" outlineLevel="0" collapsed="false">
      <c r="A211" s="19"/>
      <c r="B211" s="10"/>
      <c r="C211" s="23" t="str">
        <f aca="false">IF($B211="","",IFERROR(INDEX(Inventory!$E$4:$E$503,MATCH($B211,Inventory!$A$4:$A$503,0)),"SKU not found"))</f>
        <v/>
      </c>
      <c r="D211" s="10"/>
      <c r="E211" s="12"/>
      <c r="F211" s="12"/>
      <c r="G211" s="12"/>
      <c r="H211" s="24" t="str">
        <f aca="false">IF(OR(B211="",D211="",E211=""),"",IFERROR(IF(AND(D211="Poshmark",E211&lt;Settings!$B$20),Settings!$B$21,(E211+IF(INDEX(Settings!$E$4:$E$11,MATCH($D211,Settings!$A$4:$A$11,0))="Y",N(F211),0))*(INDEX(Settings!$B$4:$B$11,MATCH($D211,Settings!$A$4:$A$11,0))+INDEX(Settings!$D$4:$D$11,MATCH($D211,Settings!$A$4:$A$11,0)))+INDEX(Settings!$C$4:$C$11,MATCH($D211,Settings!$A$4:$A$11,0))),0))</f>
        <v/>
      </c>
      <c r="I211" s="12"/>
      <c r="J211" s="12"/>
      <c r="K211" s="24" t="str">
        <f aca="false">IF($B211="","",IFERROR(INDEX(Inventory!$J$4:$J$503,MATCH($B211,Inventory!$A$4:$A$503,0)),0))</f>
        <v/>
      </c>
      <c r="L211" s="24" t="str">
        <f aca="false">IF(OR(B211="",E211=""),"",E211+N(F211)-N(G211)-N(H211)-N(J211)-N(K211))</f>
        <v/>
      </c>
      <c r="M211" s="28" t="str">
        <f aca="false">IF(OR(L211="",N(K211)=0),"",L211/K211)</f>
        <v/>
      </c>
      <c r="N211" s="25" t="str">
        <f aca="false">IF(OR(A211="",B211=""),"",IFERROR(A211-INDEX(Inventory!$B$4:$B$503,MATCH($B211,Inventory!$A$4:$A$503,0)),""))</f>
        <v/>
      </c>
      <c r="O211" s="27" t="str">
        <f aca="false">IF($B211="","",IFERROR(INDEX(Inventory!$F$4:$F$503,MATCH($B211,Inventory!$A$4:$A$503,0)),""))</f>
        <v/>
      </c>
      <c r="P211" s="27" t="str">
        <f aca="false">IF($B211="","",IFERROR(INDEX(Inventory!$C$4:$C$503,MATCH($B211,Inventory!$A$4:$A$503,0)),""))</f>
        <v/>
      </c>
    </row>
    <row r="212" customFormat="false" ht="15" hidden="false" customHeight="false" outlineLevel="0" collapsed="false">
      <c r="A212" s="19"/>
      <c r="B212" s="10"/>
      <c r="C212" s="23" t="str">
        <f aca="false">IF($B212="","",IFERROR(INDEX(Inventory!$E$4:$E$503,MATCH($B212,Inventory!$A$4:$A$503,0)),"SKU not found"))</f>
        <v/>
      </c>
      <c r="D212" s="10"/>
      <c r="E212" s="12"/>
      <c r="F212" s="12"/>
      <c r="G212" s="12"/>
      <c r="H212" s="24" t="str">
        <f aca="false">IF(OR(B212="",D212="",E212=""),"",IFERROR(IF(AND(D212="Poshmark",E212&lt;Settings!$B$20),Settings!$B$21,(E212+IF(INDEX(Settings!$E$4:$E$11,MATCH($D212,Settings!$A$4:$A$11,0))="Y",N(F212),0))*(INDEX(Settings!$B$4:$B$11,MATCH($D212,Settings!$A$4:$A$11,0))+INDEX(Settings!$D$4:$D$11,MATCH($D212,Settings!$A$4:$A$11,0)))+INDEX(Settings!$C$4:$C$11,MATCH($D212,Settings!$A$4:$A$11,0))),0))</f>
        <v/>
      </c>
      <c r="I212" s="12"/>
      <c r="J212" s="12"/>
      <c r="K212" s="24" t="str">
        <f aca="false">IF($B212="","",IFERROR(INDEX(Inventory!$J$4:$J$503,MATCH($B212,Inventory!$A$4:$A$503,0)),0))</f>
        <v/>
      </c>
      <c r="L212" s="24" t="str">
        <f aca="false">IF(OR(B212="",E212=""),"",E212+N(F212)-N(G212)-N(H212)-N(J212)-N(K212))</f>
        <v/>
      </c>
      <c r="M212" s="28" t="str">
        <f aca="false">IF(OR(L212="",N(K212)=0),"",L212/K212)</f>
        <v/>
      </c>
      <c r="N212" s="25" t="str">
        <f aca="false">IF(OR(A212="",B212=""),"",IFERROR(A212-INDEX(Inventory!$B$4:$B$503,MATCH($B212,Inventory!$A$4:$A$503,0)),""))</f>
        <v/>
      </c>
      <c r="O212" s="27" t="str">
        <f aca="false">IF($B212="","",IFERROR(INDEX(Inventory!$F$4:$F$503,MATCH($B212,Inventory!$A$4:$A$503,0)),""))</f>
        <v/>
      </c>
      <c r="P212" s="27" t="str">
        <f aca="false">IF($B212="","",IFERROR(INDEX(Inventory!$C$4:$C$503,MATCH($B212,Inventory!$A$4:$A$503,0)),""))</f>
        <v/>
      </c>
    </row>
    <row r="213" customFormat="false" ht="15" hidden="false" customHeight="false" outlineLevel="0" collapsed="false">
      <c r="A213" s="19"/>
      <c r="B213" s="10"/>
      <c r="C213" s="23" t="str">
        <f aca="false">IF($B213="","",IFERROR(INDEX(Inventory!$E$4:$E$503,MATCH($B213,Inventory!$A$4:$A$503,0)),"SKU not found"))</f>
        <v/>
      </c>
      <c r="D213" s="10"/>
      <c r="E213" s="12"/>
      <c r="F213" s="12"/>
      <c r="G213" s="12"/>
      <c r="H213" s="24" t="str">
        <f aca="false">IF(OR(B213="",D213="",E213=""),"",IFERROR(IF(AND(D213="Poshmark",E213&lt;Settings!$B$20),Settings!$B$21,(E213+IF(INDEX(Settings!$E$4:$E$11,MATCH($D213,Settings!$A$4:$A$11,0))="Y",N(F213),0))*(INDEX(Settings!$B$4:$B$11,MATCH($D213,Settings!$A$4:$A$11,0))+INDEX(Settings!$D$4:$D$11,MATCH($D213,Settings!$A$4:$A$11,0)))+INDEX(Settings!$C$4:$C$11,MATCH($D213,Settings!$A$4:$A$11,0))),0))</f>
        <v/>
      </c>
      <c r="I213" s="12"/>
      <c r="J213" s="12"/>
      <c r="K213" s="24" t="str">
        <f aca="false">IF($B213="","",IFERROR(INDEX(Inventory!$J$4:$J$503,MATCH($B213,Inventory!$A$4:$A$503,0)),0))</f>
        <v/>
      </c>
      <c r="L213" s="24" t="str">
        <f aca="false">IF(OR(B213="",E213=""),"",E213+N(F213)-N(G213)-N(H213)-N(J213)-N(K213))</f>
        <v/>
      </c>
      <c r="M213" s="28" t="str">
        <f aca="false">IF(OR(L213="",N(K213)=0),"",L213/K213)</f>
        <v/>
      </c>
      <c r="N213" s="25" t="str">
        <f aca="false">IF(OR(A213="",B213=""),"",IFERROR(A213-INDEX(Inventory!$B$4:$B$503,MATCH($B213,Inventory!$A$4:$A$503,0)),""))</f>
        <v/>
      </c>
      <c r="O213" s="27" t="str">
        <f aca="false">IF($B213="","",IFERROR(INDEX(Inventory!$F$4:$F$503,MATCH($B213,Inventory!$A$4:$A$503,0)),""))</f>
        <v/>
      </c>
      <c r="P213" s="27" t="str">
        <f aca="false">IF($B213="","",IFERROR(INDEX(Inventory!$C$4:$C$503,MATCH($B213,Inventory!$A$4:$A$503,0)),""))</f>
        <v/>
      </c>
    </row>
    <row r="214" customFormat="false" ht="15" hidden="false" customHeight="false" outlineLevel="0" collapsed="false">
      <c r="A214" s="19"/>
      <c r="B214" s="10"/>
      <c r="C214" s="23" t="str">
        <f aca="false">IF($B214="","",IFERROR(INDEX(Inventory!$E$4:$E$503,MATCH($B214,Inventory!$A$4:$A$503,0)),"SKU not found"))</f>
        <v/>
      </c>
      <c r="D214" s="10"/>
      <c r="E214" s="12"/>
      <c r="F214" s="12"/>
      <c r="G214" s="12"/>
      <c r="H214" s="24" t="str">
        <f aca="false">IF(OR(B214="",D214="",E214=""),"",IFERROR(IF(AND(D214="Poshmark",E214&lt;Settings!$B$20),Settings!$B$21,(E214+IF(INDEX(Settings!$E$4:$E$11,MATCH($D214,Settings!$A$4:$A$11,0))="Y",N(F214),0))*(INDEX(Settings!$B$4:$B$11,MATCH($D214,Settings!$A$4:$A$11,0))+INDEX(Settings!$D$4:$D$11,MATCH($D214,Settings!$A$4:$A$11,0)))+INDEX(Settings!$C$4:$C$11,MATCH($D214,Settings!$A$4:$A$11,0))),0))</f>
        <v/>
      </c>
      <c r="I214" s="12"/>
      <c r="J214" s="12"/>
      <c r="K214" s="24" t="str">
        <f aca="false">IF($B214="","",IFERROR(INDEX(Inventory!$J$4:$J$503,MATCH($B214,Inventory!$A$4:$A$503,0)),0))</f>
        <v/>
      </c>
      <c r="L214" s="24" t="str">
        <f aca="false">IF(OR(B214="",E214=""),"",E214+N(F214)-N(G214)-N(H214)-N(J214)-N(K214))</f>
        <v/>
      </c>
      <c r="M214" s="28" t="str">
        <f aca="false">IF(OR(L214="",N(K214)=0),"",L214/K214)</f>
        <v/>
      </c>
      <c r="N214" s="25" t="str">
        <f aca="false">IF(OR(A214="",B214=""),"",IFERROR(A214-INDEX(Inventory!$B$4:$B$503,MATCH($B214,Inventory!$A$4:$A$503,0)),""))</f>
        <v/>
      </c>
      <c r="O214" s="27" t="str">
        <f aca="false">IF($B214="","",IFERROR(INDEX(Inventory!$F$4:$F$503,MATCH($B214,Inventory!$A$4:$A$503,0)),""))</f>
        <v/>
      </c>
      <c r="P214" s="27" t="str">
        <f aca="false">IF($B214="","",IFERROR(INDEX(Inventory!$C$4:$C$503,MATCH($B214,Inventory!$A$4:$A$503,0)),""))</f>
        <v/>
      </c>
    </row>
    <row r="215" customFormat="false" ht="15" hidden="false" customHeight="false" outlineLevel="0" collapsed="false">
      <c r="A215" s="19"/>
      <c r="B215" s="10"/>
      <c r="C215" s="23" t="str">
        <f aca="false">IF($B215="","",IFERROR(INDEX(Inventory!$E$4:$E$503,MATCH($B215,Inventory!$A$4:$A$503,0)),"SKU not found"))</f>
        <v/>
      </c>
      <c r="D215" s="10"/>
      <c r="E215" s="12"/>
      <c r="F215" s="12"/>
      <c r="G215" s="12"/>
      <c r="H215" s="24" t="str">
        <f aca="false">IF(OR(B215="",D215="",E215=""),"",IFERROR(IF(AND(D215="Poshmark",E215&lt;Settings!$B$20),Settings!$B$21,(E215+IF(INDEX(Settings!$E$4:$E$11,MATCH($D215,Settings!$A$4:$A$11,0))="Y",N(F215),0))*(INDEX(Settings!$B$4:$B$11,MATCH($D215,Settings!$A$4:$A$11,0))+INDEX(Settings!$D$4:$D$11,MATCH($D215,Settings!$A$4:$A$11,0)))+INDEX(Settings!$C$4:$C$11,MATCH($D215,Settings!$A$4:$A$11,0))),0))</f>
        <v/>
      </c>
      <c r="I215" s="12"/>
      <c r="J215" s="12"/>
      <c r="K215" s="24" t="str">
        <f aca="false">IF($B215="","",IFERROR(INDEX(Inventory!$J$4:$J$503,MATCH($B215,Inventory!$A$4:$A$503,0)),0))</f>
        <v/>
      </c>
      <c r="L215" s="24" t="str">
        <f aca="false">IF(OR(B215="",E215=""),"",E215+N(F215)-N(G215)-N(H215)-N(J215)-N(K215))</f>
        <v/>
      </c>
      <c r="M215" s="28" t="str">
        <f aca="false">IF(OR(L215="",N(K215)=0),"",L215/K215)</f>
        <v/>
      </c>
      <c r="N215" s="25" t="str">
        <f aca="false">IF(OR(A215="",B215=""),"",IFERROR(A215-INDEX(Inventory!$B$4:$B$503,MATCH($B215,Inventory!$A$4:$A$503,0)),""))</f>
        <v/>
      </c>
      <c r="O215" s="27" t="str">
        <f aca="false">IF($B215="","",IFERROR(INDEX(Inventory!$F$4:$F$503,MATCH($B215,Inventory!$A$4:$A$503,0)),""))</f>
        <v/>
      </c>
      <c r="P215" s="27" t="str">
        <f aca="false">IF($B215="","",IFERROR(INDEX(Inventory!$C$4:$C$503,MATCH($B215,Inventory!$A$4:$A$503,0)),""))</f>
        <v/>
      </c>
    </row>
    <row r="216" customFormat="false" ht="15" hidden="false" customHeight="false" outlineLevel="0" collapsed="false">
      <c r="A216" s="19"/>
      <c r="B216" s="10"/>
      <c r="C216" s="23" t="str">
        <f aca="false">IF($B216="","",IFERROR(INDEX(Inventory!$E$4:$E$503,MATCH($B216,Inventory!$A$4:$A$503,0)),"SKU not found"))</f>
        <v/>
      </c>
      <c r="D216" s="10"/>
      <c r="E216" s="12"/>
      <c r="F216" s="12"/>
      <c r="G216" s="12"/>
      <c r="H216" s="24" t="str">
        <f aca="false">IF(OR(B216="",D216="",E216=""),"",IFERROR(IF(AND(D216="Poshmark",E216&lt;Settings!$B$20),Settings!$B$21,(E216+IF(INDEX(Settings!$E$4:$E$11,MATCH($D216,Settings!$A$4:$A$11,0))="Y",N(F216),0))*(INDEX(Settings!$B$4:$B$11,MATCH($D216,Settings!$A$4:$A$11,0))+INDEX(Settings!$D$4:$D$11,MATCH($D216,Settings!$A$4:$A$11,0)))+INDEX(Settings!$C$4:$C$11,MATCH($D216,Settings!$A$4:$A$11,0))),0))</f>
        <v/>
      </c>
      <c r="I216" s="12"/>
      <c r="J216" s="12"/>
      <c r="K216" s="24" t="str">
        <f aca="false">IF($B216="","",IFERROR(INDEX(Inventory!$J$4:$J$503,MATCH($B216,Inventory!$A$4:$A$503,0)),0))</f>
        <v/>
      </c>
      <c r="L216" s="24" t="str">
        <f aca="false">IF(OR(B216="",E216=""),"",E216+N(F216)-N(G216)-N(H216)-N(J216)-N(K216))</f>
        <v/>
      </c>
      <c r="M216" s="28" t="str">
        <f aca="false">IF(OR(L216="",N(K216)=0),"",L216/K216)</f>
        <v/>
      </c>
      <c r="N216" s="25" t="str">
        <f aca="false">IF(OR(A216="",B216=""),"",IFERROR(A216-INDEX(Inventory!$B$4:$B$503,MATCH($B216,Inventory!$A$4:$A$503,0)),""))</f>
        <v/>
      </c>
      <c r="O216" s="27" t="str">
        <f aca="false">IF($B216="","",IFERROR(INDEX(Inventory!$F$4:$F$503,MATCH($B216,Inventory!$A$4:$A$503,0)),""))</f>
        <v/>
      </c>
      <c r="P216" s="27" t="str">
        <f aca="false">IF($B216="","",IFERROR(INDEX(Inventory!$C$4:$C$503,MATCH($B216,Inventory!$A$4:$A$503,0)),""))</f>
        <v/>
      </c>
    </row>
    <row r="217" customFormat="false" ht="15" hidden="false" customHeight="false" outlineLevel="0" collapsed="false">
      <c r="A217" s="19"/>
      <c r="B217" s="10"/>
      <c r="C217" s="23" t="str">
        <f aca="false">IF($B217="","",IFERROR(INDEX(Inventory!$E$4:$E$503,MATCH($B217,Inventory!$A$4:$A$503,0)),"SKU not found"))</f>
        <v/>
      </c>
      <c r="D217" s="10"/>
      <c r="E217" s="12"/>
      <c r="F217" s="12"/>
      <c r="G217" s="12"/>
      <c r="H217" s="24" t="str">
        <f aca="false">IF(OR(B217="",D217="",E217=""),"",IFERROR(IF(AND(D217="Poshmark",E217&lt;Settings!$B$20),Settings!$B$21,(E217+IF(INDEX(Settings!$E$4:$E$11,MATCH($D217,Settings!$A$4:$A$11,0))="Y",N(F217),0))*(INDEX(Settings!$B$4:$B$11,MATCH($D217,Settings!$A$4:$A$11,0))+INDEX(Settings!$D$4:$D$11,MATCH($D217,Settings!$A$4:$A$11,0)))+INDEX(Settings!$C$4:$C$11,MATCH($D217,Settings!$A$4:$A$11,0))),0))</f>
        <v/>
      </c>
      <c r="I217" s="12"/>
      <c r="J217" s="12"/>
      <c r="K217" s="24" t="str">
        <f aca="false">IF($B217="","",IFERROR(INDEX(Inventory!$J$4:$J$503,MATCH($B217,Inventory!$A$4:$A$503,0)),0))</f>
        <v/>
      </c>
      <c r="L217" s="24" t="str">
        <f aca="false">IF(OR(B217="",E217=""),"",E217+N(F217)-N(G217)-N(H217)-N(J217)-N(K217))</f>
        <v/>
      </c>
      <c r="M217" s="28" t="str">
        <f aca="false">IF(OR(L217="",N(K217)=0),"",L217/K217)</f>
        <v/>
      </c>
      <c r="N217" s="25" t="str">
        <f aca="false">IF(OR(A217="",B217=""),"",IFERROR(A217-INDEX(Inventory!$B$4:$B$503,MATCH($B217,Inventory!$A$4:$A$503,0)),""))</f>
        <v/>
      </c>
      <c r="O217" s="27" t="str">
        <f aca="false">IF($B217="","",IFERROR(INDEX(Inventory!$F$4:$F$503,MATCH($B217,Inventory!$A$4:$A$503,0)),""))</f>
        <v/>
      </c>
      <c r="P217" s="27" t="str">
        <f aca="false">IF($B217="","",IFERROR(INDEX(Inventory!$C$4:$C$503,MATCH($B217,Inventory!$A$4:$A$503,0)),""))</f>
        <v/>
      </c>
    </row>
    <row r="218" customFormat="false" ht="15" hidden="false" customHeight="false" outlineLevel="0" collapsed="false">
      <c r="A218" s="19"/>
      <c r="B218" s="10"/>
      <c r="C218" s="23" t="str">
        <f aca="false">IF($B218="","",IFERROR(INDEX(Inventory!$E$4:$E$503,MATCH($B218,Inventory!$A$4:$A$503,0)),"SKU not found"))</f>
        <v/>
      </c>
      <c r="D218" s="10"/>
      <c r="E218" s="12"/>
      <c r="F218" s="12"/>
      <c r="G218" s="12"/>
      <c r="H218" s="24" t="str">
        <f aca="false">IF(OR(B218="",D218="",E218=""),"",IFERROR(IF(AND(D218="Poshmark",E218&lt;Settings!$B$20),Settings!$B$21,(E218+IF(INDEX(Settings!$E$4:$E$11,MATCH($D218,Settings!$A$4:$A$11,0))="Y",N(F218),0))*(INDEX(Settings!$B$4:$B$11,MATCH($D218,Settings!$A$4:$A$11,0))+INDEX(Settings!$D$4:$D$11,MATCH($D218,Settings!$A$4:$A$11,0)))+INDEX(Settings!$C$4:$C$11,MATCH($D218,Settings!$A$4:$A$11,0))),0))</f>
        <v/>
      </c>
      <c r="I218" s="12"/>
      <c r="J218" s="12"/>
      <c r="K218" s="24" t="str">
        <f aca="false">IF($B218="","",IFERROR(INDEX(Inventory!$J$4:$J$503,MATCH($B218,Inventory!$A$4:$A$503,0)),0))</f>
        <v/>
      </c>
      <c r="L218" s="24" t="str">
        <f aca="false">IF(OR(B218="",E218=""),"",E218+N(F218)-N(G218)-N(H218)-N(J218)-N(K218))</f>
        <v/>
      </c>
      <c r="M218" s="28" t="str">
        <f aca="false">IF(OR(L218="",N(K218)=0),"",L218/K218)</f>
        <v/>
      </c>
      <c r="N218" s="25" t="str">
        <f aca="false">IF(OR(A218="",B218=""),"",IFERROR(A218-INDEX(Inventory!$B$4:$B$503,MATCH($B218,Inventory!$A$4:$A$503,0)),""))</f>
        <v/>
      </c>
      <c r="O218" s="27" t="str">
        <f aca="false">IF($B218="","",IFERROR(INDEX(Inventory!$F$4:$F$503,MATCH($B218,Inventory!$A$4:$A$503,0)),""))</f>
        <v/>
      </c>
      <c r="P218" s="27" t="str">
        <f aca="false">IF($B218="","",IFERROR(INDEX(Inventory!$C$4:$C$503,MATCH($B218,Inventory!$A$4:$A$503,0)),""))</f>
        <v/>
      </c>
    </row>
    <row r="219" customFormat="false" ht="15" hidden="false" customHeight="false" outlineLevel="0" collapsed="false">
      <c r="A219" s="19"/>
      <c r="B219" s="10"/>
      <c r="C219" s="23" t="str">
        <f aca="false">IF($B219="","",IFERROR(INDEX(Inventory!$E$4:$E$503,MATCH($B219,Inventory!$A$4:$A$503,0)),"SKU not found"))</f>
        <v/>
      </c>
      <c r="D219" s="10"/>
      <c r="E219" s="12"/>
      <c r="F219" s="12"/>
      <c r="G219" s="12"/>
      <c r="H219" s="24" t="str">
        <f aca="false">IF(OR(B219="",D219="",E219=""),"",IFERROR(IF(AND(D219="Poshmark",E219&lt;Settings!$B$20),Settings!$B$21,(E219+IF(INDEX(Settings!$E$4:$E$11,MATCH($D219,Settings!$A$4:$A$11,0))="Y",N(F219),0))*(INDEX(Settings!$B$4:$B$11,MATCH($D219,Settings!$A$4:$A$11,0))+INDEX(Settings!$D$4:$D$11,MATCH($D219,Settings!$A$4:$A$11,0)))+INDEX(Settings!$C$4:$C$11,MATCH($D219,Settings!$A$4:$A$11,0))),0))</f>
        <v/>
      </c>
      <c r="I219" s="12"/>
      <c r="J219" s="12"/>
      <c r="K219" s="24" t="str">
        <f aca="false">IF($B219="","",IFERROR(INDEX(Inventory!$J$4:$J$503,MATCH($B219,Inventory!$A$4:$A$503,0)),0))</f>
        <v/>
      </c>
      <c r="L219" s="24" t="str">
        <f aca="false">IF(OR(B219="",E219=""),"",E219+N(F219)-N(G219)-N(H219)-N(J219)-N(K219))</f>
        <v/>
      </c>
      <c r="M219" s="28" t="str">
        <f aca="false">IF(OR(L219="",N(K219)=0),"",L219/K219)</f>
        <v/>
      </c>
      <c r="N219" s="25" t="str">
        <f aca="false">IF(OR(A219="",B219=""),"",IFERROR(A219-INDEX(Inventory!$B$4:$B$503,MATCH($B219,Inventory!$A$4:$A$503,0)),""))</f>
        <v/>
      </c>
      <c r="O219" s="27" t="str">
        <f aca="false">IF($B219="","",IFERROR(INDEX(Inventory!$F$4:$F$503,MATCH($B219,Inventory!$A$4:$A$503,0)),""))</f>
        <v/>
      </c>
      <c r="P219" s="27" t="str">
        <f aca="false">IF($B219="","",IFERROR(INDEX(Inventory!$C$4:$C$503,MATCH($B219,Inventory!$A$4:$A$503,0)),""))</f>
        <v/>
      </c>
    </row>
    <row r="220" customFormat="false" ht="15" hidden="false" customHeight="false" outlineLevel="0" collapsed="false">
      <c r="A220" s="19"/>
      <c r="B220" s="10"/>
      <c r="C220" s="23" t="str">
        <f aca="false">IF($B220="","",IFERROR(INDEX(Inventory!$E$4:$E$503,MATCH($B220,Inventory!$A$4:$A$503,0)),"SKU not found"))</f>
        <v/>
      </c>
      <c r="D220" s="10"/>
      <c r="E220" s="12"/>
      <c r="F220" s="12"/>
      <c r="G220" s="12"/>
      <c r="H220" s="24" t="str">
        <f aca="false">IF(OR(B220="",D220="",E220=""),"",IFERROR(IF(AND(D220="Poshmark",E220&lt;Settings!$B$20),Settings!$B$21,(E220+IF(INDEX(Settings!$E$4:$E$11,MATCH($D220,Settings!$A$4:$A$11,0))="Y",N(F220),0))*(INDEX(Settings!$B$4:$B$11,MATCH($D220,Settings!$A$4:$A$11,0))+INDEX(Settings!$D$4:$D$11,MATCH($D220,Settings!$A$4:$A$11,0)))+INDEX(Settings!$C$4:$C$11,MATCH($D220,Settings!$A$4:$A$11,0))),0))</f>
        <v/>
      </c>
      <c r="I220" s="12"/>
      <c r="J220" s="12"/>
      <c r="K220" s="24" t="str">
        <f aca="false">IF($B220="","",IFERROR(INDEX(Inventory!$J$4:$J$503,MATCH($B220,Inventory!$A$4:$A$503,0)),0))</f>
        <v/>
      </c>
      <c r="L220" s="24" t="str">
        <f aca="false">IF(OR(B220="",E220=""),"",E220+N(F220)-N(G220)-N(H220)-N(J220)-N(K220))</f>
        <v/>
      </c>
      <c r="M220" s="28" t="str">
        <f aca="false">IF(OR(L220="",N(K220)=0),"",L220/K220)</f>
        <v/>
      </c>
      <c r="N220" s="25" t="str">
        <f aca="false">IF(OR(A220="",B220=""),"",IFERROR(A220-INDEX(Inventory!$B$4:$B$503,MATCH($B220,Inventory!$A$4:$A$503,0)),""))</f>
        <v/>
      </c>
      <c r="O220" s="27" t="str">
        <f aca="false">IF($B220="","",IFERROR(INDEX(Inventory!$F$4:$F$503,MATCH($B220,Inventory!$A$4:$A$503,0)),""))</f>
        <v/>
      </c>
      <c r="P220" s="27" t="str">
        <f aca="false">IF($B220="","",IFERROR(INDEX(Inventory!$C$4:$C$503,MATCH($B220,Inventory!$A$4:$A$503,0)),""))</f>
        <v/>
      </c>
    </row>
    <row r="221" customFormat="false" ht="15" hidden="false" customHeight="false" outlineLevel="0" collapsed="false">
      <c r="A221" s="19"/>
      <c r="B221" s="10"/>
      <c r="C221" s="23" t="str">
        <f aca="false">IF($B221="","",IFERROR(INDEX(Inventory!$E$4:$E$503,MATCH($B221,Inventory!$A$4:$A$503,0)),"SKU not found"))</f>
        <v/>
      </c>
      <c r="D221" s="10"/>
      <c r="E221" s="12"/>
      <c r="F221" s="12"/>
      <c r="G221" s="12"/>
      <c r="H221" s="24" t="str">
        <f aca="false">IF(OR(B221="",D221="",E221=""),"",IFERROR(IF(AND(D221="Poshmark",E221&lt;Settings!$B$20),Settings!$B$21,(E221+IF(INDEX(Settings!$E$4:$E$11,MATCH($D221,Settings!$A$4:$A$11,0))="Y",N(F221),0))*(INDEX(Settings!$B$4:$B$11,MATCH($D221,Settings!$A$4:$A$11,0))+INDEX(Settings!$D$4:$D$11,MATCH($D221,Settings!$A$4:$A$11,0)))+INDEX(Settings!$C$4:$C$11,MATCH($D221,Settings!$A$4:$A$11,0))),0))</f>
        <v/>
      </c>
      <c r="I221" s="12"/>
      <c r="J221" s="12"/>
      <c r="K221" s="24" t="str">
        <f aca="false">IF($B221="","",IFERROR(INDEX(Inventory!$J$4:$J$503,MATCH($B221,Inventory!$A$4:$A$503,0)),0))</f>
        <v/>
      </c>
      <c r="L221" s="24" t="str">
        <f aca="false">IF(OR(B221="",E221=""),"",E221+N(F221)-N(G221)-N(H221)-N(J221)-N(K221))</f>
        <v/>
      </c>
      <c r="M221" s="28" t="str">
        <f aca="false">IF(OR(L221="",N(K221)=0),"",L221/K221)</f>
        <v/>
      </c>
      <c r="N221" s="25" t="str">
        <f aca="false">IF(OR(A221="",B221=""),"",IFERROR(A221-INDEX(Inventory!$B$4:$B$503,MATCH($B221,Inventory!$A$4:$A$503,0)),""))</f>
        <v/>
      </c>
      <c r="O221" s="27" t="str">
        <f aca="false">IF($B221="","",IFERROR(INDEX(Inventory!$F$4:$F$503,MATCH($B221,Inventory!$A$4:$A$503,0)),""))</f>
        <v/>
      </c>
      <c r="P221" s="27" t="str">
        <f aca="false">IF($B221="","",IFERROR(INDEX(Inventory!$C$4:$C$503,MATCH($B221,Inventory!$A$4:$A$503,0)),""))</f>
        <v/>
      </c>
    </row>
    <row r="222" customFormat="false" ht="15" hidden="false" customHeight="false" outlineLevel="0" collapsed="false">
      <c r="A222" s="19"/>
      <c r="B222" s="10"/>
      <c r="C222" s="23" t="str">
        <f aca="false">IF($B222="","",IFERROR(INDEX(Inventory!$E$4:$E$503,MATCH($B222,Inventory!$A$4:$A$503,0)),"SKU not found"))</f>
        <v/>
      </c>
      <c r="D222" s="10"/>
      <c r="E222" s="12"/>
      <c r="F222" s="12"/>
      <c r="G222" s="12"/>
      <c r="H222" s="24" t="str">
        <f aca="false">IF(OR(B222="",D222="",E222=""),"",IFERROR(IF(AND(D222="Poshmark",E222&lt;Settings!$B$20),Settings!$B$21,(E222+IF(INDEX(Settings!$E$4:$E$11,MATCH($D222,Settings!$A$4:$A$11,0))="Y",N(F222),0))*(INDEX(Settings!$B$4:$B$11,MATCH($D222,Settings!$A$4:$A$11,0))+INDEX(Settings!$D$4:$D$11,MATCH($D222,Settings!$A$4:$A$11,0)))+INDEX(Settings!$C$4:$C$11,MATCH($D222,Settings!$A$4:$A$11,0))),0))</f>
        <v/>
      </c>
      <c r="I222" s="12"/>
      <c r="J222" s="12"/>
      <c r="K222" s="24" t="str">
        <f aca="false">IF($B222="","",IFERROR(INDEX(Inventory!$J$4:$J$503,MATCH($B222,Inventory!$A$4:$A$503,0)),0))</f>
        <v/>
      </c>
      <c r="L222" s="24" t="str">
        <f aca="false">IF(OR(B222="",E222=""),"",E222+N(F222)-N(G222)-N(H222)-N(J222)-N(K222))</f>
        <v/>
      </c>
      <c r="M222" s="28" t="str">
        <f aca="false">IF(OR(L222="",N(K222)=0),"",L222/K222)</f>
        <v/>
      </c>
      <c r="N222" s="25" t="str">
        <f aca="false">IF(OR(A222="",B222=""),"",IFERROR(A222-INDEX(Inventory!$B$4:$B$503,MATCH($B222,Inventory!$A$4:$A$503,0)),""))</f>
        <v/>
      </c>
      <c r="O222" s="27" t="str">
        <f aca="false">IF($B222="","",IFERROR(INDEX(Inventory!$F$4:$F$503,MATCH($B222,Inventory!$A$4:$A$503,0)),""))</f>
        <v/>
      </c>
      <c r="P222" s="27" t="str">
        <f aca="false">IF($B222="","",IFERROR(INDEX(Inventory!$C$4:$C$503,MATCH($B222,Inventory!$A$4:$A$503,0)),""))</f>
        <v/>
      </c>
    </row>
    <row r="223" customFormat="false" ht="15" hidden="false" customHeight="false" outlineLevel="0" collapsed="false">
      <c r="A223" s="19"/>
      <c r="B223" s="10"/>
      <c r="C223" s="23" t="str">
        <f aca="false">IF($B223="","",IFERROR(INDEX(Inventory!$E$4:$E$503,MATCH($B223,Inventory!$A$4:$A$503,0)),"SKU not found"))</f>
        <v/>
      </c>
      <c r="D223" s="10"/>
      <c r="E223" s="12"/>
      <c r="F223" s="12"/>
      <c r="G223" s="12"/>
      <c r="H223" s="24" t="str">
        <f aca="false">IF(OR(B223="",D223="",E223=""),"",IFERROR(IF(AND(D223="Poshmark",E223&lt;Settings!$B$20),Settings!$B$21,(E223+IF(INDEX(Settings!$E$4:$E$11,MATCH($D223,Settings!$A$4:$A$11,0))="Y",N(F223),0))*(INDEX(Settings!$B$4:$B$11,MATCH($D223,Settings!$A$4:$A$11,0))+INDEX(Settings!$D$4:$D$11,MATCH($D223,Settings!$A$4:$A$11,0)))+INDEX(Settings!$C$4:$C$11,MATCH($D223,Settings!$A$4:$A$11,0))),0))</f>
        <v/>
      </c>
      <c r="I223" s="12"/>
      <c r="J223" s="12"/>
      <c r="K223" s="24" t="str">
        <f aca="false">IF($B223="","",IFERROR(INDEX(Inventory!$J$4:$J$503,MATCH($B223,Inventory!$A$4:$A$503,0)),0))</f>
        <v/>
      </c>
      <c r="L223" s="24" t="str">
        <f aca="false">IF(OR(B223="",E223=""),"",E223+N(F223)-N(G223)-N(H223)-N(J223)-N(K223))</f>
        <v/>
      </c>
      <c r="M223" s="28" t="str">
        <f aca="false">IF(OR(L223="",N(K223)=0),"",L223/K223)</f>
        <v/>
      </c>
      <c r="N223" s="25" t="str">
        <f aca="false">IF(OR(A223="",B223=""),"",IFERROR(A223-INDEX(Inventory!$B$4:$B$503,MATCH($B223,Inventory!$A$4:$A$503,0)),""))</f>
        <v/>
      </c>
      <c r="O223" s="27" t="str">
        <f aca="false">IF($B223="","",IFERROR(INDEX(Inventory!$F$4:$F$503,MATCH($B223,Inventory!$A$4:$A$503,0)),""))</f>
        <v/>
      </c>
      <c r="P223" s="27" t="str">
        <f aca="false">IF($B223="","",IFERROR(INDEX(Inventory!$C$4:$C$503,MATCH($B223,Inventory!$A$4:$A$503,0)),""))</f>
        <v/>
      </c>
    </row>
    <row r="224" customFormat="false" ht="15" hidden="false" customHeight="false" outlineLevel="0" collapsed="false">
      <c r="A224" s="19"/>
      <c r="B224" s="10"/>
      <c r="C224" s="23" t="str">
        <f aca="false">IF($B224="","",IFERROR(INDEX(Inventory!$E$4:$E$503,MATCH($B224,Inventory!$A$4:$A$503,0)),"SKU not found"))</f>
        <v/>
      </c>
      <c r="D224" s="10"/>
      <c r="E224" s="12"/>
      <c r="F224" s="12"/>
      <c r="G224" s="12"/>
      <c r="H224" s="24" t="str">
        <f aca="false">IF(OR(B224="",D224="",E224=""),"",IFERROR(IF(AND(D224="Poshmark",E224&lt;Settings!$B$20),Settings!$B$21,(E224+IF(INDEX(Settings!$E$4:$E$11,MATCH($D224,Settings!$A$4:$A$11,0))="Y",N(F224),0))*(INDEX(Settings!$B$4:$B$11,MATCH($D224,Settings!$A$4:$A$11,0))+INDEX(Settings!$D$4:$D$11,MATCH($D224,Settings!$A$4:$A$11,0)))+INDEX(Settings!$C$4:$C$11,MATCH($D224,Settings!$A$4:$A$11,0))),0))</f>
        <v/>
      </c>
      <c r="I224" s="12"/>
      <c r="J224" s="12"/>
      <c r="K224" s="24" t="str">
        <f aca="false">IF($B224="","",IFERROR(INDEX(Inventory!$J$4:$J$503,MATCH($B224,Inventory!$A$4:$A$503,0)),0))</f>
        <v/>
      </c>
      <c r="L224" s="24" t="str">
        <f aca="false">IF(OR(B224="",E224=""),"",E224+N(F224)-N(G224)-N(H224)-N(J224)-N(K224))</f>
        <v/>
      </c>
      <c r="M224" s="28" t="str">
        <f aca="false">IF(OR(L224="",N(K224)=0),"",L224/K224)</f>
        <v/>
      </c>
      <c r="N224" s="25" t="str">
        <f aca="false">IF(OR(A224="",B224=""),"",IFERROR(A224-INDEX(Inventory!$B$4:$B$503,MATCH($B224,Inventory!$A$4:$A$503,0)),""))</f>
        <v/>
      </c>
      <c r="O224" s="27" t="str">
        <f aca="false">IF($B224="","",IFERROR(INDEX(Inventory!$F$4:$F$503,MATCH($B224,Inventory!$A$4:$A$503,0)),""))</f>
        <v/>
      </c>
      <c r="P224" s="27" t="str">
        <f aca="false">IF($B224="","",IFERROR(INDEX(Inventory!$C$4:$C$503,MATCH($B224,Inventory!$A$4:$A$503,0)),""))</f>
        <v/>
      </c>
    </row>
    <row r="225" customFormat="false" ht="15" hidden="false" customHeight="false" outlineLevel="0" collapsed="false">
      <c r="A225" s="19"/>
      <c r="B225" s="10"/>
      <c r="C225" s="23" t="str">
        <f aca="false">IF($B225="","",IFERROR(INDEX(Inventory!$E$4:$E$503,MATCH($B225,Inventory!$A$4:$A$503,0)),"SKU not found"))</f>
        <v/>
      </c>
      <c r="D225" s="10"/>
      <c r="E225" s="12"/>
      <c r="F225" s="12"/>
      <c r="G225" s="12"/>
      <c r="H225" s="24" t="str">
        <f aca="false">IF(OR(B225="",D225="",E225=""),"",IFERROR(IF(AND(D225="Poshmark",E225&lt;Settings!$B$20),Settings!$B$21,(E225+IF(INDEX(Settings!$E$4:$E$11,MATCH($D225,Settings!$A$4:$A$11,0))="Y",N(F225),0))*(INDEX(Settings!$B$4:$B$11,MATCH($D225,Settings!$A$4:$A$11,0))+INDEX(Settings!$D$4:$D$11,MATCH($D225,Settings!$A$4:$A$11,0)))+INDEX(Settings!$C$4:$C$11,MATCH($D225,Settings!$A$4:$A$11,0))),0))</f>
        <v/>
      </c>
      <c r="I225" s="12"/>
      <c r="J225" s="12"/>
      <c r="K225" s="24" t="str">
        <f aca="false">IF($B225="","",IFERROR(INDEX(Inventory!$J$4:$J$503,MATCH($B225,Inventory!$A$4:$A$503,0)),0))</f>
        <v/>
      </c>
      <c r="L225" s="24" t="str">
        <f aca="false">IF(OR(B225="",E225=""),"",E225+N(F225)-N(G225)-N(H225)-N(J225)-N(K225))</f>
        <v/>
      </c>
      <c r="M225" s="28" t="str">
        <f aca="false">IF(OR(L225="",N(K225)=0),"",L225/K225)</f>
        <v/>
      </c>
      <c r="N225" s="25" t="str">
        <f aca="false">IF(OR(A225="",B225=""),"",IFERROR(A225-INDEX(Inventory!$B$4:$B$503,MATCH($B225,Inventory!$A$4:$A$503,0)),""))</f>
        <v/>
      </c>
      <c r="O225" s="27" t="str">
        <f aca="false">IF($B225="","",IFERROR(INDEX(Inventory!$F$4:$F$503,MATCH($B225,Inventory!$A$4:$A$503,0)),""))</f>
        <v/>
      </c>
      <c r="P225" s="27" t="str">
        <f aca="false">IF($B225="","",IFERROR(INDEX(Inventory!$C$4:$C$503,MATCH($B225,Inventory!$A$4:$A$503,0)),""))</f>
        <v/>
      </c>
    </row>
    <row r="226" customFormat="false" ht="15" hidden="false" customHeight="false" outlineLevel="0" collapsed="false">
      <c r="A226" s="19"/>
      <c r="B226" s="10"/>
      <c r="C226" s="23" t="str">
        <f aca="false">IF($B226="","",IFERROR(INDEX(Inventory!$E$4:$E$503,MATCH($B226,Inventory!$A$4:$A$503,0)),"SKU not found"))</f>
        <v/>
      </c>
      <c r="D226" s="10"/>
      <c r="E226" s="12"/>
      <c r="F226" s="12"/>
      <c r="G226" s="12"/>
      <c r="H226" s="24" t="str">
        <f aca="false">IF(OR(B226="",D226="",E226=""),"",IFERROR(IF(AND(D226="Poshmark",E226&lt;Settings!$B$20),Settings!$B$21,(E226+IF(INDEX(Settings!$E$4:$E$11,MATCH($D226,Settings!$A$4:$A$11,0))="Y",N(F226),0))*(INDEX(Settings!$B$4:$B$11,MATCH($D226,Settings!$A$4:$A$11,0))+INDEX(Settings!$D$4:$D$11,MATCH($D226,Settings!$A$4:$A$11,0)))+INDEX(Settings!$C$4:$C$11,MATCH($D226,Settings!$A$4:$A$11,0))),0))</f>
        <v/>
      </c>
      <c r="I226" s="12"/>
      <c r="J226" s="12"/>
      <c r="K226" s="24" t="str">
        <f aca="false">IF($B226="","",IFERROR(INDEX(Inventory!$J$4:$J$503,MATCH($B226,Inventory!$A$4:$A$503,0)),0))</f>
        <v/>
      </c>
      <c r="L226" s="24" t="str">
        <f aca="false">IF(OR(B226="",E226=""),"",E226+N(F226)-N(G226)-N(H226)-N(J226)-N(K226))</f>
        <v/>
      </c>
      <c r="M226" s="28" t="str">
        <f aca="false">IF(OR(L226="",N(K226)=0),"",L226/K226)</f>
        <v/>
      </c>
      <c r="N226" s="25" t="str">
        <f aca="false">IF(OR(A226="",B226=""),"",IFERROR(A226-INDEX(Inventory!$B$4:$B$503,MATCH($B226,Inventory!$A$4:$A$503,0)),""))</f>
        <v/>
      </c>
      <c r="O226" s="27" t="str">
        <f aca="false">IF($B226="","",IFERROR(INDEX(Inventory!$F$4:$F$503,MATCH($B226,Inventory!$A$4:$A$503,0)),""))</f>
        <v/>
      </c>
      <c r="P226" s="27" t="str">
        <f aca="false">IF($B226="","",IFERROR(INDEX(Inventory!$C$4:$C$503,MATCH($B226,Inventory!$A$4:$A$503,0)),""))</f>
        <v/>
      </c>
    </row>
    <row r="227" customFormat="false" ht="15" hidden="false" customHeight="false" outlineLevel="0" collapsed="false">
      <c r="A227" s="19"/>
      <c r="B227" s="10"/>
      <c r="C227" s="23" t="str">
        <f aca="false">IF($B227="","",IFERROR(INDEX(Inventory!$E$4:$E$503,MATCH($B227,Inventory!$A$4:$A$503,0)),"SKU not found"))</f>
        <v/>
      </c>
      <c r="D227" s="10"/>
      <c r="E227" s="12"/>
      <c r="F227" s="12"/>
      <c r="G227" s="12"/>
      <c r="H227" s="24" t="str">
        <f aca="false">IF(OR(B227="",D227="",E227=""),"",IFERROR(IF(AND(D227="Poshmark",E227&lt;Settings!$B$20),Settings!$B$21,(E227+IF(INDEX(Settings!$E$4:$E$11,MATCH($D227,Settings!$A$4:$A$11,0))="Y",N(F227),0))*(INDEX(Settings!$B$4:$B$11,MATCH($D227,Settings!$A$4:$A$11,0))+INDEX(Settings!$D$4:$D$11,MATCH($D227,Settings!$A$4:$A$11,0)))+INDEX(Settings!$C$4:$C$11,MATCH($D227,Settings!$A$4:$A$11,0))),0))</f>
        <v/>
      </c>
      <c r="I227" s="12"/>
      <c r="J227" s="12"/>
      <c r="K227" s="24" t="str">
        <f aca="false">IF($B227="","",IFERROR(INDEX(Inventory!$J$4:$J$503,MATCH($B227,Inventory!$A$4:$A$503,0)),0))</f>
        <v/>
      </c>
      <c r="L227" s="24" t="str">
        <f aca="false">IF(OR(B227="",E227=""),"",E227+N(F227)-N(G227)-N(H227)-N(J227)-N(K227))</f>
        <v/>
      </c>
      <c r="M227" s="28" t="str">
        <f aca="false">IF(OR(L227="",N(K227)=0),"",L227/K227)</f>
        <v/>
      </c>
      <c r="N227" s="25" t="str">
        <f aca="false">IF(OR(A227="",B227=""),"",IFERROR(A227-INDEX(Inventory!$B$4:$B$503,MATCH($B227,Inventory!$A$4:$A$503,0)),""))</f>
        <v/>
      </c>
      <c r="O227" s="27" t="str">
        <f aca="false">IF($B227="","",IFERROR(INDEX(Inventory!$F$4:$F$503,MATCH($B227,Inventory!$A$4:$A$503,0)),""))</f>
        <v/>
      </c>
      <c r="P227" s="27" t="str">
        <f aca="false">IF($B227="","",IFERROR(INDEX(Inventory!$C$4:$C$503,MATCH($B227,Inventory!$A$4:$A$503,0)),""))</f>
        <v/>
      </c>
    </row>
    <row r="228" customFormat="false" ht="15" hidden="false" customHeight="false" outlineLevel="0" collapsed="false">
      <c r="A228" s="19"/>
      <c r="B228" s="10"/>
      <c r="C228" s="23" t="str">
        <f aca="false">IF($B228="","",IFERROR(INDEX(Inventory!$E$4:$E$503,MATCH($B228,Inventory!$A$4:$A$503,0)),"SKU not found"))</f>
        <v/>
      </c>
      <c r="D228" s="10"/>
      <c r="E228" s="12"/>
      <c r="F228" s="12"/>
      <c r="G228" s="12"/>
      <c r="H228" s="24" t="str">
        <f aca="false">IF(OR(B228="",D228="",E228=""),"",IFERROR(IF(AND(D228="Poshmark",E228&lt;Settings!$B$20),Settings!$B$21,(E228+IF(INDEX(Settings!$E$4:$E$11,MATCH($D228,Settings!$A$4:$A$11,0))="Y",N(F228),0))*(INDEX(Settings!$B$4:$B$11,MATCH($D228,Settings!$A$4:$A$11,0))+INDEX(Settings!$D$4:$D$11,MATCH($D228,Settings!$A$4:$A$11,0)))+INDEX(Settings!$C$4:$C$11,MATCH($D228,Settings!$A$4:$A$11,0))),0))</f>
        <v/>
      </c>
      <c r="I228" s="12"/>
      <c r="J228" s="12"/>
      <c r="K228" s="24" t="str">
        <f aca="false">IF($B228="","",IFERROR(INDEX(Inventory!$J$4:$J$503,MATCH($B228,Inventory!$A$4:$A$503,0)),0))</f>
        <v/>
      </c>
      <c r="L228" s="24" t="str">
        <f aca="false">IF(OR(B228="",E228=""),"",E228+N(F228)-N(G228)-N(H228)-N(J228)-N(K228))</f>
        <v/>
      </c>
      <c r="M228" s="28" t="str">
        <f aca="false">IF(OR(L228="",N(K228)=0),"",L228/K228)</f>
        <v/>
      </c>
      <c r="N228" s="25" t="str">
        <f aca="false">IF(OR(A228="",B228=""),"",IFERROR(A228-INDEX(Inventory!$B$4:$B$503,MATCH($B228,Inventory!$A$4:$A$503,0)),""))</f>
        <v/>
      </c>
      <c r="O228" s="27" t="str">
        <f aca="false">IF($B228="","",IFERROR(INDEX(Inventory!$F$4:$F$503,MATCH($B228,Inventory!$A$4:$A$503,0)),""))</f>
        <v/>
      </c>
      <c r="P228" s="27" t="str">
        <f aca="false">IF($B228="","",IFERROR(INDEX(Inventory!$C$4:$C$503,MATCH($B228,Inventory!$A$4:$A$503,0)),""))</f>
        <v/>
      </c>
    </row>
    <row r="229" customFormat="false" ht="15" hidden="false" customHeight="false" outlineLevel="0" collapsed="false">
      <c r="A229" s="19"/>
      <c r="B229" s="10"/>
      <c r="C229" s="23" t="str">
        <f aca="false">IF($B229="","",IFERROR(INDEX(Inventory!$E$4:$E$503,MATCH($B229,Inventory!$A$4:$A$503,0)),"SKU not found"))</f>
        <v/>
      </c>
      <c r="D229" s="10"/>
      <c r="E229" s="12"/>
      <c r="F229" s="12"/>
      <c r="G229" s="12"/>
      <c r="H229" s="24" t="str">
        <f aca="false">IF(OR(B229="",D229="",E229=""),"",IFERROR(IF(AND(D229="Poshmark",E229&lt;Settings!$B$20),Settings!$B$21,(E229+IF(INDEX(Settings!$E$4:$E$11,MATCH($D229,Settings!$A$4:$A$11,0))="Y",N(F229),0))*(INDEX(Settings!$B$4:$B$11,MATCH($D229,Settings!$A$4:$A$11,0))+INDEX(Settings!$D$4:$D$11,MATCH($D229,Settings!$A$4:$A$11,0)))+INDEX(Settings!$C$4:$C$11,MATCH($D229,Settings!$A$4:$A$11,0))),0))</f>
        <v/>
      </c>
      <c r="I229" s="12"/>
      <c r="J229" s="12"/>
      <c r="K229" s="24" t="str">
        <f aca="false">IF($B229="","",IFERROR(INDEX(Inventory!$J$4:$J$503,MATCH($B229,Inventory!$A$4:$A$503,0)),0))</f>
        <v/>
      </c>
      <c r="L229" s="24" t="str">
        <f aca="false">IF(OR(B229="",E229=""),"",E229+N(F229)-N(G229)-N(H229)-N(J229)-N(K229))</f>
        <v/>
      </c>
      <c r="M229" s="28" t="str">
        <f aca="false">IF(OR(L229="",N(K229)=0),"",L229/K229)</f>
        <v/>
      </c>
      <c r="N229" s="25" t="str">
        <f aca="false">IF(OR(A229="",B229=""),"",IFERROR(A229-INDEX(Inventory!$B$4:$B$503,MATCH($B229,Inventory!$A$4:$A$503,0)),""))</f>
        <v/>
      </c>
      <c r="O229" s="27" t="str">
        <f aca="false">IF($B229="","",IFERROR(INDEX(Inventory!$F$4:$F$503,MATCH($B229,Inventory!$A$4:$A$503,0)),""))</f>
        <v/>
      </c>
      <c r="P229" s="27" t="str">
        <f aca="false">IF($B229="","",IFERROR(INDEX(Inventory!$C$4:$C$503,MATCH($B229,Inventory!$A$4:$A$503,0)),""))</f>
        <v/>
      </c>
    </row>
    <row r="230" customFormat="false" ht="15" hidden="false" customHeight="false" outlineLevel="0" collapsed="false">
      <c r="A230" s="19"/>
      <c r="B230" s="10"/>
      <c r="C230" s="23" t="str">
        <f aca="false">IF($B230="","",IFERROR(INDEX(Inventory!$E$4:$E$503,MATCH($B230,Inventory!$A$4:$A$503,0)),"SKU not found"))</f>
        <v/>
      </c>
      <c r="D230" s="10"/>
      <c r="E230" s="12"/>
      <c r="F230" s="12"/>
      <c r="G230" s="12"/>
      <c r="H230" s="24" t="str">
        <f aca="false">IF(OR(B230="",D230="",E230=""),"",IFERROR(IF(AND(D230="Poshmark",E230&lt;Settings!$B$20),Settings!$B$21,(E230+IF(INDEX(Settings!$E$4:$E$11,MATCH($D230,Settings!$A$4:$A$11,0))="Y",N(F230),0))*(INDEX(Settings!$B$4:$B$11,MATCH($D230,Settings!$A$4:$A$11,0))+INDEX(Settings!$D$4:$D$11,MATCH($D230,Settings!$A$4:$A$11,0)))+INDEX(Settings!$C$4:$C$11,MATCH($D230,Settings!$A$4:$A$11,0))),0))</f>
        <v/>
      </c>
      <c r="I230" s="12"/>
      <c r="J230" s="12"/>
      <c r="K230" s="24" t="str">
        <f aca="false">IF($B230="","",IFERROR(INDEX(Inventory!$J$4:$J$503,MATCH($B230,Inventory!$A$4:$A$503,0)),0))</f>
        <v/>
      </c>
      <c r="L230" s="24" t="str">
        <f aca="false">IF(OR(B230="",E230=""),"",E230+N(F230)-N(G230)-N(H230)-N(J230)-N(K230))</f>
        <v/>
      </c>
      <c r="M230" s="28" t="str">
        <f aca="false">IF(OR(L230="",N(K230)=0),"",L230/K230)</f>
        <v/>
      </c>
      <c r="N230" s="25" t="str">
        <f aca="false">IF(OR(A230="",B230=""),"",IFERROR(A230-INDEX(Inventory!$B$4:$B$503,MATCH($B230,Inventory!$A$4:$A$503,0)),""))</f>
        <v/>
      </c>
      <c r="O230" s="27" t="str">
        <f aca="false">IF($B230="","",IFERROR(INDEX(Inventory!$F$4:$F$503,MATCH($B230,Inventory!$A$4:$A$503,0)),""))</f>
        <v/>
      </c>
      <c r="P230" s="27" t="str">
        <f aca="false">IF($B230="","",IFERROR(INDEX(Inventory!$C$4:$C$503,MATCH($B230,Inventory!$A$4:$A$503,0)),""))</f>
        <v/>
      </c>
    </row>
    <row r="231" customFormat="false" ht="15" hidden="false" customHeight="false" outlineLevel="0" collapsed="false">
      <c r="A231" s="19"/>
      <c r="B231" s="10"/>
      <c r="C231" s="23" t="str">
        <f aca="false">IF($B231="","",IFERROR(INDEX(Inventory!$E$4:$E$503,MATCH($B231,Inventory!$A$4:$A$503,0)),"SKU not found"))</f>
        <v/>
      </c>
      <c r="D231" s="10"/>
      <c r="E231" s="12"/>
      <c r="F231" s="12"/>
      <c r="G231" s="12"/>
      <c r="H231" s="24" t="str">
        <f aca="false">IF(OR(B231="",D231="",E231=""),"",IFERROR(IF(AND(D231="Poshmark",E231&lt;Settings!$B$20),Settings!$B$21,(E231+IF(INDEX(Settings!$E$4:$E$11,MATCH($D231,Settings!$A$4:$A$11,0))="Y",N(F231),0))*(INDEX(Settings!$B$4:$B$11,MATCH($D231,Settings!$A$4:$A$11,0))+INDEX(Settings!$D$4:$D$11,MATCH($D231,Settings!$A$4:$A$11,0)))+INDEX(Settings!$C$4:$C$11,MATCH($D231,Settings!$A$4:$A$11,0))),0))</f>
        <v/>
      </c>
      <c r="I231" s="12"/>
      <c r="J231" s="12"/>
      <c r="K231" s="24" t="str">
        <f aca="false">IF($B231="","",IFERROR(INDEX(Inventory!$J$4:$J$503,MATCH($B231,Inventory!$A$4:$A$503,0)),0))</f>
        <v/>
      </c>
      <c r="L231" s="24" t="str">
        <f aca="false">IF(OR(B231="",E231=""),"",E231+N(F231)-N(G231)-N(H231)-N(J231)-N(K231))</f>
        <v/>
      </c>
      <c r="M231" s="28" t="str">
        <f aca="false">IF(OR(L231="",N(K231)=0),"",L231/K231)</f>
        <v/>
      </c>
      <c r="N231" s="25" t="str">
        <f aca="false">IF(OR(A231="",B231=""),"",IFERROR(A231-INDEX(Inventory!$B$4:$B$503,MATCH($B231,Inventory!$A$4:$A$503,0)),""))</f>
        <v/>
      </c>
      <c r="O231" s="27" t="str">
        <f aca="false">IF($B231="","",IFERROR(INDEX(Inventory!$F$4:$F$503,MATCH($B231,Inventory!$A$4:$A$503,0)),""))</f>
        <v/>
      </c>
      <c r="P231" s="27" t="str">
        <f aca="false">IF($B231="","",IFERROR(INDEX(Inventory!$C$4:$C$503,MATCH($B231,Inventory!$A$4:$A$503,0)),""))</f>
        <v/>
      </c>
    </row>
    <row r="232" customFormat="false" ht="15" hidden="false" customHeight="false" outlineLevel="0" collapsed="false">
      <c r="A232" s="19"/>
      <c r="B232" s="10"/>
      <c r="C232" s="23" t="str">
        <f aca="false">IF($B232="","",IFERROR(INDEX(Inventory!$E$4:$E$503,MATCH($B232,Inventory!$A$4:$A$503,0)),"SKU not found"))</f>
        <v/>
      </c>
      <c r="D232" s="10"/>
      <c r="E232" s="12"/>
      <c r="F232" s="12"/>
      <c r="G232" s="12"/>
      <c r="H232" s="24" t="str">
        <f aca="false">IF(OR(B232="",D232="",E232=""),"",IFERROR(IF(AND(D232="Poshmark",E232&lt;Settings!$B$20),Settings!$B$21,(E232+IF(INDEX(Settings!$E$4:$E$11,MATCH($D232,Settings!$A$4:$A$11,0))="Y",N(F232),0))*(INDEX(Settings!$B$4:$B$11,MATCH($D232,Settings!$A$4:$A$11,0))+INDEX(Settings!$D$4:$D$11,MATCH($D232,Settings!$A$4:$A$11,0)))+INDEX(Settings!$C$4:$C$11,MATCH($D232,Settings!$A$4:$A$11,0))),0))</f>
        <v/>
      </c>
      <c r="I232" s="12"/>
      <c r="J232" s="12"/>
      <c r="K232" s="24" t="str">
        <f aca="false">IF($B232="","",IFERROR(INDEX(Inventory!$J$4:$J$503,MATCH($B232,Inventory!$A$4:$A$503,0)),0))</f>
        <v/>
      </c>
      <c r="L232" s="24" t="str">
        <f aca="false">IF(OR(B232="",E232=""),"",E232+N(F232)-N(G232)-N(H232)-N(J232)-N(K232))</f>
        <v/>
      </c>
      <c r="M232" s="28" t="str">
        <f aca="false">IF(OR(L232="",N(K232)=0),"",L232/K232)</f>
        <v/>
      </c>
      <c r="N232" s="25" t="str">
        <f aca="false">IF(OR(A232="",B232=""),"",IFERROR(A232-INDEX(Inventory!$B$4:$B$503,MATCH($B232,Inventory!$A$4:$A$503,0)),""))</f>
        <v/>
      </c>
      <c r="O232" s="27" t="str">
        <f aca="false">IF($B232="","",IFERROR(INDEX(Inventory!$F$4:$F$503,MATCH($B232,Inventory!$A$4:$A$503,0)),""))</f>
        <v/>
      </c>
      <c r="P232" s="27" t="str">
        <f aca="false">IF($B232="","",IFERROR(INDEX(Inventory!$C$4:$C$503,MATCH($B232,Inventory!$A$4:$A$503,0)),""))</f>
        <v/>
      </c>
    </row>
    <row r="233" customFormat="false" ht="15" hidden="false" customHeight="false" outlineLevel="0" collapsed="false">
      <c r="A233" s="19"/>
      <c r="B233" s="10"/>
      <c r="C233" s="23" t="str">
        <f aca="false">IF($B233="","",IFERROR(INDEX(Inventory!$E$4:$E$503,MATCH($B233,Inventory!$A$4:$A$503,0)),"SKU not found"))</f>
        <v/>
      </c>
      <c r="D233" s="10"/>
      <c r="E233" s="12"/>
      <c r="F233" s="12"/>
      <c r="G233" s="12"/>
      <c r="H233" s="24" t="str">
        <f aca="false">IF(OR(B233="",D233="",E233=""),"",IFERROR(IF(AND(D233="Poshmark",E233&lt;Settings!$B$20),Settings!$B$21,(E233+IF(INDEX(Settings!$E$4:$E$11,MATCH($D233,Settings!$A$4:$A$11,0))="Y",N(F233),0))*(INDEX(Settings!$B$4:$B$11,MATCH($D233,Settings!$A$4:$A$11,0))+INDEX(Settings!$D$4:$D$11,MATCH($D233,Settings!$A$4:$A$11,0)))+INDEX(Settings!$C$4:$C$11,MATCH($D233,Settings!$A$4:$A$11,0))),0))</f>
        <v/>
      </c>
      <c r="I233" s="12"/>
      <c r="J233" s="12"/>
      <c r="K233" s="24" t="str">
        <f aca="false">IF($B233="","",IFERROR(INDEX(Inventory!$J$4:$J$503,MATCH($B233,Inventory!$A$4:$A$503,0)),0))</f>
        <v/>
      </c>
      <c r="L233" s="24" t="str">
        <f aca="false">IF(OR(B233="",E233=""),"",E233+N(F233)-N(G233)-N(H233)-N(J233)-N(K233))</f>
        <v/>
      </c>
      <c r="M233" s="28" t="str">
        <f aca="false">IF(OR(L233="",N(K233)=0),"",L233/K233)</f>
        <v/>
      </c>
      <c r="N233" s="25" t="str">
        <f aca="false">IF(OR(A233="",B233=""),"",IFERROR(A233-INDEX(Inventory!$B$4:$B$503,MATCH($B233,Inventory!$A$4:$A$503,0)),""))</f>
        <v/>
      </c>
      <c r="O233" s="27" t="str">
        <f aca="false">IF($B233="","",IFERROR(INDEX(Inventory!$F$4:$F$503,MATCH($B233,Inventory!$A$4:$A$503,0)),""))</f>
        <v/>
      </c>
      <c r="P233" s="27" t="str">
        <f aca="false">IF($B233="","",IFERROR(INDEX(Inventory!$C$4:$C$503,MATCH($B233,Inventory!$A$4:$A$503,0)),""))</f>
        <v/>
      </c>
    </row>
    <row r="234" customFormat="false" ht="15" hidden="false" customHeight="false" outlineLevel="0" collapsed="false">
      <c r="A234" s="19"/>
      <c r="B234" s="10"/>
      <c r="C234" s="23" t="str">
        <f aca="false">IF($B234="","",IFERROR(INDEX(Inventory!$E$4:$E$503,MATCH($B234,Inventory!$A$4:$A$503,0)),"SKU not found"))</f>
        <v/>
      </c>
      <c r="D234" s="10"/>
      <c r="E234" s="12"/>
      <c r="F234" s="12"/>
      <c r="G234" s="12"/>
      <c r="H234" s="24" t="str">
        <f aca="false">IF(OR(B234="",D234="",E234=""),"",IFERROR(IF(AND(D234="Poshmark",E234&lt;Settings!$B$20),Settings!$B$21,(E234+IF(INDEX(Settings!$E$4:$E$11,MATCH($D234,Settings!$A$4:$A$11,0))="Y",N(F234),0))*(INDEX(Settings!$B$4:$B$11,MATCH($D234,Settings!$A$4:$A$11,0))+INDEX(Settings!$D$4:$D$11,MATCH($D234,Settings!$A$4:$A$11,0)))+INDEX(Settings!$C$4:$C$11,MATCH($D234,Settings!$A$4:$A$11,0))),0))</f>
        <v/>
      </c>
      <c r="I234" s="12"/>
      <c r="J234" s="12"/>
      <c r="K234" s="24" t="str">
        <f aca="false">IF($B234="","",IFERROR(INDEX(Inventory!$J$4:$J$503,MATCH($B234,Inventory!$A$4:$A$503,0)),0))</f>
        <v/>
      </c>
      <c r="L234" s="24" t="str">
        <f aca="false">IF(OR(B234="",E234=""),"",E234+N(F234)-N(G234)-N(H234)-N(J234)-N(K234))</f>
        <v/>
      </c>
      <c r="M234" s="28" t="str">
        <f aca="false">IF(OR(L234="",N(K234)=0),"",L234/K234)</f>
        <v/>
      </c>
      <c r="N234" s="25" t="str">
        <f aca="false">IF(OR(A234="",B234=""),"",IFERROR(A234-INDEX(Inventory!$B$4:$B$503,MATCH($B234,Inventory!$A$4:$A$503,0)),""))</f>
        <v/>
      </c>
      <c r="O234" s="27" t="str">
        <f aca="false">IF($B234="","",IFERROR(INDEX(Inventory!$F$4:$F$503,MATCH($B234,Inventory!$A$4:$A$503,0)),""))</f>
        <v/>
      </c>
      <c r="P234" s="27" t="str">
        <f aca="false">IF($B234="","",IFERROR(INDEX(Inventory!$C$4:$C$503,MATCH($B234,Inventory!$A$4:$A$503,0)),""))</f>
        <v/>
      </c>
    </row>
    <row r="235" customFormat="false" ht="15" hidden="false" customHeight="false" outlineLevel="0" collapsed="false">
      <c r="A235" s="19"/>
      <c r="B235" s="10"/>
      <c r="C235" s="23" t="str">
        <f aca="false">IF($B235="","",IFERROR(INDEX(Inventory!$E$4:$E$503,MATCH($B235,Inventory!$A$4:$A$503,0)),"SKU not found"))</f>
        <v/>
      </c>
      <c r="D235" s="10"/>
      <c r="E235" s="12"/>
      <c r="F235" s="12"/>
      <c r="G235" s="12"/>
      <c r="H235" s="24" t="str">
        <f aca="false">IF(OR(B235="",D235="",E235=""),"",IFERROR(IF(AND(D235="Poshmark",E235&lt;Settings!$B$20),Settings!$B$21,(E235+IF(INDEX(Settings!$E$4:$E$11,MATCH($D235,Settings!$A$4:$A$11,0))="Y",N(F235),0))*(INDEX(Settings!$B$4:$B$11,MATCH($D235,Settings!$A$4:$A$11,0))+INDEX(Settings!$D$4:$D$11,MATCH($D235,Settings!$A$4:$A$11,0)))+INDEX(Settings!$C$4:$C$11,MATCH($D235,Settings!$A$4:$A$11,0))),0))</f>
        <v/>
      </c>
      <c r="I235" s="12"/>
      <c r="J235" s="12"/>
      <c r="K235" s="24" t="str">
        <f aca="false">IF($B235="","",IFERROR(INDEX(Inventory!$J$4:$J$503,MATCH($B235,Inventory!$A$4:$A$503,0)),0))</f>
        <v/>
      </c>
      <c r="L235" s="24" t="str">
        <f aca="false">IF(OR(B235="",E235=""),"",E235+N(F235)-N(G235)-N(H235)-N(J235)-N(K235))</f>
        <v/>
      </c>
      <c r="M235" s="28" t="str">
        <f aca="false">IF(OR(L235="",N(K235)=0),"",L235/K235)</f>
        <v/>
      </c>
      <c r="N235" s="25" t="str">
        <f aca="false">IF(OR(A235="",B235=""),"",IFERROR(A235-INDEX(Inventory!$B$4:$B$503,MATCH($B235,Inventory!$A$4:$A$503,0)),""))</f>
        <v/>
      </c>
      <c r="O235" s="27" t="str">
        <f aca="false">IF($B235="","",IFERROR(INDEX(Inventory!$F$4:$F$503,MATCH($B235,Inventory!$A$4:$A$503,0)),""))</f>
        <v/>
      </c>
      <c r="P235" s="27" t="str">
        <f aca="false">IF($B235="","",IFERROR(INDEX(Inventory!$C$4:$C$503,MATCH($B235,Inventory!$A$4:$A$503,0)),""))</f>
        <v/>
      </c>
    </row>
    <row r="236" customFormat="false" ht="15" hidden="false" customHeight="false" outlineLevel="0" collapsed="false">
      <c r="A236" s="19"/>
      <c r="B236" s="10"/>
      <c r="C236" s="23" t="str">
        <f aca="false">IF($B236="","",IFERROR(INDEX(Inventory!$E$4:$E$503,MATCH($B236,Inventory!$A$4:$A$503,0)),"SKU not found"))</f>
        <v/>
      </c>
      <c r="D236" s="10"/>
      <c r="E236" s="12"/>
      <c r="F236" s="12"/>
      <c r="G236" s="12"/>
      <c r="H236" s="24" t="str">
        <f aca="false">IF(OR(B236="",D236="",E236=""),"",IFERROR(IF(AND(D236="Poshmark",E236&lt;Settings!$B$20),Settings!$B$21,(E236+IF(INDEX(Settings!$E$4:$E$11,MATCH($D236,Settings!$A$4:$A$11,0))="Y",N(F236),0))*(INDEX(Settings!$B$4:$B$11,MATCH($D236,Settings!$A$4:$A$11,0))+INDEX(Settings!$D$4:$D$11,MATCH($D236,Settings!$A$4:$A$11,0)))+INDEX(Settings!$C$4:$C$11,MATCH($D236,Settings!$A$4:$A$11,0))),0))</f>
        <v/>
      </c>
      <c r="I236" s="12"/>
      <c r="J236" s="12"/>
      <c r="K236" s="24" t="str">
        <f aca="false">IF($B236="","",IFERROR(INDEX(Inventory!$J$4:$J$503,MATCH($B236,Inventory!$A$4:$A$503,0)),0))</f>
        <v/>
      </c>
      <c r="L236" s="24" t="str">
        <f aca="false">IF(OR(B236="",E236=""),"",E236+N(F236)-N(G236)-N(H236)-N(J236)-N(K236))</f>
        <v/>
      </c>
      <c r="M236" s="28" t="str">
        <f aca="false">IF(OR(L236="",N(K236)=0),"",L236/K236)</f>
        <v/>
      </c>
      <c r="N236" s="25" t="str">
        <f aca="false">IF(OR(A236="",B236=""),"",IFERROR(A236-INDEX(Inventory!$B$4:$B$503,MATCH($B236,Inventory!$A$4:$A$503,0)),""))</f>
        <v/>
      </c>
      <c r="O236" s="27" t="str">
        <f aca="false">IF($B236="","",IFERROR(INDEX(Inventory!$F$4:$F$503,MATCH($B236,Inventory!$A$4:$A$503,0)),""))</f>
        <v/>
      </c>
      <c r="P236" s="27" t="str">
        <f aca="false">IF($B236="","",IFERROR(INDEX(Inventory!$C$4:$C$503,MATCH($B236,Inventory!$A$4:$A$503,0)),""))</f>
        <v/>
      </c>
    </row>
    <row r="237" customFormat="false" ht="15" hidden="false" customHeight="false" outlineLevel="0" collapsed="false">
      <c r="A237" s="19"/>
      <c r="B237" s="10"/>
      <c r="C237" s="23" t="str">
        <f aca="false">IF($B237="","",IFERROR(INDEX(Inventory!$E$4:$E$503,MATCH($B237,Inventory!$A$4:$A$503,0)),"SKU not found"))</f>
        <v/>
      </c>
      <c r="D237" s="10"/>
      <c r="E237" s="12"/>
      <c r="F237" s="12"/>
      <c r="G237" s="12"/>
      <c r="H237" s="24" t="str">
        <f aca="false">IF(OR(B237="",D237="",E237=""),"",IFERROR(IF(AND(D237="Poshmark",E237&lt;Settings!$B$20),Settings!$B$21,(E237+IF(INDEX(Settings!$E$4:$E$11,MATCH($D237,Settings!$A$4:$A$11,0))="Y",N(F237),0))*(INDEX(Settings!$B$4:$B$11,MATCH($D237,Settings!$A$4:$A$11,0))+INDEX(Settings!$D$4:$D$11,MATCH($D237,Settings!$A$4:$A$11,0)))+INDEX(Settings!$C$4:$C$11,MATCH($D237,Settings!$A$4:$A$11,0))),0))</f>
        <v/>
      </c>
      <c r="I237" s="12"/>
      <c r="J237" s="12"/>
      <c r="K237" s="24" t="str">
        <f aca="false">IF($B237="","",IFERROR(INDEX(Inventory!$J$4:$J$503,MATCH($B237,Inventory!$A$4:$A$503,0)),0))</f>
        <v/>
      </c>
      <c r="L237" s="24" t="str">
        <f aca="false">IF(OR(B237="",E237=""),"",E237+N(F237)-N(G237)-N(H237)-N(J237)-N(K237))</f>
        <v/>
      </c>
      <c r="M237" s="28" t="str">
        <f aca="false">IF(OR(L237="",N(K237)=0),"",L237/K237)</f>
        <v/>
      </c>
      <c r="N237" s="25" t="str">
        <f aca="false">IF(OR(A237="",B237=""),"",IFERROR(A237-INDEX(Inventory!$B$4:$B$503,MATCH($B237,Inventory!$A$4:$A$503,0)),""))</f>
        <v/>
      </c>
      <c r="O237" s="27" t="str">
        <f aca="false">IF($B237="","",IFERROR(INDEX(Inventory!$F$4:$F$503,MATCH($B237,Inventory!$A$4:$A$503,0)),""))</f>
        <v/>
      </c>
      <c r="P237" s="27" t="str">
        <f aca="false">IF($B237="","",IFERROR(INDEX(Inventory!$C$4:$C$503,MATCH($B237,Inventory!$A$4:$A$503,0)),""))</f>
        <v/>
      </c>
    </row>
    <row r="238" customFormat="false" ht="15" hidden="false" customHeight="false" outlineLevel="0" collapsed="false">
      <c r="A238" s="19"/>
      <c r="B238" s="10"/>
      <c r="C238" s="23" t="str">
        <f aca="false">IF($B238="","",IFERROR(INDEX(Inventory!$E$4:$E$503,MATCH($B238,Inventory!$A$4:$A$503,0)),"SKU not found"))</f>
        <v/>
      </c>
      <c r="D238" s="10"/>
      <c r="E238" s="12"/>
      <c r="F238" s="12"/>
      <c r="G238" s="12"/>
      <c r="H238" s="24" t="str">
        <f aca="false">IF(OR(B238="",D238="",E238=""),"",IFERROR(IF(AND(D238="Poshmark",E238&lt;Settings!$B$20),Settings!$B$21,(E238+IF(INDEX(Settings!$E$4:$E$11,MATCH($D238,Settings!$A$4:$A$11,0))="Y",N(F238),0))*(INDEX(Settings!$B$4:$B$11,MATCH($D238,Settings!$A$4:$A$11,0))+INDEX(Settings!$D$4:$D$11,MATCH($D238,Settings!$A$4:$A$11,0)))+INDEX(Settings!$C$4:$C$11,MATCH($D238,Settings!$A$4:$A$11,0))),0))</f>
        <v/>
      </c>
      <c r="I238" s="12"/>
      <c r="J238" s="12"/>
      <c r="K238" s="24" t="str">
        <f aca="false">IF($B238="","",IFERROR(INDEX(Inventory!$J$4:$J$503,MATCH($B238,Inventory!$A$4:$A$503,0)),0))</f>
        <v/>
      </c>
      <c r="L238" s="24" t="str">
        <f aca="false">IF(OR(B238="",E238=""),"",E238+N(F238)-N(G238)-N(H238)-N(J238)-N(K238))</f>
        <v/>
      </c>
      <c r="M238" s="28" t="str">
        <f aca="false">IF(OR(L238="",N(K238)=0),"",L238/K238)</f>
        <v/>
      </c>
      <c r="N238" s="25" t="str">
        <f aca="false">IF(OR(A238="",B238=""),"",IFERROR(A238-INDEX(Inventory!$B$4:$B$503,MATCH($B238,Inventory!$A$4:$A$503,0)),""))</f>
        <v/>
      </c>
      <c r="O238" s="27" t="str">
        <f aca="false">IF($B238="","",IFERROR(INDEX(Inventory!$F$4:$F$503,MATCH($B238,Inventory!$A$4:$A$503,0)),""))</f>
        <v/>
      </c>
      <c r="P238" s="27" t="str">
        <f aca="false">IF($B238="","",IFERROR(INDEX(Inventory!$C$4:$C$503,MATCH($B238,Inventory!$A$4:$A$503,0)),""))</f>
        <v/>
      </c>
    </row>
    <row r="239" customFormat="false" ht="15" hidden="false" customHeight="false" outlineLevel="0" collapsed="false">
      <c r="A239" s="19"/>
      <c r="B239" s="10"/>
      <c r="C239" s="23" t="str">
        <f aca="false">IF($B239="","",IFERROR(INDEX(Inventory!$E$4:$E$503,MATCH($B239,Inventory!$A$4:$A$503,0)),"SKU not found"))</f>
        <v/>
      </c>
      <c r="D239" s="10"/>
      <c r="E239" s="12"/>
      <c r="F239" s="12"/>
      <c r="G239" s="12"/>
      <c r="H239" s="24" t="str">
        <f aca="false">IF(OR(B239="",D239="",E239=""),"",IFERROR(IF(AND(D239="Poshmark",E239&lt;Settings!$B$20),Settings!$B$21,(E239+IF(INDEX(Settings!$E$4:$E$11,MATCH($D239,Settings!$A$4:$A$11,0))="Y",N(F239),0))*(INDEX(Settings!$B$4:$B$11,MATCH($D239,Settings!$A$4:$A$11,0))+INDEX(Settings!$D$4:$D$11,MATCH($D239,Settings!$A$4:$A$11,0)))+INDEX(Settings!$C$4:$C$11,MATCH($D239,Settings!$A$4:$A$11,0))),0))</f>
        <v/>
      </c>
      <c r="I239" s="12"/>
      <c r="J239" s="12"/>
      <c r="K239" s="24" t="str">
        <f aca="false">IF($B239="","",IFERROR(INDEX(Inventory!$J$4:$J$503,MATCH($B239,Inventory!$A$4:$A$503,0)),0))</f>
        <v/>
      </c>
      <c r="L239" s="24" t="str">
        <f aca="false">IF(OR(B239="",E239=""),"",E239+N(F239)-N(G239)-N(H239)-N(J239)-N(K239))</f>
        <v/>
      </c>
      <c r="M239" s="28" t="str">
        <f aca="false">IF(OR(L239="",N(K239)=0),"",L239/K239)</f>
        <v/>
      </c>
      <c r="N239" s="25" t="str">
        <f aca="false">IF(OR(A239="",B239=""),"",IFERROR(A239-INDEX(Inventory!$B$4:$B$503,MATCH($B239,Inventory!$A$4:$A$503,0)),""))</f>
        <v/>
      </c>
      <c r="O239" s="27" t="str">
        <f aca="false">IF($B239="","",IFERROR(INDEX(Inventory!$F$4:$F$503,MATCH($B239,Inventory!$A$4:$A$503,0)),""))</f>
        <v/>
      </c>
      <c r="P239" s="27" t="str">
        <f aca="false">IF($B239="","",IFERROR(INDEX(Inventory!$C$4:$C$503,MATCH($B239,Inventory!$A$4:$A$503,0)),""))</f>
        <v/>
      </c>
    </row>
    <row r="240" customFormat="false" ht="15" hidden="false" customHeight="false" outlineLevel="0" collapsed="false">
      <c r="A240" s="19"/>
      <c r="B240" s="10"/>
      <c r="C240" s="23" t="str">
        <f aca="false">IF($B240="","",IFERROR(INDEX(Inventory!$E$4:$E$503,MATCH($B240,Inventory!$A$4:$A$503,0)),"SKU not found"))</f>
        <v/>
      </c>
      <c r="D240" s="10"/>
      <c r="E240" s="12"/>
      <c r="F240" s="12"/>
      <c r="G240" s="12"/>
      <c r="H240" s="24" t="str">
        <f aca="false">IF(OR(B240="",D240="",E240=""),"",IFERROR(IF(AND(D240="Poshmark",E240&lt;Settings!$B$20),Settings!$B$21,(E240+IF(INDEX(Settings!$E$4:$E$11,MATCH($D240,Settings!$A$4:$A$11,0))="Y",N(F240),0))*(INDEX(Settings!$B$4:$B$11,MATCH($D240,Settings!$A$4:$A$11,0))+INDEX(Settings!$D$4:$D$11,MATCH($D240,Settings!$A$4:$A$11,0)))+INDEX(Settings!$C$4:$C$11,MATCH($D240,Settings!$A$4:$A$11,0))),0))</f>
        <v/>
      </c>
      <c r="I240" s="12"/>
      <c r="J240" s="12"/>
      <c r="K240" s="24" t="str">
        <f aca="false">IF($B240="","",IFERROR(INDEX(Inventory!$J$4:$J$503,MATCH($B240,Inventory!$A$4:$A$503,0)),0))</f>
        <v/>
      </c>
      <c r="L240" s="24" t="str">
        <f aca="false">IF(OR(B240="",E240=""),"",E240+N(F240)-N(G240)-N(H240)-N(J240)-N(K240))</f>
        <v/>
      </c>
      <c r="M240" s="28" t="str">
        <f aca="false">IF(OR(L240="",N(K240)=0),"",L240/K240)</f>
        <v/>
      </c>
      <c r="N240" s="25" t="str">
        <f aca="false">IF(OR(A240="",B240=""),"",IFERROR(A240-INDEX(Inventory!$B$4:$B$503,MATCH($B240,Inventory!$A$4:$A$503,0)),""))</f>
        <v/>
      </c>
      <c r="O240" s="27" t="str">
        <f aca="false">IF($B240="","",IFERROR(INDEX(Inventory!$F$4:$F$503,MATCH($B240,Inventory!$A$4:$A$503,0)),""))</f>
        <v/>
      </c>
      <c r="P240" s="27" t="str">
        <f aca="false">IF($B240="","",IFERROR(INDEX(Inventory!$C$4:$C$503,MATCH($B240,Inventory!$A$4:$A$503,0)),""))</f>
        <v/>
      </c>
    </row>
    <row r="241" customFormat="false" ht="15" hidden="false" customHeight="false" outlineLevel="0" collapsed="false">
      <c r="A241" s="19"/>
      <c r="B241" s="10"/>
      <c r="C241" s="23" t="str">
        <f aca="false">IF($B241="","",IFERROR(INDEX(Inventory!$E$4:$E$503,MATCH($B241,Inventory!$A$4:$A$503,0)),"SKU not found"))</f>
        <v/>
      </c>
      <c r="D241" s="10"/>
      <c r="E241" s="12"/>
      <c r="F241" s="12"/>
      <c r="G241" s="12"/>
      <c r="H241" s="24" t="str">
        <f aca="false">IF(OR(B241="",D241="",E241=""),"",IFERROR(IF(AND(D241="Poshmark",E241&lt;Settings!$B$20),Settings!$B$21,(E241+IF(INDEX(Settings!$E$4:$E$11,MATCH($D241,Settings!$A$4:$A$11,0))="Y",N(F241),0))*(INDEX(Settings!$B$4:$B$11,MATCH($D241,Settings!$A$4:$A$11,0))+INDEX(Settings!$D$4:$D$11,MATCH($D241,Settings!$A$4:$A$11,0)))+INDEX(Settings!$C$4:$C$11,MATCH($D241,Settings!$A$4:$A$11,0))),0))</f>
        <v/>
      </c>
      <c r="I241" s="12"/>
      <c r="J241" s="12"/>
      <c r="K241" s="24" t="str">
        <f aca="false">IF($B241="","",IFERROR(INDEX(Inventory!$J$4:$J$503,MATCH($B241,Inventory!$A$4:$A$503,0)),0))</f>
        <v/>
      </c>
      <c r="L241" s="24" t="str">
        <f aca="false">IF(OR(B241="",E241=""),"",E241+N(F241)-N(G241)-N(H241)-N(J241)-N(K241))</f>
        <v/>
      </c>
      <c r="M241" s="28" t="str">
        <f aca="false">IF(OR(L241="",N(K241)=0),"",L241/K241)</f>
        <v/>
      </c>
      <c r="N241" s="25" t="str">
        <f aca="false">IF(OR(A241="",B241=""),"",IFERROR(A241-INDEX(Inventory!$B$4:$B$503,MATCH($B241,Inventory!$A$4:$A$503,0)),""))</f>
        <v/>
      </c>
      <c r="O241" s="27" t="str">
        <f aca="false">IF($B241="","",IFERROR(INDEX(Inventory!$F$4:$F$503,MATCH($B241,Inventory!$A$4:$A$503,0)),""))</f>
        <v/>
      </c>
      <c r="P241" s="27" t="str">
        <f aca="false">IF($B241="","",IFERROR(INDEX(Inventory!$C$4:$C$503,MATCH($B241,Inventory!$A$4:$A$503,0)),""))</f>
        <v/>
      </c>
    </row>
    <row r="242" customFormat="false" ht="15" hidden="false" customHeight="false" outlineLevel="0" collapsed="false">
      <c r="A242" s="19"/>
      <c r="B242" s="10"/>
      <c r="C242" s="23" t="str">
        <f aca="false">IF($B242="","",IFERROR(INDEX(Inventory!$E$4:$E$503,MATCH($B242,Inventory!$A$4:$A$503,0)),"SKU not found"))</f>
        <v/>
      </c>
      <c r="D242" s="10"/>
      <c r="E242" s="12"/>
      <c r="F242" s="12"/>
      <c r="G242" s="12"/>
      <c r="H242" s="24" t="str">
        <f aca="false">IF(OR(B242="",D242="",E242=""),"",IFERROR(IF(AND(D242="Poshmark",E242&lt;Settings!$B$20),Settings!$B$21,(E242+IF(INDEX(Settings!$E$4:$E$11,MATCH($D242,Settings!$A$4:$A$11,0))="Y",N(F242),0))*(INDEX(Settings!$B$4:$B$11,MATCH($D242,Settings!$A$4:$A$11,0))+INDEX(Settings!$D$4:$D$11,MATCH($D242,Settings!$A$4:$A$11,0)))+INDEX(Settings!$C$4:$C$11,MATCH($D242,Settings!$A$4:$A$11,0))),0))</f>
        <v/>
      </c>
      <c r="I242" s="12"/>
      <c r="J242" s="12"/>
      <c r="K242" s="24" t="str">
        <f aca="false">IF($B242="","",IFERROR(INDEX(Inventory!$J$4:$J$503,MATCH($B242,Inventory!$A$4:$A$503,0)),0))</f>
        <v/>
      </c>
      <c r="L242" s="24" t="str">
        <f aca="false">IF(OR(B242="",E242=""),"",E242+N(F242)-N(G242)-N(H242)-N(J242)-N(K242))</f>
        <v/>
      </c>
      <c r="M242" s="28" t="str">
        <f aca="false">IF(OR(L242="",N(K242)=0),"",L242/K242)</f>
        <v/>
      </c>
      <c r="N242" s="25" t="str">
        <f aca="false">IF(OR(A242="",B242=""),"",IFERROR(A242-INDEX(Inventory!$B$4:$B$503,MATCH($B242,Inventory!$A$4:$A$503,0)),""))</f>
        <v/>
      </c>
      <c r="O242" s="27" t="str">
        <f aca="false">IF($B242="","",IFERROR(INDEX(Inventory!$F$4:$F$503,MATCH($B242,Inventory!$A$4:$A$503,0)),""))</f>
        <v/>
      </c>
      <c r="P242" s="27" t="str">
        <f aca="false">IF($B242="","",IFERROR(INDEX(Inventory!$C$4:$C$503,MATCH($B242,Inventory!$A$4:$A$503,0)),""))</f>
        <v/>
      </c>
    </row>
    <row r="243" customFormat="false" ht="15" hidden="false" customHeight="false" outlineLevel="0" collapsed="false">
      <c r="A243" s="19"/>
      <c r="B243" s="10"/>
      <c r="C243" s="23" t="str">
        <f aca="false">IF($B243="","",IFERROR(INDEX(Inventory!$E$4:$E$503,MATCH($B243,Inventory!$A$4:$A$503,0)),"SKU not found"))</f>
        <v/>
      </c>
      <c r="D243" s="10"/>
      <c r="E243" s="12"/>
      <c r="F243" s="12"/>
      <c r="G243" s="12"/>
      <c r="H243" s="24" t="str">
        <f aca="false">IF(OR(B243="",D243="",E243=""),"",IFERROR(IF(AND(D243="Poshmark",E243&lt;Settings!$B$20),Settings!$B$21,(E243+IF(INDEX(Settings!$E$4:$E$11,MATCH($D243,Settings!$A$4:$A$11,0))="Y",N(F243),0))*(INDEX(Settings!$B$4:$B$11,MATCH($D243,Settings!$A$4:$A$11,0))+INDEX(Settings!$D$4:$D$11,MATCH($D243,Settings!$A$4:$A$11,0)))+INDEX(Settings!$C$4:$C$11,MATCH($D243,Settings!$A$4:$A$11,0))),0))</f>
        <v/>
      </c>
      <c r="I243" s="12"/>
      <c r="J243" s="12"/>
      <c r="K243" s="24" t="str">
        <f aca="false">IF($B243="","",IFERROR(INDEX(Inventory!$J$4:$J$503,MATCH($B243,Inventory!$A$4:$A$503,0)),0))</f>
        <v/>
      </c>
      <c r="L243" s="24" t="str">
        <f aca="false">IF(OR(B243="",E243=""),"",E243+N(F243)-N(G243)-N(H243)-N(J243)-N(K243))</f>
        <v/>
      </c>
      <c r="M243" s="28" t="str">
        <f aca="false">IF(OR(L243="",N(K243)=0),"",L243/K243)</f>
        <v/>
      </c>
      <c r="N243" s="25" t="str">
        <f aca="false">IF(OR(A243="",B243=""),"",IFERROR(A243-INDEX(Inventory!$B$4:$B$503,MATCH($B243,Inventory!$A$4:$A$503,0)),""))</f>
        <v/>
      </c>
      <c r="O243" s="27" t="str">
        <f aca="false">IF($B243="","",IFERROR(INDEX(Inventory!$F$4:$F$503,MATCH($B243,Inventory!$A$4:$A$503,0)),""))</f>
        <v/>
      </c>
      <c r="P243" s="27" t="str">
        <f aca="false">IF($B243="","",IFERROR(INDEX(Inventory!$C$4:$C$503,MATCH($B243,Inventory!$A$4:$A$503,0)),""))</f>
        <v/>
      </c>
    </row>
    <row r="244" customFormat="false" ht="15" hidden="false" customHeight="false" outlineLevel="0" collapsed="false">
      <c r="A244" s="19"/>
      <c r="B244" s="10"/>
      <c r="C244" s="23" t="str">
        <f aca="false">IF($B244="","",IFERROR(INDEX(Inventory!$E$4:$E$503,MATCH($B244,Inventory!$A$4:$A$503,0)),"SKU not found"))</f>
        <v/>
      </c>
      <c r="D244" s="10"/>
      <c r="E244" s="12"/>
      <c r="F244" s="12"/>
      <c r="G244" s="12"/>
      <c r="H244" s="24" t="str">
        <f aca="false">IF(OR(B244="",D244="",E244=""),"",IFERROR(IF(AND(D244="Poshmark",E244&lt;Settings!$B$20),Settings!$B$21,(E244+IF(INDEX(Settings!$E$4:$E$11,MATCH($D244,Settings!$A$4:$A$11,0))="Y",N(F244),0))*(INDEX(Settings!$B$4:$B$11,MATCH($D244,Settings!$A$4:$A$11,0))+INDEX(Settings!$D$4:$D$11,MATCH($D244,Settings!$A$4:$A$11,0)))+INDEX(Settings!$C$4:$C$11,MATCH($D244,Settings!$A$4:$A$11,0))),0))</f>
        <v/>
      </c>
      <c r="I244" s="12"/>
      <c r="J244" s="12"/>
      <c r="K244" s="24" t="str">
        <f aca="false">IF($B244="","",IFERROR(INDEX(Inventory!$J$4:$J$503,MATCH($B244,Inventory!$A$4:$A$503,0)),0))</f>
        <v/>
      </c>
      <c r="L244" s="24" t="str">
        <f aca="false">IF(OR(B244="",E244=""),"",E244+N(F244)-N(G244)-N(H244)-N(J244)-N(K244))</f>
        <v/>
      </c>
      <c r="M244" s="28" t="str">
        <f aca="false">IF(OR(L244="",N(K244)=0),"",L244/K244)</f>
        <v/>
      </c>
      <c r="N244" s="25" t="str">
        <f aca="false">IF(OR(A244="",B244=""),"",IFERROR(A244-INDEX(Inventory!$B$4:$B$503,MATCH($B244,Inventory!$A$4:$A$503,0)),""))</f>
        <v/>
      </c>
      <c r="O244" s="27" t="str">
        <f aca="false">IF($B244="","",IFERROR(INDEX(Inventory!$F$4:$F$503,MATCH($B244,Inventory!$A$4:$A$503,0)),""))</f>
        <v/>
      </c>
      <c r="P244" s="27" t="str">
        <f aca="false">IF($B244="","",IFERROR(INDEX(Inventory!$C$4:$C$503,MATCH($B244,Inventory!$A$4:$A$503,0)),""))</f>
        <v/>
      </c>
    </row>
    <row r="245" customFormat="false" ht="15" hidden="false" customHeight="false" outlineLevel="0" collapsed="false">
      <c r="A245" s="19"/>
      <c r="B245" s="10"/>
      <c r="C245" s="23" t="str">
        <f aca="false">IF($B245="","",IFERROR(INDEX(Inventory!$E$4:$E$503,MATCH($B245,Inventory!$A$4:$A$503,0)),"SKU not found"))</f>
        <v/>
      </c>
      <c r="D245" s="10"/>
      <c r="E245" s="12"/>
      <c r="F245" s="12"/>
      <c r="G245" s="12"/>
      <c r="H245" s="24" t="str">
        <f aca="false">IF(OR(B245="",D245="",E245=""),"",IFERROR(IF(AND(D245="Poshmark",E245&lt;Settings!$B$20),Settings!$B$21,(E245+IF(INDEX(Settings!$E$4:$E$11,MATCH($D245,Settings!$A$4:$A$11,0))="Y",N(F245),0))*(INDEX(Settings!$B$4:$B$11,MATCH($D245,Settings!$A$4:$A$11,0))+INDEX(Settings!$D$4:$D$11,MATCH($D245,Settings!$A$4:$A$11,0)))+INDEX(Settings!$C$4:$C$11,MATCH($D245,Settings!$A$4:$A$11,0))),0))</f>
        <v/>
      </c>
      <c r="I245" s="12"/>
      <c r="J245" s="12"/>
      <c r="K245" s="24" t="str">
        <f aca="false">IF($B245="","",IFERROR(INDEX(Inventory!$J$4:$J$503,MATCH($B245,Inventory!$A$4:$A$503,0)),0))</f>
        <v/>
      </c>
      <c r="L245" s="24" t="str">
        <f aca="false">IF(OR(B245="",E245=""),"",E245+N(F245)-N(G245)-N(H245)-N(J245)-N(K245))</f>
        <v/>
      </c>
      <c r="M245" s="28" t="str">
        <f aca="false">IF(OR(L245="",N(K245)=0),"",L245/K245)</f>
        <v/>
      </c>
      <c r="N245" s="25" t="str">
        <f aca="false">IF(OR(A245="",B245=""),"",IFERROR(A245-INDEX(Inventory!$B$4:$B$503,MATCH($B245,Inventory!$A$4:$A$503,0)),""))</f>
        <v/>
      </c>
      <c r="O245" s="27" t="str">
        <f aca="false">IF($B245="","",IFERROR(INDEX(Inventory!$F$4:$F$503,MATCH($B245,Inventory!$A$4:$A$503,0)),""))</f>
        <v/>
      </c>
      <c r="P245" s="27" t="str">
        <f aca="false">IF($B245="","",IFERROR(INDEX(Inventory!$C$4:$C$503,MATCH($B245,Inventory!$A$4:$A$503,0)),""))</f>
        <v/>
      </c>
    </row>
    <row r="246" customFormat="false" ht="15" hidden="false" customHeight="false" outlineLevel="0" collapsed="false">
      <c r="A246" s="19"/>
      <c r="B246" s="10"/>
      <c r="C246" s="23" t="str">
        <f aca="false">IF($B246="","",IFERROR(INDEX(Inventory!$E$4:$E$503,MATCH($B246,Inventory!$A$4:$A$503,0)),"SKU not found"))</f>
        <v/>
      </c>
      <c r="D246" s="10"/>
      <c r="E246" s="12"/>
      <c r="F246" s="12"/>
      <c r="G246" s="12"/>
      <c r="H246" s="24" t="str">
        <f aca="false">IF(OR(B246="",D246="",E246=""),"",IFERROR(IF(AND(D246="Poshmark",E246&lt;Settings!$B$20),Settings!$B$21,(E246+IF(INDEX(Settings!$E$4:$E$11,MATCH($D246,Settings!$A$4:$A$11,0))="Y",N(F246),0))*(INDEX(Settings!$B$4:$B$11,MATCH($D246,Settings!$A$4:$A$11,0))+INDEX(Settings!$D$4:$D$11,MATCH($D246,Settings!$A$4:$A$11,0)))+INDEX(Settings!$C$4:$C$11,MATCH($D246,Settings!$A$4:$A$11,0))),0))</f>
        <v/>
      </c>
      <c r="I246" s="12"/>
      <c r="J246" s="12"/>
      <c r="K246" s="24" t="str">
        <f aca="false">IF($B246="","",IFERROR(INDEX(Inventory!$J$4:$J$503,MATCH($B246,Inventory!$A$4:$A$503,0)),0))</f>
        <v/>
      </c>
      <c r="L246" s="24" t="str">
        <f aca="false">IF(OR(B246="",E246=""),"",E246+N(F246)-N(G246)-N(H246)-N(J246)-N(K246))</f>
        <v/>
      </c>
      <c r="M246" s="28" t="str">
        <f aca="false">IF(OR(L246="",N(K246)=0),"",L246/K246)</f>
        <v/>
      </c>
      <c r="N246" s="25" t="str">
        <f aca="false">IF(OR(A246="",B246=""),"",IFERROR(A246-INDEX(Inventory!$B$4:$B$503,MATCH($B246,Inventory!$A$4:$A$503,0)),""))</f>
        <v/>
      </c>
      <c r="O246" s="27" t="str">
        <f aca="false">IF($B246="","",IFERROR(INDEX(Inventory!$F$4:$F$503,MATCH($B246,Inventory!$A$4:$A$503,0)),""))</f>
        <v/>
      </c>
      <c r="P246" s="27" t="str">
        <f aca="false">IF($B246="","",IFERROR(INDEX(Inventory!$C$4:$C$503,MATCH($B246,Inventory!$A$4:$A$503,0)),""))</f>
        <v/>
      </c>
    </row>
    <row r="247" customFormat="false" ht="15" hidden="false" customHeight="false" outlineLevel="0" collapsed="false">
      <c r="A247" s="19"/>
      <c r="B247" s="10"/>
      <c r="C247" s="23" t="str">
        <f aca="false">IF($B247="","",IFERROR(INDEX(Inventory!$E$4:$E$503,MATCH($B247,Inventory!$A$4:$A$503,0)),"SKU not found"))</f>
        <v/>
      </c>
      <c r="D247" s="10"/>
      <c r="E247" s="12"/>
      <c r="F247" s="12"/>
      <c r="G247" s="12"/>
      <c r="H247" s="24" t="str">
        <f aca="false">IF(OR(B247="",D247="",E247=""),"",IFERROR(IF(AND(D247="Poshmark",E247&lt;Settings!$B$20),Settings!$B$21,(E247+IF(INDEX(Settings!$E$4:$E$11,MATCH($D247,Settings!$A$4:$A$11,0))="Y",N(F247),0))*(INDEX(Settings!$B$4:$B$11,MATCH($D247,Settings!$A$4:$A$11,0))+INDEX(Settings!$D$4:$D$11,MATCH($D247,Settings!$A$4:$A$11,0)))+INDEX(Settings!$C$4:$C$11,MATCH($D247,Settings!$A$4:$A$11,0))),0))</f>
        <v/>
      </c>
      <c r="I247" s="12"/>
      <c r="J247" s="12"/>
      <c r="K247" s="24" t="str">
        <f aca="false">IF($B247="","",IFERROR(INDEX(Inventory!$J$4:$J$503,MATCH($B247,Inventory!$A$4:$A$503,0)),0))</f>
        <v/>
      </c>
      <c r="L247" s="24" t="str">
        <f aca="false">IF(OR(B247="",E247=""),"",E247+N(F247)-N(G247)-N(H247)-N(J247)-N(K247))</f>
        <v/>
      </c>
      <c r="M247" s="28" t="str">
        <f aca="false">IF(OR(L247="",N(K247)=0),"",L247/K247)</f>
        <v/>
      </c>
      <c r="N247" s="25" t="str">
        <f aca="false">IF(OR(A247="",B247=""),"",IFERROR(A247-INDEX(Inventory!$B$4:$B$503,MATCH($B247,Inventory!$A$4:$A$503,0)),""))</f>
        <v/>
      </c>
      <c r="O247" s="27" t="str">
        <f aca="false">IF($B247="","",IFERROR(INDEX(Inventory!$F$4:$F$503,MATCH($B247,Inventory!$A$4:$A$503,0)),""))</f>
        <v/>
      </c>
      <c r="P247" s="27" t="str">
        <f aca="false">IF($B247="","",IFERROR(INDEX(Inventory!$C$4:$C$503,MATCH($B247,Inventory!$A$4:$A$503,0)),""))</f>
        <v/>
      </c>
    </row>
    <row r="248" customFormat="false" ht="15" hidden="false" customHeight="false" outlineLevel="0" collapsed="false">
      <c r="A248" s="19"/>
      <c r="B248" s="10"/>
      <c r="C248" s="23" t="str">
        <f aca="false">IF($B248="","",IFERROR(INDEX(Inventory!$E$4:$E$503,MATCH($B248,Inventory!$A$4:$A$503,0)),"SKU not found"))</f>
        <v/>
      </c>
      <c r="D248" s="10"/>
      <c r="E248" s="12"/>
      <c r="F248" s="12"/>
      <c r="G248" s="12"/>
      <c r="H248" s="24" t="str">
        <f aca="false">IF(OR(B248="",D248="",E248=""),"",IFERROR(IF(AND(D248="Poshmark",E248&lt;Settings!$B$20),Settings!$B$21,(E248+IF(INDEX(Settings!$E$4:$E$11,MATCH($D248,Settings!$A$4:$A$11,0))="Y",N(F248),0))*(INDEX(Settings!$B$4:$B$11,MATCH($D248,Settings!$A$4:$A$11,0))+INDEX(Settings!$D$4:$D$11,MATCH($D248,Settings!$A$4:$A$11,0)))+INDEX(Settings!$C$4:$C$11,MATCH($D248,Settings!$A$4:$A$11,0))),0))</f>
        <v/>
      </c>
      <c r="I248" s="12"/>
      <c r="J248" s="12"/>
      <c r="K248" s="24" t="str">
        <f aca="false">IF($B248="","",IFERROR(INDEX(Inventory!$J$4:$J$503,MATCH($B248,Inventory!$A$4:$A$503,0)),0))</f>
        <v/>
      </c>
      <c r="L248" s="24" t="str">
        <f aca="false">IF(OR(B248="",E248=""),"",E248+N(F248)-N(G248)-N(H248)-N(J248)-N(K248))</f>
        <v/>
      </c>
      <c r="M248" s="28" t="str">
        <f aca="false">IF(OR(L248="",N(K248)=0),"",L248/K248)</f>
        <v/>
      </c>
      <c r="N248" s="25" t="str">
        <f aca="false">IF(OR(A248="",B248=""),"",IFERROR(A248-INDEX(Inventory!$B$4:$B$503,MATCH($B248,Inventory!$A$4:$A$503,0)),""))</f>
        <v/>
      </c>
      <c r="O248" s="27" t="str">
        <f aca="false">IF($B248="","",IFERROR(INDEX(Inventory!$F$4:$F$503,MATCH($B248,Inventory!$A$4:$A$503,0)),""))</f>
        <v/>
      </c>
      <c r="P248" s="27" t="str">
        <f aca="false">IF($B248="","",IFERROR(INDEX(Inventory!$C$4:$C$503,MATCH($B248,Inventory!$A$4:$A$503,0)),""))</f>
        <v/>
      </c>
    </row>
    <row r="249" customFormat="false" ht="15" hidden="false" customHeight="false" outlineLevel="0" collapsed="false">
      <c r="A249" s="19"/>
      <c r="B249" s="10"/>
      <c r="C249" s="23" t="str">
        <f aca="false">IF($B249="","",IFERROR(INDEX(Inventory!$E$4:$E$503,MATCH($B249,Inventory!$A$4:$A$503,0)),"SKU not found"))</f>
        <v/>
      </c>
      <c r="D249" s="10"/>
      <c r="E249" s="12"/>
      <c r="F249" s="12"/>
      <c r="G249" s="12"/>
      <c r="H249" s="24" t="str">
        <f aca="false">IF(OR(B249="",D249="",E249=""),"",IFERROR(IF(AND(D249="Poshmark",E249&lt;Settings!$B$20),Settings!$B$21,(E249+IF(INDEX(Settings!$E$4:$E$11,MATCH($D249,Settings!$A$4:$A$11,0))="Y",N(F249),0))*(INDEX(Settings!$B$4:$B$11,MATCH($D249,Settings!$A$4:$A$11,0))+INDEX(Settings!$D$4:$D$11,MATCH($D249,Settings!$A$4:$A$11,0)))+INDEX(Settings!$C$4:$C$11,MATCH($D249,Settings!$A$4:$A$11,0))),0))</f>
        <v/>
      </c>
      <c r="I249" s="12"/>
      <c r="J249" s="12"/>
      <c r="K249" s="24" t="str">
        <f aca="false">IF($B249="","",IFERROR(INDEX(Inventory!$J$4:$J$503,MATCH($B249,Inventory!$A$4:$A$503,0)),0))</f>
        <v/>
      </c>
      <c r="L249" s="24" t="str">
        <f aca="false">IF(OR(B249="",E249=""),"",E249+N(F249)-N(G249)-N(H249)-N(J249)-N(K249))</f>
        <v/>
      </c>
      <c r="M249" s="28" t="str">
        <f aca="false">IF(OR(L249="",N(K249)=0),"",L249/K249)</f>
        <v/>
      </c>
      <c r="N249" s="25" t="str">
        <f aca="false">IF(OR(A249="",B249=""),"",IFERROR(A249-INDEX(Inventory!$B$4:$B$503,MATCH($B249,Inventory!$A$4:$A$503,0)),""))</f>
        <v/>
      </c>
      <c r="O249" s="27" t="str">
        <f aca="false">IF($B249="","",IFERROR(INDEX(Inventory!$F$4:$F$503,MATCH($B249,Inventory!$A$4:$A$503,0)),""))</f>
        <v/>
      </c>
      <c r="P249" s="27" t="str">
        <f aca="false">IF($B249="","",IFERROR(INDEX(Inventory!$C$4:$C$503,MATCH($B249,Inventory!$A$4:$A$503,0)),""))</f>
        <v/>
      </c>
    </row>
    <row r="250" customFormat="false" ht="15" hidden="false" customHeight="false" outlineLevel="0" collapsed="false">
      <c r="A250" s="19"/>
      <c r="B250" s="10"/>
      <c r="C250" s="23" t="str">
        <f aca="false">IF($B250="","",IFERROR(INDEX(Inventory!$E$4:$E$503,MATCH($B250,Inventory!$A$4:$A$503,0)),"SKU not found"))</f>
        <v/>
      </c>
      <c r="D250" s="10"/>
      <c r="E250" s="12"/>
      <c r="F250" s="12"/>
      <c r="G250" s="12"/>
      <c r="H250" s="24" t="str">
        <f aca="false">IF(OR(B250="",D250="",E250=""),"",IFERROR(IF(AND(D250="Poshmark",E250&lt;Settings!$B$20),Settings!$B$21,(E250+IF(INDEX(Settings!$E$4:$E$11,MATCH($D250,Settings!$A$4:$A$11,0))="Y",N(F250),0))*(INDEX(Settings!$B$4:$B$11,MATCH($D250,Settings!$A$4:$A$11,0))+INDEX(Settings!$D$4:$D$11,MATCH($D250,Settings!$A$4:$A$11,0)))+INDEX(Settings!$C$4:$C$11,MATCH($D250,Settings!$A$4:$A$11,0))),0))</f>
        <v/>
      </c>
      <c r="I250" s="12"/>
      <c r="J250" s="12"/>
      <c r="K250" s="24" t="str">
        <f aca="false">IF($B250="","",IFERROR(INDEX(Inventory!$J$4:$J$503,MATCH($B250,Inventory!$A$4:$A$503,0)),0))</f>
        <v/>
      </c>
      <c r="L250" s="24" t="str">
        <f aca="false">IF(OR(B250="",E250=""),"",E250+N(F250)-N(G250)-N(H250)-N(J250)-N(K250))</f>
        <v/>
      </c>
      <c r="M250" s="28" t="str">
        <f aca="false">IF(OR(L250="",N(K250)=0),"",L250/K250)</f>
        <v/>
      </c>
      <c r="N250" s="25" t="str">
        <f aca="false">IF(OR(A250="",B250=""),"",IFERROR(A250-INDEX(Inventory!$B$4:$B$503,MATCH($B250,Inventory!$A$4:$A$503,0)),""))</f>
        <v/>
      </c>
      <c r="O250" s="27" t="str">
        <f aca="false">IF($B250="","",IFERROR(INDEX(Inventory!$F$4:$F$503,MATCH($B250,Inventory!$A$4:$A$503,0)),""))</f>
        <v/>
      </c>
      <c r="P250" s="27" t="str">
        <f aca="false">IF($B250="","",IFERROR(INDEX(Inventory!$C$4:$C$503,MATCH($B250,Inventory!$A$4:$A$503,0)),""))</f>
        <v/>
      </c>
    </row>
    <row r="251" customFormat="false" ht="15" hidden="false" customHeight="false" outlineLevel="0" collapsed="false">
      <c r="A251" s="19"/>
      <c r="B251" s="10"/>
      <c r="C251" s="23" t="str">
        <f aca="false">IF($B251="","",IFERROR(INDEX(Inventory!$E$4:$E$503,MATCH($B251,Inventory!$A$4:$A$503,0)),"SKU not found"))</f>
        <v/>
      </c>
      <c r="D251" s="10"/>
      <c r="E251" s="12"/>
      <c r="F251" s="12"/>
      <c r="G251" s="12"/>
      <c r="H251" s="24" t="str">
        <f aca="false">IF(OR(B251="",D251="",E251=""),"",IFERROR(IF(AND(D251="Poshmark",E251&lt;Settings!$B$20),Settings!$B$21,(E251+IF(INDEX(Settings!$E$4:$E$11,MATCH($D251,Settings!$A$4:$A$11,0))="Y",N(F251),0))*(INDEX(Settings!$B$4:$B$11,MATCH($D251,Settings!$A$4:$A$11,0))+INDEX(Settings!$D$4:$D$11,MATCH($D251,Settings!$A$4:$A$11,0)))+INDEX(Settings!$C$4:$C$11,MATCH($D251,Settings!$A$4:$A$11,0))),0))</f>
        <v/>
      </c>
      <c r="I251" s="12"/>
      <c r="J251" s="12"/>
      <c r="K251" s="24" t="str">
        <f aca="false">IF($B251="","",IFERROR(INDEX(Inventory!$J$4:$J$503,MATCH($B251,Inventory!$A$4:$A$503,0)),0))</f>
        <v/>
      </c>
      <c r="L251" s="24" t="str">
        <f aca="false">IF(OR(B251="",E251=""),"",E251+N(F251)-N(G251)-N(H251)-N(J251)-N(K251))</f>
        <v/>
      </c>
      <c r="M251" s="28" t="str">
        <f aca="false">IF(OR(L251="",N(K251)=0),"",L251/K251)</f>
        <v/>
      </c>
      <c r="N251" s="25" t="str">
        <f aca="false">IF(OR(A251="",B251=""),"",IFERROR(A251-INDEX(Inventory!$B$4:$B$503,MATCH($B251,Inventory!$A$4:$A$503,0)),""))</f>
        <v/>
      </c>
      <c r="O251" s="27" t="str">
        <f aca="false">IF($B251="","",IFERROR(INDEX(Inventory!$F$4:$F$503,MATCH($B251,Inventory!$A$4:$A$503,0)),""))</f>
        <v/>
      </c>
      <c r="P251" s="27" t="str">
        <f aca="false">IF($B251="","",IFERROR(INDEX(Inventory!$C$4:$C$503,MATCH($B251,Inventory!$A$4:$A$503,0)),""))</f>
        <v/>
      </c>
    </row>
    <row r="252" customFormat="false" ht="15" hidden="false" customHeight="false" outlineLevel="0" collapsed="false">
      <c r="A252" s="19"/>
      <c r="B252" s="10"/>
      <c r="C252" s="23" t="str">
        <f aca="false">IF($B252="","",IFERROR(INDEX(Inventory!$E$4:$E$503,MATCH($B252,Inventory!$A$4:$A$503,0)),"SKU not found"))</f>
        <v/>
      </c>
      <c r="D252" s="10"/>
      <c r="E252" s="12"/>
      <c r="F252" s="12"/>
      <c r="G252" s="12"/>
      <c r="H252" s="24" t="str">
        <f aca="false">IF(OR(B252="",D252="",E252=""),"",IFERROR(IF(AND(D252="Poshmark",E252&lt;Settings!$B$20),Settings!$B$21,(E252+IF(INDEX(Settings!$E$4:$E$11,MATCH($D252,Settings!$A$4:$A$11,0))="Y",N(F252),0))*(INDEX(Settings!$B$4:$B$11,MATCH($D252,Settings!$A$4:$A$11,0))+INDEX(Settings!$D$4:$D$11,MATCH($D252,Settings!$A$4:$A$11,0)))+INDEX(Settings!$C$4:$C$11,MATCH($D252,Settings!$A$4:$A$11,0))),0))</f>
        <v/>
      </c>
      <c r="I252" s="12"/>
      <c r="J252" s="12"/>
      <c r="K252" s="24" t="str">
        <f aca="false">IF($B252="","",IFERROR(INDEX(Inventory!$J$4:$J$503,MATCH($B252,Inventory!$A$4:$A$503,0)),0))</f>
        <v/>
      </c>
      <c r="L252" s="24" t="str">
        <f aca="false">IF(OR(B252="",E252=""),"",E252+N(F252)-N(G252)-N(H252)-N(J252)-N(K252))</f>
        <v/>
      </c>
      <c r="M252" s="28" t="str">
        <f aca="false">IF(OR(L252="",N(K252)=0),"",L252/K252)</f>
        <v/>
      </c>
      <c r="N252" s="25" t="str">
        <f aca="false">IF(OR(A252="",B252=""),"",IFERROR(A252-INDEX(Inventory!$B$4:$B$503,MATCH($B252,Inventory!$A$4:$A$503,0)),""))</f>
        <v/>
      </c>
      <c r="O252" s="27" t="str">
        <f aca="false">IF($B252="","",IFERROR(INDEX(Inventory!$F$4:$F$503,MATCH($B252,Inventory!$A$4:$A$503,0)),""))</f>
        <v/>
      </c>
      <c r="P252" s="27" t="str">
        <f aca="false">IF($B252="","",IFERROR(INDEX(Inventory!$C$4:$C$503,MATCH($B252,Inventory!$A$4:$A$503,0)),""))</f>
        <v/>
      </c>
    </row>
    <row r="253" customFormat="false" ht="15" hidden="false" customHeight="false" outlineLevel="0" collapsed="false">
      <c r="A253" s="19"/>
      <c r="B253" s="10"/>
      <c r="C253" s="23" t="str">
        <f aca="false">IF($B253="","",IFERROR(INDEX(Inventory!$E$4:$E$503,MATCH($B253,Inventory!$A$4:$A$503,0)),"SKU not found"))</f>
        <v/>
      </c>
      <c r="D253" s="10"/>
      <c r="E253" s="12"/>
      <c r="F253" s="12"/>
      <c r="G253" s="12"/>
      <c r="H253" s="24" t="str">
        <f aca="false">IF(OR(B253="",D253="",E253=""),"",IFERROR(IF(AND(D253="Poshmark",E253&lt;Settings!$B$20),Settings!$B$21,(E253+IF(INDEX(Settings!$E$4:$E$11,MATCH($D253,Settings!$A$4:$A$11,0))="Y",N(F253),0))*(INDEX(Settings!$B$4:$B$11,MATCH($D253,Settings!$A$4:$A$11,0))+INDEX(Settings!$D$4:$D$11,MATCH($D253,Settings!$A$4:$A$11,0)))+INDEX(Settings!$C$4:$C$11,MATCH($D253,Settings!$A$4:$A$11,0))),0))</f>
        <v/>
      </c>
      <c r="I253" s="12"/>
      <c r="J253" s="12"/>
      <c r="K253" s="24" t="str">
        <f aca="false">IF($B253="","",IFERROR(INDEX(Inventory!$J$4:$J$503,MATCH($B253,Inventory!$A$4:$A$503,0)),0))</f>
        <v/>
      </c>
      <c r="L253" s="24" t="str">
        <f aca="false">IF(OR(B253="",E253=""),"",E253+N(F253)-N(G253)-N(H253)-N(J253)-N(K253))</f>
        <v/>
      </c>
      <c r="M253" s="28" t="str">
        <f aca="false">IF(OR(L253="",N(K253)=0),"",L253/K253)</f>
        <v/>
      </c>
      <c r="N253" s="25" t="str">
        <f aca="false">IF(OR(A253="",B253=""),"",IFERROR(A253-INDEX(Inventory!$B$4:$B$503,MATCH($B253,Inventory!$A$4:$A$503,0)),""))</f>
        <v/>
      </c>
      <c r="O253" s="27" t="str">
        <f aca="false">IF($B253="","",IFERROR(INDEX(Inventory!$F$4:$F$503,MATCH($B253,Inventory!$A$4:$A$503,0)),""))</f>
        <v/>
      </c>
      <c r="P253" s="27" t="str">
        <f aca="false">IF($B253="","",IFERROR(INDEX(Inventory!$C$4:$C$503,MATCH($B253,Inventory!$A$4:$A$503,0)),""))</f>
        <v/>
      </c>
    </row>
    <row r="254" customFormat="false" ht="15" hidden="false" customHeight="false" outlineLevel="0" collapsed="false">
      <c r="A254" s="19"/>
      <c r="B254" s="10"/>
      <c r="C254" s="23" t="str">
        <f aca="false">IF($B254="","",IFERROR(INDEX(Inventory!$E$4:$E$503,MATCH($B254,Inventory!$A$4:$A$503,0)),"SKU not found"))</f>
        <v/>
      </c>
      <c r="D254" s="10"/>
      <c r="E254" s="12"/>
      <c r="F254" s="12"/>
      <c r="G254" s="12"/>
      <c r="H254" s="24" t="str">
        <f aca="false">IF(OR(B254="",D254="",E254=""),"",IFERROR(IF(AND(D254="Poshmark",E254&lt;Settings!$B$20),Settings!$B$21,(E254+IF(INDEX(Settings!$E$4:$E$11,MATCH($D254,Settings!$A$4:$A$11,0))="Y",N(F254),0))*(INDEX(Settings!$B$4:$B$11,MATCH($D254,Settings!$A$4:$A$11,0))+INDEX(Settings!$D$4:$D$11,MATCH($D254,Settings!$A$4:$A$11,0)))+INDEX(Settings!$C$4:$C$11,MATCH($D254,Settings!$A$4:$A$11,0))),0))</f>
        <v/>
      </c>
      <c r="I254" s="12"/>
      <c r="J254" s="12"/>
      <c r="K254" s="24" t="str">
        <f aca="false">IF($B254="","",IFERROR(INDEX(Inventory!$J$4:$J$503,MATCH($B254,Inventory!$A$4:$A$503,0)),0))</f>
        <v/>
      </c>
      <c r="L254" s="24" t="str">
        <f aca="false">IF(OR(B254="",E254=""),"",E254+N(F254)-N(G254)-N(H254)-N(J254)-N(K254))</f>
        <v/>
      </c>
      <c r="M254" s="28" t="str">
        <f aca="false">IF(OR(L254="",N(K254)=0),"",L254/K254)</f>
        <v/>
      </c>
      <c r="N254" s="25" t="str">
        <f aca="false">IF(OR(A254="",B254=""),"",IFERROR(A254-INDEX(Inventory!$B$4:$B$503,MATCH($B254,Inventory!$A$4:$A$503,0)),""))</f>
        <v/>
      </c>
      <c r="O254" s="27" t="str">
        <f aca="false">IF($B254="","",IFERROR(INDEX(Inventory!$F$4:$F$503,MATCH($B254,Inventory!$A$4:$A$503,0)),""))</f>
        <v/>
      </c>
      <c r="P254" s="27" t="str">
        <f aca="false">IF($B254="","",IFERROR(INDEX(Inventory!$C$4:$C$503,MATCH($B254,Inventory!$A$4:$A$503,0)),""))</f>
        <v/>
      </c>
    </row>
    <row r="255" customFormat="false" ht="15" hidden="false" customHeight="false" outlineLevel="0" collapsed="false">
      <c r="A255" s="19"/>
      <c r="B255" s="10"/>
      <c r="C255" s="23" t="str">
        <f aca="false">IF($B255="","",IFERROR(INDEX(Inventory!$E$4:$E$503,MATCH($B255,Inventory!$A$4:$A$503,0)),"SKU not found"))</f>
        <v/>
      </c>
      <c r="D255" s="10"/>
      <c r="E255" s="12"/>
      <c r="F255" s="12"/>
      <c r="G255" s="12"/>
      <c r="H255" s="24" t="str">
        <f aca="false">IF(OR(B255="",D255="",E255=""),"",IFERROR(IF(AND(D255="Poshmark",E255&lt;Settings!$B$20),Settings!$B$21,(E255+IF(INDEX(Settings!$E$4:$E$11,MATCH($D255,Settings!$A$4:$A$11,0))="Y",N(F255),0))*(INDEX(Settings!$B$4:$B$11,MATCH($D255,Settings!$A$4:$A$11,0))+INDEX(Settings!$D$4:$D$11,MATCH($D255,Settings!$A$4:$A$11,0)))+INDEX(Settings!$C$4:$C$11,MATCH($D255,Settings!$A$4:$A$11,0))),0))</f>
        <v/>
      </c>
      <c r="I255" s="12"/>
      <c r="J255" s="12"/>
      <c r="K255" s="24" t="str">
        <f aca="false">IF($B255="","",IFERROR(INDEX(Inventory!$J$4:$J$503,MATCH($B255,Inventory!$A$4:$A$503,0)),0))</f>
        <v/>
      </c>
      <c r="L255" s="24" t="str">
        <f aca="false">IF(OR(B255="",E255=""),"",E255+N(F255)-N(G255)-N(H255)-N(J255)-N(K255))</f>
        <v/>
      </c>
      <c r="M255" s="28" t="str">
        <f aca="false">IF(OR(L255="",N(K255)=0),"",L255/K255)</f>
        <v/>
      </c>
      <c r="N255" s="25" t="str">
        <f aca="false">IF(OR(A255="",B255=""),"",IFERROR(A255-INDEX(Inventory!$B$4:$B$503,MATCH($B255,Inventory!$A$4:$A$503,0)),""))</f>
        <v/>
      </c>
      <c r="O255" s="27" t="str">
        <f aca="false">IF($B255="","",IFERROR(INDEX(Inventory!$F$4:$F$503,MATCH($B255,Inventory!$A$4:$A$503,0)),""))</f>
        <v/>
      </c>
      <c r="P255" s="27" t="str">
        <f aca="false">IF($B255="","",IFERROR(INDEX(Inventory!$C$4:$C$503,MATCH($B255,Inventory!$A$4:$A$503,0)),""))</f>
        <v/>
      </c>
    </row>
    <row r="256" customFormat="false" ht="15" hidden="false" customHeight="false" outlineLevel="0" collapsed="false">
      <c r="A256" s="19"/>
      <c r="B256" s="10"/>
      <c r="C256" s="23" t="str">
        <f aca="false">IF($B256="","",IFERROR(INDEX(Inventory!$E$4:$E$503,MATCH($B256,Inventory!$A$4:$A$503,0)),"SKU not found"))</f>
        <v/>
      </c>
      <c r="D256" s="10"/>
      <c r="E256" s="12"/>
      <c r="F256" s="12"/>
      <c r="G256" s="12"/>
      <c r="H256" s="24" t="str">
        <f aca="false">IF(OR(B256="",D256="",E256=""),"",IFERROR(IF(AND(D256="Poshmark",E256&lt;Settings!$B$20),Settings!$B$21,(E256+IF(INDEX(Settings!$E$4:$E$11,MATCH($D256,Settings!$A$4:$A$11,0))="Y",N(F256),0))*(INDEX(Settings!$B$4:$B$11,MATCH($D256,Settings!$A$4:$A$11,0))+INDEX(Settings!$D$4:$D$11,MATCH($D256,Settings!$A$4:$A$11,0)))+INDEX(Settings!$C$4:$C$11,MATCH($D256,Settings!$A$4:$A$11,0))),0))</f>
        <v/>
      </c>
      <c r="I256" s="12"/>
      <c r="J256" s="12"/>
      <c r="K256" s="24" t="str">
        <f aca="false">IF($B256="","",IFERROR(INDEX(Inventory!$J$4:$J$503,MATCH($B256,Inventory!$A$4:$A$503,0)),0))</f>
        <v/>
      </c>
      <c r="L256" s="24" t="str">
        <f aca="false">IF(OR(B256="",E256=""),"",E256+N(F256)-N(G256)-N(H256)-N(J256)-N(K256))</f>
        <v/>
      </c>
      <c r="M256" s="28" t="str">
        <f aca="false">IF(OR(L256="",N(K256)=0),"",L256/K256)</f>
        <v/>
      </c>
      <c r="N256" s="25" t="str">
        <f aca="false">IF(OR(A256="",B256=""),"",IFERROR(A256-INDEX(Inventory!$B$4:$B$503,MATCH($B256,Inventory!$A$4:$A$503,0)),""))</f>
        <v/>
      </c>
      <c r="O256" s="27" t="str">
        <f aca="false">IF($B256="","",IFERROR(INDEX(Inventory!$F$4:$F$503,MATCH($B256,Inventory!$A$4:$A$503,0)),""))</f>
        <v/>
      </c>
      <c r="P256" s="27" t="str">
        <f aca="false">IF($B256="","",IFERROR(INDEX(Inventory!$C$4:$C$503,MATCH($B256,Inventory!$A$4:$A$503,0)),""))</f>
        <v/>
      </c>
    </row>
    <row r="257" customFormat="false" ht="15" hidden="false" customHeight="false" outlineLevel="0" collapsed="false">
      <c r="A257" s="19"/>
      <c r="B257" s="10"/>
      <c r="C257" s="23" t="str">
        <f aca="false">IF($B257="","",IFERROR(INDEX(Inventory!$E$4:$E$503,MATCH($B257,Inventory!$A$4:$A$503,0)),"SKU not found"))</f>
        <v/>
      </c>
      <c r="D257" s="10"/>
      <c r="E257" s="12"/>
      <c r="F257" s="12"/>
      <c r="G257" s="12"/>
      <c r="H257" s="24" t="str">
        <f aca="false">IF(OR(B257="",D257="",E257=""),"",IFERROR(IF(AND(D257="Poshmark",E257&lt;Settings!$B$20),Settings!$B$21,(E257+IF(INDEX(Settings!$E$4:$E$11,MATCH($D257,Settings!$A$4:$A$11,0))="Y",N(F257),0))*(INDEX(Settings!$B$4:$B$11,MATCH($D257,Settings!$A$4:$A$11,0))+INDEX(Settings!$D$4:$D$11,MATCH($D257,Settings!$A$4:$A$11,0)))+INDEX(Settings!$C$4:$C$11,MATCH($D257,Settings!$A$4:$A$11,0))),0))</f>
        <v/>
      </c>
      <c r="I257" s="12"/>
      <c r="J257" s="12"/>
      <c r="K257" s="24" t="str">
        <f aca="false">IF($B257="","",IFERROR(INDEX(Inventory!$J$4:$J$503,MATCH($B257,Inventory!$A$4:$A$503,0)),0))</f>
        <v/>
      </c>
      <c r="L257" s="24" t="str">
        <f aca="false">IF(OR(B257="",E257=""),"",E257+N(F257)-N(G257)-N(H257)-N(J257)-N(K257))</f>
        <v/>
      </c>
      <c r="M257" s="28" t="str">
        <f aca="false">IF(OR(L257="",N(K257)=0),"",L257/K257)</f>
        <v/>
      </c>
      <c r="N257" s="25" t="str">
        <f aca="false">IF(OR(A257="",B257=""),"",IFERROR(A257-INDEX(Inventory!$B$4:$B$503,MATCH($B257,Inventory!$A$4:$A$503,0)),""))</f>
        <v/>
      </c>
      <c r="O257" s="27" t="str">
        <f aca="false">IF($B257="","",IFERROR(INDEX(Inventory!$F$4:$F$503,MATCH($B257,Inventory!$A$4:$A$503,0)),""))</f>
        <v/>
      </c>
      <c r="P257" s="27" t="str">
        <f aca="false">IF($B257="","",IFERROR(INDEX(Inventory!$C$4:$C$503,MATCH($B257,Inventory!$A$4:$A$503,0)),""))</f>
        <v/>
      </c>
    </row>
    <row r="258" customFormat="false" ht="15" hidden="false" customHeight="false" outlineLevel="0" collapsed="false">
      <c r="A258" s="19"/>
      <c r="B258" s="10"/>
      <c r="C258" s="23" t="str">
        <f aca="false">IF($B258="","",IFERROR(INDEX(Inventory!$E$4:$E$503,MATCH($B258,Inventory!$A$4:$A$503,0)),"SKU not found"))</f>
        <v/>
      </c>
      <c r="D258" s="10"/>
      <c r="E258" s="12"/>
      <c r="F258" s="12"/>
      <c r="G258" s="12"/>
      <c r="H258" s="24" t="str">
        <f aca="false">IF(OR(B258="",D258="",E258=""),"",IFERROR(IF(AND(D258="Poshmark",E258&lt;Settings!$B$20),Settings!$B$21,(E258+IF(INDEX(Settings!$E$4:$E$11,MATCH($D258,Settings!$A$4:$A$11,0))="Y",N(F258),0))*(INDEX(Settings!$B$4:$B$11,MATCH($D258,Settings!$A$4:$A$11,0))+INDEX(Settings!$D$4:$D$11,MATCH($D258,Settings!$A$4:$A$11,0)))+INDEX(Settings!$C$4:$C$11,MATCH($D258,Settings!$A$4:$A$11,0))),0))</f>
        <v/>
      </c>
      <c r="I258" s="12"/>
      <c r="J258" s="12"/>
      <c r="K258" s="24" t="str">
        <f aca="false">IF($B258="","",IFERROR(INDEX(Inventory!$J$4:$J$503,MATCH($B258,Inventory!$A$4:$A$503,0)),0))</f>
        <v/>
      </c>
      <c r="L258" s="24" t="str">
        <f aca="false">IF(OR(B258="",E258=""),"",E258+N(F258)-N(G258)-N(H258)-N(J258)-N(K258))</f>
        <v/>
      </c>
      <c r="M258" s="28" t="str">
        <f aca="false">IF(OR(L258="",N(K258)=0),"",L258/K258)</f>
        <v/>
      </c>
      <c r="N258" s="25" t="str">
        <f aca="false">IF(OR(A258="",B258=""),"",IFERROR(A258-INDEX(Inventory!$B$4:$B$503,MATCH($B258,Inventory!$A$4:$A$503,0)),""))</f>
        <v/>
      </c>
      <c r="O258" s="27" t="str">
        <f aca="false">IF($B258="","",IFERROR(INDEX(Inventory!$F$4:$F$503,MATCH($B258,Inventory!$A$4:$A$503,0)),""))</f>
        <v/>
      </c>
      <c r="P258" s="27" t="str">
        <f aca="false">IF($B258="","",IFERROR(INDEX(Inventory!$C$4:$C$503,MATCH($B258,Inventory!$A$4:$A$503,0)),""))</f>
        <v/>
      </c>
    </row>
    <row r="259" customFormat="false" ht="15" hidden="false" customHeight="false" outlineLevel="0" collapsed="false">
      <c r="A259" s="19"/>
      <c r="B259" s="10"/>
      <c r="C259" s="23" t="str">
        <f aca="false">IF($B259="","",IFERROR(INDEX(Inventory!$E$4:$E$503,MATCH($B259,Inventory!$A$4:$A$503,0)),"SKU not found"))</f>
        <v/>
      </c>
      <c r="D259" s="10"/>
      <c r="E259" s="12"/>
      <c r="F259" s="12"/>
      <c r="G259" s="12"/>
      <c r="H259" s="24" t="str">
        <f aca="false">IF(OR(B259="",D259="",E259=""),"",IFERROR(IF(AND(D259="Poshmark",E259&lt;Settings!$B$20),Settings!$B$21,(E259+IF(INDEX(Settings!$E$4:$E$11,MATCH($D259,Settings!$A$4:$A$11,0))="Y",N(F259),0))*(INDEX(Settings!$B$4:$B$11,MATCH($D259,Settings!$A$4:$A$11,0))+INDEX(Settings!$D$4:$D$11,MATCH($D259,Settings!$A$4:$A$11,0)))+INDEX(Settings!$C$4:$C$11,MATCH($D259,Settings!$A$4:$A$11,0))),0))</f>
        <v/>
      </c>
      <c r="I259" s="12"/>
      <c r="J259" s="12"/>
      <c r="K259" s="24" t="str">
        <f aca="false">IF($B259="","",IFERROR(INDEX(Inventory!$J$4:$J$503,MATCH($B259,Inventory!$A$4:$A$503,0)),0))</f>
        <v/>
      </c>
      <c r="L259" s="24" t="str">
        <f aca="false">IF(OR(B259="",E259=""),"",E259+N(F259)-N(G259)-N(H259)-N(J259)-N(K259))</f>
        <v/>
      </c>
      <c r="M259" s="28" t="str">
        <f aca="false">IF(OR(L259="",N(K259)=0),"",L259/K259)</f>
        <v/>
      </c>
      <c r="N259" s="25" t="str">
        <f aca="false">IF(OR(A259="",B259=""),"",IFERROR(A259-INDEX(Inventory!$B$4:$B$503,MATCH($B259,Inventory!$A$4:$A$503,0)),""))</f>
        <v/>
      </c>
      <c r="O259" s="27" t="str">
        <f aca="false">IF($B259="","",IFERROR(INDEX(Inventory!$F$4:$F$503,MATCH($B259,Inventory!$A$4:$A$503,0)),""))</f>
        <v/>
      </c>
      <c r="P259" s="27" t="str">
        <f aca="false">IF($B259="","",IFERROR(INDEX(Inventory!$C$4:$C$503,MATCH($B259,Inventory!$A$4:$A$503,0)),""))</f>
        <v/>
      </c>
    </row>
    <row r="260" customFormat="false" ht="15" hidden="false" customHeight="false" outlineLevel="0" collapsed="false">
      <c r="A260" s="19"/>
      <c r="B260" s="10"/>
      <c r="C260" s="23" t="str">
        <f aca="false">IF($B260="","",IFERROR(INDEX(Inventory!$E$4:$E$503,MATCH($B260,Inventory!$A$4:$A$503,0)),"SKU not found"))</f>
        <v/>
      </c>
      <c r="D260" s="10"/>
      <c r="E260" s="12"/>
      <c r="F260" s="12"/>
      <c r="G260" s="12"/>
      <c r="H260" s="24" t="str">
        <f aca="false">IF(OR(B260="",D260="",E260=""),"",IFERROR(IF(AND(D260="Poshmark",E260&lt;Settings!$B$20),Settings!$B$21,(E260+IF(INDEX(Settings!$E$4:$E$11,MATCH($D260,Settings!$A$4:$A$11,0))="Y",N(F260),0))*(INDEX(Settings!$B$4:$B$11,MATCH($D260,Settings!$A$4:$A$11,0))+INDEX(Settings!$D$4:$D$11,MATCH($D260,Settings!$A$4:$A$11,0)))+INDEX(Settings!$C$4:$C$11,MATCH($D260,Settings!$A$4:$A$11,0))),0))</f>
        <v/>
      </c>
      <c r="I260" s="12"/>
      <c r="J260" s="12"/>
      <c r="K260" s="24" t="str">
        <f aca="false">IF($B260="","",IFERROR(INDEX(Inventory!$J$4:$J$503,MATCH($B260,Inventory!$A$4:$A$503,0)),0))</f>
        <v/>
      </c>
      <c r="L260" s="24" t="str">
        <f aca="false">IF(OR(B260="",E260=""),"",E260+N(F260)-N(G260)-N(H260)-N(J260)-N(K260))</f>
        <v/>
      </c>
      <c r="M260" s="28" t="str">
        <f aca="false">IF(OR(L260="",N(K260)=0),"",L260/K260)</f>
        <v/>
      </c>
      <c r="N260" s="25" t="str">
        <f aca="false">IF(OR(A260="",B260=""),"",IFERROR(A260-INDEX(Inventory!$B$4:$B$503,MATCH($B260,Inventory!$A$4:$A$503,0)),""))</f>
        <v/>
      </c>
      <c r="O260" s="27" t="str">
        <f aca="false">IF($B260="","",IFERROR(INDEX(Inventory!$F$4:$F$503,MATCH($B260,Inventory!$A$4:$A$503,0)),""))</f>
        <v/>
      </c>
      <c r="P260" s="27" t="str">
        <f aca="false">IF($B260="","",IFERROR(INDEX(Inventory!$C$4:$C$503,MATCH($B260,Inventory!$A$4:$A$503,0)),""))</f>
        <v/>
      </c>
    </row>
    <row r="261" customFormat="false" ht="15" hidden="false" customHeight="false" outlineLevel="0" collapsed="false">
      <c r="A261" s="19"/>
      <c r="B261" s="10"/>
      <c r="C261" s="23" t="str">
        <f aca="false">IF($B261="","",IFERROR(INDEX(Inventory!$E$4:$E$503,MATCH($B261,Inventory!$A$4:$A$503,0)),"SKU not found"))</f>
        <v/>
      </c>
      <c r="D261" s="10"/>
      <c r="E261" s="12"/>
      <c r="F261" s="12"/>
      <c r="G261" s="12"/>
      <c r="H261" s="24" t="str">
        <f aca="false">IF(OR(B261="",D261="",E261=""),"",IFERROR(IF(AND(D261="Poshmark",E261&lt;Settings!$B$20),Settings!$B$21,(E261+IF(INDEX(Settings!$E$4:$E$11,MATCH($D261,Settings!$A$4:$A$11,0))="Y",N(F261),0))*(INDEX(Settings!$B$4:$B$11,MATCH($D261,Settings!$A$4:$A$11,0))+INDEX(Settings!$D$4:$D$11,MATCH($D261,Settings!$A$4:$A$11,0)))+INDEX(Settings!$C$4:$C$11,MATCH($D261,Settings!$A$4:$A$11,0))),0))</f>
        <v/>
      </c>
      <c r="I261" s="12"/>
      <c r="J261" s="12"/>
      <c r="K261" s="24" t="str">
        <f aca="false">IF($B261="","",IFERROR(INDEX(Inventory!$J$4:$J$503,MATCH($B261,Inventory!$A$4:$A$503,0)),0))</f>
        <v/>
      </c>
      <c r="L261" s="24" t="str">
        <f aca="false">IF(OR(B261="",E261=""),"",E261+N(F261)-N(G261)-N(H261)-N(J261)-N(K261))</f>
        <v/>
      </c>
      <c r="M261" s="28" t="str">
        <f aca="false">IF(OR(L261="",N(K261)=0),"",L261/K261)</f>
        <v/>
      </c>
      <c r="N261" s="25" t="str">
        <f aca="false">IF(OR(A261="",B261=""),"",IFERROR(A261-INDEX(Inventory!$B$4:$B$503,MATCH($B261,Inventory!$A$4:$A$503,0)),""))</f>
        <v/>
      </c>
      <c r="O261" s="27" t="str">
        <f aca="false">IF($B261="","",IFERROR(INDEX(Inventory!$F$4:$F$503,MATCH($B261,Inventory!$A$4:$A$503,0)),""))</f>
        <v/>
      </c>
      <c r="P261" s="27" t="str">
        <f aca="false">IF($B261="","",IFERROR(INDEX(Inventory!$C$4:$C$503,MATCH($B261,Inventory!$A$4:$A$503,0)),""))</f>
        <v/>
      </c>
    </row>
    <row r="262" customFormat="false" ht="15" hidden="false" customHeight="false" outlineLevel="0" collapsed="false">
      <c r="A262" s="19"/>
      <c r="B262" s="10"/>
      <c r="C262" s="23" t="str">
        <f aca="false">IF($B262="","",IFERROR(INDEX(Inventory!$E$4:$E$503,MATCH($B262,Inventory!$A$4:$A$503,0)),"SKU not found"))</f>
        <v/>
      </c>
      <c r="D262" s="10"/>
      <c r="E262" s="12"/>
      <c r="F262" s="12"/>
      <c r="G262" s="12"/>
      <c r="H262" s="24" t="str">
        <f aca="false">IF(OR(B262="",D262="",E262=""),"",IFERROR(IF(AND(D262="Poshmark",E262&lt;Settings!$B$20),Settings!$B$21,(E262+IF(INDEX(Settings!$E$4:$E$11,MATCH($D262,Settings!$A$4:$A$11,0))="Y",N(F262),0))*(INDEX(Settings!$B$4:$B$11,MATCH($D262,Settings!$A$4:$A$11,0))+INDEX(Settings!$D$4:$D$11,MATCH($D262,Settings!$A$4:$A$11,0)))+INDEX(Settings!$C$4:$C$11,MATCH($D262,Settings!$A$4:$A$11,0))),0))</f>
        <v/>
      </c>
      <c r="I262" s="12"/>
      <c r="J262" s="12"/>
      <c r="K262" s="24" t="str">
        <f aca="false">IF($B262="","",IFERROR(INDEX(Inventory!$J$4:$J$503,MATCH($B262,Inventory!$A$4:$A$503,0)),0))</f>
        <v/>
      </c>
      <c r="L262" s="24" t="str">
        <f aca="false">IF(OR(B262="",E262=""),"",E262+N(F262)-N(G262)-N(H262)-N(J262)-N(K262))</f>
        <v/>
      </c>
      <c r="M262" s="28" t="str">
        <f aca="false">IF(OR(L262="",N(K262)=0),"",L262/K262)</f>
        <v/>
      </c>
      <c r="N262" s="25" t="str">
        <f aca="false">IF(OR(A262="",B262=""),"",IFERROR(A262-INDEX(Inventory!$B$4:$B$503,MATCH($B262,Inventory!$A$4:$A$503,0)),""))</f>
        <v/>
      </c>
      <c r="O262" s="27" t="str">
        <f aca="false">IF($B262="","",IFERROR(INDEX(Inventory!$F$4:$F$503,MATCH($B262,Inventory!$A$4:$A$503,0)),""))</f>
        <v/>
      </c>
      <c r="P262" s="27" t="str">
        <f aca="false">IF($B262="","",IFERROR(INDEX(Inventory!$C$4:$C$503,MATCH($B262,Inventory!$A$4:$A$503,0)),""))</f>
        <v/>
      </c>
    </row>
    <row r="263" customFormat="false" ht="15" hidden="false" customHeight="false" outlineLevel="0" collapsed="false">
      <c r="A263" s="19"/>
      <c r="B263" s="10"/>
      <c r="C263" s="23" t="str">
        <f aca="false">IF($B263="","",IFERROR(INDEX(Inventory!$E$4:$E$503,MATCH($B263,Inventory!$A$4:$A$503,0)),"SKU not found"))</f>
        <v/>
      </c>
      <c r="D263" s="10"/>
      <c r="E263" s="12"/>
      <c r="F263" s="12"/>
      <c r="G263" s="12"/>
      <c r="H263" s="24" t="str">
        <f aca="false">IF(OR(B263="",D263="",E263=""),"",IFERROR(IF(AND(D263="Poshmark",E263&lt;Settings!$B$20),Settings!$B$21,(E263+IF(INDEX(Settings!$E$4:$E$11,MATCH($D263,Settings!$A$4:$A$11,0))="Y",N(F263),0))*(INDEX(Settings!$B$4:$B$11,MATCH($D263,Settings!$A$4:$A$11,0))+INDEX(Settings!$D$4:$D$11,MATCH($D263,Settings!$A$4:$A$11,0)))+INDEX(Settings!$C$4:$C$11,MATCH($D263,Settings!$A$4:$A$11,0))),0))</f>
        <v/>
      </c>
      <c r="I263" s="12"/>
      <c r="J263" s="12"/>
      <c r="K263" s="24" t="str">
        <f aca="false">IF($B263="","",IFERROR(INDEX(Inventory!$J$4:$J$503,MATCH($B263,Inventory!$A$4:$A$503,0)),0))</f>
        <v/>
      </c>
      <c r="L263" s="24" t="str">
        <f aca="false">IF(OR(B263="",E263=""),"",E263+N(F263)-N(G263)-N(H263)-N(J263)-N(K263))</f>
        <v/>
      </c>
      <c r="M263" s="28" t="str">
        <f aca="false">IF(OR(L263="",N(K263)=0),"",L263/K263)</f>
        <v/>
      </c>
      <c r="N263" s="25" t="str">
        <f aca="false">IF(OR(A263="",B263=""),"",IFERROR(A263-INDEX(Inventory!$B$4:$B$503,MATCH($B263,Inventory!$A$4:$A$503,0)),""))</f>
        <v/>
      </c>
      <c r="O263" s="27" t="str">
        <f aca="false">IF($B263="","",IFERROR(INDEX(Inventory!$F$4:$F$503,MATCH($B263,Inventory!$A$4:$A$503,0)),""))</f>
        <v/>
      </c>
      <c r="P263" s="27" t="str">
        <f aca="false">IF($B263="","",IFERROR(INDEX(Inventory!$C$4:$C$503,MATCH($B263,Inventory!$A$4:$A$503,0)),""))</f>
        <v/>
      </c>
    </row>
    <row r="264" customFormat="false" ht="15" hidden="false" customHeight="false" outlineLevel="0" collapsed="false">
      <c r="A264" s="19"/>
      <c r="B264" s="10"/>
      <c r="C264" s="23" t="str">
        <f aca="false">IF($B264="","",IFERROR(INDEX(Inventory!$E$4:$E$503,MATCH($B264,Inventory!$A$4:$A$503,0)),"SKU not found"))</f>
        <v/>
      </c>
      <c r="D264" s="10"/>
      <c r="E264" s="12"/>
      <c r="F264" s="12"/>
      <c r="G264" s="12"/>
      <c r="H264" s="24" t="str">
        <f aca="false">IF(OR(B264="",D264="",E264=""),"",IFERROR(IF(AND(D264="Poshmark",E264&lt;Settings!$B$20),Settings!$B$21,(E264+IF(INDEX(Settings!$E$4:$E$11,MATCH($D264,Settings!$A$4:$A$11,0))="Y",N(F264),0))*(INDEX(Settings!$B$4:$B$11,MATCH($D264,Settings!$A$4:$A$11,0))+INDEX(Settings!$D$4:$D$11,MATCH($D264,Settings!$A$4:$A$11,0)))+INDEX(Settings!$C$4:$C$11,MATCH($D264,Settings!$A$4:$A$11,0))),0))</f>
        <v/>
      </c>
      <c r="I264" s="12"/>
      <c r="J264" s="12"/>
      <c r="K264" s="24" t="str">
        <f aca="false">IF($B264="","",IFERROR(INDEX(Inventory!$J$4:$J$503,MATCH($B264,Inventory!$A$4:$A$503,0)),0))</f>
        <v/>
      </c>
      <c r="L264" s="24" t="str">
        <f aca="false">IF(OR(B264="",E264=""),"",E264+N(F264)-N(G264)-N(H264)-N(J264)-N(K264))</f>
        <v/>
      </c>
      <c r="M264" s="28" t="str">
        <f aca="false">IF(OR(L264="",N(K264)=0),"",L264/K264)</f>
        <v/>
      </c>
      <c r="N264" s="25" t="str">
        <f aca="false">IF(OR(A264="",B264=""),"",IFERROR(A264-INDEX(Inventory!$B$4:$B$503,MATCH($B264,Inventory!$A$4:$A$503,0)),""))</f>
        <v/>
      </c>
      <c r="O264" s="27" t="str">
        <f aca="false">IF($B264="","",IFERROR(INDEX(Inventory!$F$4:$F$503,MATCH($B264,Inventory!$A$4:$A$503,0)),""))</f>
        <v/>
      </c>
      <c r="P264" s="27" t="str">
        <f aca="false">IF($B264="","",IFERROR(INDEX(Inventory!$C$4:$C$503,MATCH($B264,Inventory!$A$4:$A$503,0)),""))</f>
        <v/>
      </c>
    </row>
    <row r="265" customFormat="false" ht="15" hidden="false" customHeight="false" outlineLevel="0" collapsed="false">
      <c r="A265" s="19"/>
      <c r="B265" s="10"/>
      <c r="C265" s="23" t="str">
        <f aca="false">IF($B265="","",IFERROR(INDEX(Inventory!$E$4:$E$503,MATCH($B265,Inventory!$A$4:$A$503,0)),"SKU not found"))</f>
        <v/>
      </c>
      <c r="D265" s="10"/>
      <c r="E265" s="12"/>
      <c r="F265" s="12"/>
      <c r="G265" s="12"/>
      <c r="H265" s="24" t="str">
        <f aca="false">IF(OR(B265="",D265="",E265=""),"",IFERROR(IF(AND(D265="Poshmark",E265&lt;Settings!$B$20),Settings!$B$21,(E265+IF(INDEX(Settings!$E$4:$E$11,MATCH($D265,Settings!$A$4:$A$11,0))="Y",N(F265),0))*(INDEX(Settings!$B$4:$B$11,MATCH($D265,Settings!$A$4:$A$11,0))+INDEX(Settings!$D$4:$D$11,MATCH($D265,Settings!$A$4:$A$11,0)))+INDEX(Settings!$C$4:$C$11,MATCH($D265,Settings!$A$4:$A$11,0))),0))</f>
        <v/>
      </c>
      <c r="I265" s="12"/>
      <c r="J265" s="12"/>
      <c r="K265" s="24" t="str">
        <f aca="false">IF($B265="","",IFERROR(INDEX(Inventory!$J$4:$J$503,MATCH($B265,Inventory!$A$4:$A$503,0)),0))</f>
        <v/>
      </c>
      <c r="L265" s="24" t="str">
        <f aca="false">IF(OR(B265="",E265=""),"",E265+N(F265)-N(G265)-N(H265)-N(J265)-N(K265))</f>
        <v/>
      </c>
      <c r="M265" s="28" t="str">
        <f aca="false">IF(OR(L265="",N(K265)=0),"",L265/K265)</f>
        <v/>
      </c>
      <c r="N265" s="25" t="str">
        <f aca="false">IF(OR(A265="",B265=""),"",IFERROR(A265-INDEX(Inventory!$B$4:$B$503,MATCH($B265,Inventory!$A$4:$A$503,0)),""))</f>
        <v/>
      </c>
      <c r="O265" s="27" t="str">
        <f aca="false">IF($B265="","",IFERROR(INDEX(Inventory!$F$4:$F$503,MATCH($B265,Inventory!$A$4:$A$503,0)),""))</f>
        <v/>
      </c>
      <c r="P265" s="27" t="str">
        <f aca="false">IF($B265="","",IFERROR(INDEX(Inventory!$C$4:$C$503,MATCH($B265,Inventory!$A$4:$A$503,0)),""))</f>
        <v/>
      </c>
    </row>
    <row r="266" customFormat="false" ht="15" hidden="false" customHeight="false" outlineLevel="0" collapsed="false">
      <c r="A266" s="19"/>
      <c r="B266" s="10"/>
      <c r="C266" s="23" t="str">
        <f aca="false">IF($B266="","",IFERROR(INDEX(Inventory!$E$4:$E$503,MATCH($B266,Inventory!$A$4:$A$503,0)),"SKU not found"))</f>
        <v/>
      </c>
      <c r="D266" s="10"/>
      <c r="E266" s="12"/>
      <c r="F266" s="12"/>
      <c r="G266" s="12"/>
      <c r="H266" s="24" t="str">
        <f aca="false">IF(OR(B266="",D266="",E266=""),"",IFERROR(IF(AND(D266="Poshmark",E266&lt;Settings!$B$20),Settings!$B$21,(E266+IF(INDEX(Settings!$E$4:$E$11,MATCH($D266,Settings!$A$4:$A$11,0))="Y",N(F266),0))*(INDEX(Settings!$B$4:$B$11,MATCH($D266,Settings!$A$4:$A$11,0))+INDEX(Settings!$D$4:$D$11,MATCH($D266,Settings!$A$4:$A$11,0)))+INDEX(Settings!$C$4:$C$11,MATCH($D266,Settings!$A$4:$A$11,0))),0))</f>
        <v/>
      </c>
      <c r="I266" s="12"/>
      <c r="J266" s="12"/>
      <c r="K266" s="24" t="str">
        <f aca="false">IF($B266="","",IFERROR(INDEX(Inventory!$J$4:$J$503,MATCH($B266,Inventory!$A$4:$A$503,0)),0))</f>
        <v/>
      </c>
      <c r="L266" s="24" t="str">
        <f aca="false">IF(OR(B266="",E266=""),"",E266+N(F266)-N(G266)-N(H266)-N(J266)-N(K266))</f>
        <v/>
      </c>
      <c r="M266" s="28" t="str">
        <f aca="false">IF(OR(L266="",N(K266)=0),"",L266/K266)</f>
        <v/>
      </c>
      <c r="N266" s="25" t="str">
        <f aca="false">IF(OR(A266="",B266=""),"",IFERROR(A266-INDEX(Inventory!$B$4:$B$503,MATCH($B266,Inventory!$A$4:$A$503,0)),""))</f>
        <v/>
      </c>
      <c r="O266" s="27" t="str">
        <f aca="false">IF($B266="","",IFERROR(INDEX(Inventory!$F$4:$F$503,MATCH($B266,Inventory!$A$4:$A$503,0)),""))</f>
        <v/>
      </c>
      <c r="P266" s="27" t="str">
        <f aca="false">IF($B266="","",IFERROR(INDEX(Inventory!$C$4:$C$503,MATCH($B266,Inventory!$A$4:$A$503,0)),""))</f>
        <v/>
      </c>
    </row>
    <row r="267" customFormat="false" ht="15" hidden="false" customHeight="false" outlineLevel="0" collapsed="false">
      <c r="A267" s="19"/>
      <c r="B267" s="10"/>
      <c r="C267" s="23" t="str">
        <f aca="false">IF($B267="","",IFERROR(INDEX(Inventory!$E$4:$E$503,MATCH($B267,Inventory!$A$4:$A$503,0)),"SKU not found"))</f>
        <v/>
      </c>
      <c r="D267" s="10"/>
      <c r="E267" s="12"/>
      <c r="F267" s="12"/>
      <c r="G267" s="12"/>
      <c r="H267" s="24" t="str">
        <f aca="false">IF(OR(B267="",D267="",E267=""),"",IFERROR(IF(AND(D267="Poshmark",E267&lt;Settings!$B$20),Settings!$B$21,(E267+IF(INDEX(Settings!$E$4:$E$11,MATCH($D267,Settings!$A$4:$A$11,0))="Y",N(F267),0))*(INDEX(Settings!$B$4:$B$11,MATCH($D267,Settings!$A$4:$A$11,0))+INDEX(Settings!$D$4:$D$11,MATCH($D267,Settings!$A$4:$A$11,0)))+INDEX(Settings!$C$4:$C$11,MATCH($D267,Settings!$A$4:$A$11,0))),0))</f>
        <v/>
      </c>
      <c r="I267" s="12"/>
      <c r="J267" s="12"/>
      <c r="K267" s="24" t="str">
        <f aca="false">IF($B267="","",IFERROR(INDEX(Inventory!$J$4:$J$503,MATCH($B267,Inventory!$A$4:$A$503,0)),0))</f>
        <v/>
      </c>
      <c r="L267" s="24" t="str">
        <f aca="false">IF(OR(B267="",E267=""),"",E267+N(F267)-N(G267)-N(H267)-N(J267)-N(K267))</f>
        <v/>
      </c>
      <c r="M267" s="28" t="str">
        <f aca="false">IF(OR(L267="",N(K267)=0),"",L267/K267)</f>
        <v/>
      </c>
      <c r="N267" s="25" t="str">
        <f aca="false">IF(OR(A267="",B267=""),"",IFERROR(A267-INDEX(Inventory!$B$4:$B$503,MATCH($B267,Inventory!$A$4:$A$503,0)),""))</f>
        <v/>
      </c>
      <c r="O267" s="27" t="str">
        <f aca="false">IF($B267="","",IFERROR(INDEX(Inventory!$F$4:$F$503,MATCH($B267,Inventory!$A$4:$A$503,0)),""))</f>
        <v/>
      </c>
      <c r="P267" s="27" t="str">
        <f aca="false">IF($B267="","",IFERROR(INDEX(Inventory!$C$4:$C$503,MATCH($B267,Inventory!$A$4:$A$503,0)),""))</f>
        <v/>
      </c>
    </row>
    <row r="268" customFormat="false" ht="15" hidden="false" customHeight="false" outlineLevel="0" collapsed="false">
      <c r="A268" s="19"/>
      <c r="B268" s="10"/>
      <c r="C268" s="23" t="str">
        <f aca="false">IF($B268="","",IFERROR(INDEX(Inventory!$E$4:$E$503,MATCH($B268,Inventory!$A$4:$A$503,0)),"SKU not found"))</f>
        <v/>
      </c>
      <c r="D268" s="10"/>
      <c r="E268" s="12"/>
      <c r="F268" s="12"/>
      <c r="G268" s="12"/>
      <c r="H268" s="24" t="str">
        <f aca="false">IF(OR(B268="",D268="",E268=""),"",IFERROR(IF(AND(D268="Poshmark",E268&lt;Settings!$B$20),Settings!$B$21,(E268+IF(INDEX(Settings!$E$4:$E$11,MATCH($D268,Settings!$A$4:$A$11,0))="Y",N(F268),0))*(INDEX(Settings!$B$4:$B$11,MATCH($D268,Settings!$A$4:$A$11,0))+INDEX(Settings!$D$4:$D$11,MATCH($D268,Settings!$A$4:$A$11,0)))+INDEX(Settings!$C$4:$C$11,MATCH($D268,Settings!$A$4:$A$11,0))),0))</f>
        <v/>
      </c>
      <c r="I268" s="12"/>
      <c r="J268" s="12"/>
      <c r="K268" s="24" t="str">
        <f aca="false">IF($B268="","",IFERROR(INDEX(Inventory!$J$4:$J$503,MATCH($B268,Inventory!$A$4:$A$503,0)),0))</f>
        <v/>
      </c>
      <c r="L268" s="24" t="str">
        <f aca="false">IF(OR(B268="",E268=""),"",E268+N(F268)-N(G268)-N(H268)-N(J268)-N(K268))</f>
        <v/>
      </c>
      <c r="M268" s="28" t="str">
        <f aca="false">IF(OR(L268="",N(K268)=0),"",L268/K268)</f>
        <v/>
      </c>
      <c r="N268" s="25" t="str">
        <f aca="false">IF(OR(A268="",B268=""),"",IFERROR(A268-INDEX(Inventory!$B$4:$B$503,MATCH($B268,Inventory!$A$4:$A$503,0)),""))</f>
        <v/>
      </c>
      <c r="O268" s="27" t="str">
        <f aca="false">IF($B268="","",IFERROR(INDEX(Inventory!$F$4:$F$503,MATCH($B268,Inventory!$A$4:$A$503,0)),""))</f>
        <v/>
      </c>
      <c r="P268" s="27" t="str">
        <f aca="false">IF($B268="","",IFERROR(INDEX(Inventory!$C$4:$C$503,MATCH($B268,Inventory!$A$4:$A$503,0)),""))</f>
        <v/>
      </c>
    </row>
    <row r="269" customFormat="false" ht="15" hidden="false" customHeight="false" outlineLevel="0" collapsed="false">
      <c r="A269" s="19"/>
      <c r="B269" s="10"/>
      <c r="C269" s="23" t="str">
        <f aca="false">IF($B269="","",IFERROR(INDEX(Inventory!$E$4:$E$503,MATCH($B269,Inventory!$A$4:$A$503,0)),"SKU not found"))</f>
        <v/>
      </c>
      <c r="D269" s="10"/>
      <c r="E269" s="12"/>
      <c r="F269" s="12"/>
      <c r="G269" s="12"/>
      <c r="H269" s="24" t="str">
        <f aca="false">IF(OR(B269="",D269="",E269=""),"",IFERROR(IF(AND(D269="Poshmark",E269&lt;Settings!$B$20),Settings!$B$21,(E269+IF(INDEX(Settings!$E$4:$E$11,MATCH($D269,Settings!$A$4:$A$11,0))="Y",N(F269),0))*(INDEX(Settings!$B$4:$B$11,MATCH($D269,Settings!$A$4:$A$11,0))+INDEX(Settings!$D$4:$D$11,MATCH($D269,Settings!$A$4:$A$11,0)))+INDEX(Settings!$C$4:$C$11,MATCH($D269,Settings!$A$4:$A$11,0))),0))</f>
        <v/>
      </c>
      <c r="I269" s="12"/>
      <c r="J269" s="12"/>
      <c r="K269" s="24" t="str">
        <f aca="false">IF($B269="","",IFERROR(INDEX(Inventory!$J$4:$J$503,MATCH($B269,Inventory!$A$4:$A$503,0)),0))</f>
        <v/>
      </c>
      <c r="L269" s="24" t="str">
        <f aca="false">IF(OR(B269="",E269=""),"",E269+N(F269)-N(G269)-N(H269)-N(J269)-N(K269))</f>
        <v/>
      </c>
      <c r="M269" s="28" t="str">
        <f aca="false">IF(OR(L269="",N(K269)=0),"",L269/K269)</f>
        <v/>
      </c>
      <c r="N269" s="25" t="str">
        <f aca="false">IF(OR(A269="",B269=""),"",IFERROR(A269-INDEX(Inventory!$B$4:$B$503,MATCH($B269,Inventory!$A$4:$A$503,0)),""))</f>
        <v/>
      </c>
      <c r="O269" s="27" t="str">
        <f aca="false">IF($B269="","",IFERROR(INDEX(Inventory!$F$4:$F$503,MATCH($B269,Inventory!$A$4:$A$503,0)),""))</f>
        <v/>
      </c>
      <c r="P269" s="27" t="str">
        <f aca="false">IF($B269="","",IFERROR(INDEX(Inventory!$C$4:$C$503,MATCH($B269,Inventory!$A$4:$A$503,0)),""))</f>
        <v/>
      </c>
    </row>
    <row r="270" customFormat="false" ht="15" hidden="false" customHeight="false" outlineLevel="0" collapsed="false">
      <c r="A270" s="19"/>
      <c r="B270" s="10"/>
      <c r="C270" s="23" t="str">
        <f aca="false">IF($B270="","",IFERROR(INDEX(Inventory!$E$4:$E$503,MATCH($B270,Inventory!$A$4:$A$503,0)),"SKU not found"))</f>
        <v/>
      </c>
      <c r="D270" s="10"/>
      <c r="E270" s="12"/>
      <c r="F270" s="12"/>
      <c r="G270" s="12"/>
      <c r="H270" s="24" t="str">
        <f aca="false">IF(OR(B270="",D270="",E270=""),"",IFERROR(IF(AND(D270="Poshmark",E270&lt;Settings!$B$20),Settings!$B$21,(E270+IF(INDEX(Settings!$E$4:$E$11,MATCH($D270,Settings!$A$4:$A$11,0))="Y",N(F270),0))*(INDEX(Settings!$B$4:$B$11,MATCH($D270,Settings!$A$4:$A$11,0))+INDEX(Settings!$D$4:$D$11,MATCH($D270,Settings!$A$4:$A$11,0)))+INDEX(Settings!$C$4:$C$11,MATCH($D270,Settings!$A$4:$A$11,0))),0))</f>
        <v/>
      </c>
      <c r="I270" s="12"/>
      <c r="J270" s="12"/>
      <c r="K270" s="24" t="str">
        <f aca="false">IF($B270="","",IFERROR(INDEX(Inventory!$J$4:$J$503,MATCH($B270,Inventory!$A$4:$A$503,0)),0))</f>
        <v/>
      </c>
      <c r="L270" s="24" t="str">
        <f aca="false">IF(OR(B270="",E270=""),"",E270+N(F270)-N(G270)-N(H270)-N(J270)-N(K270))</f>
        <v/>
      </c>
      <c r="M270" s="28" t="str">
        <f aca="false">IF(OR(L270="",N(K270)=0),"",L270/K270)</f>
        <v/>
      </c>
      <c r="N270" s="25" t="str">
        <f aca="false">IF(OR(A270="",B270=""),"",IFERROR(A270-INDEX(Inventory!$B$4:$B$503,MATCH($B270,Inventory!$A$4:$A$503,0)),""))</f>
        <v/>
      </c>
      <c r="O270" s="27" t="str">
        <f aca="false">IF($B270="","",IFERROR(INDEX(Inventory!$F$4:$F$503,MATCH($B270,Inventory!$A$4:$A$503,0)),""))</f>
        <v/>
      </c>
      <c r="P270" s="27" t="str">
        <f aca="false">IF($B270="","",IFERROR(INDEX(Inventory!$C$4:$C$503,MATCH($B270,Inventory!$A$4:$A$503,0)),""))</f>
        <v/>
      </c>
    </row>
    <row r="271" customFormat="false" ht="15" hidden="false" customHeight="false" outlineLevel="0" collapsed="false">
      <c r="A271" s="19"/>
      <c r="B271" s="10"/>
      <c r="C271" s="23" t="str">
        <f aca="false">IF($B271="","",IFERROR(INDEX(Inventory!$E$4:$E$503,MATCH($B271,Inventory!$A$4:$A$503,0)),"SKU not found"))</f>
        <v/>
      </c>
      <c r="D271" s="10"/>
      <c r="E271" s="12"/>
      <c r="F271" s="12"/>
      <c r="G271" s="12"/>
      <c r="H271" s="24" t="str">
        <f aca="false">IF(OR(B271="",D271="",E271=""),"",IFERROR(IF(AND(D271="Poshmark",E271&lt;Settings!$B$20),Settings!$B$21,(E271+IF(INDEX(Settings!$E$4:$E$11,MATCH($D271,Settings!$A$4:$A$11,0))="Y",N(F271),0))*(INDEX(Settings!$B$4:$B$11,MATCH($D271,Settings!$A$4:$A$11,0))+INDEX(Settings!$D$4:$D$11,MATCH($D271,Settings!$A$4:$A$11,0)))+INDEX(Settings!$C$4:$C$11,MATCH($D271,Settings!$A$4:$A$11,0))),0))</f>
        <v/>
      </c>
      <c r="I271" s="12"/>
      <c r="J271" s="12"/>
      <c r="K271" s="24" t="str">
        <f aca="false">IF($B271="","",IFERROR(INDEX(Inventory!$J$4:$J$503,MATCH($B271,Inventory!$A$4:$A$503,0)),0))</f>
        <v/>
      </c>
      <c r="L271" s="24" t="str">
        <f aca="false">IF(OR(B271="",E271=""),"",E271+N(F271)-N(G271)-N(H271)-N(J271)-N(K271))</f>
        <v/>
      </c>
      <c r="M271" s="28" t="str">
        <f aca="false">IF(OR(L271="",N(K271)=0),"",L271/K271)</f>
        <v/>
      </c>
      <c r="N271" s="25" t="str">
        <f aca="false">IF(OR(A271="",B271=""),"",IFERROR(A271-INDEX(Inventory!$B$4:$B$503,MATCH($B271,Inventory!$A$4:$A$503,0)),""))</f>
        <v/>
      </c>
      <c r="O271" s="27" t="str">
        <f aca="false">IF($B271="","",IFERROR(INDEX(Inventory!$F$4:$F$503,MATCH($B271,Inventory!$A$4:$A$503,0)),""))</f>
        <v/>
      </c>
      <c r="P271" s="27" t="str">
        <f aca="false">IF($B271="","",IFERROR(INDEX(Inventory!$C$4:$C$503,MATCH($B271,Inventory!$A$4:$A$503,0)),""))</f>
        <v/>
      </c>
    </row>
    <row r="272" customFormat="false" ht="15" hidden="false" customHeight="false" outlineLevel="0" collapsed="false">
      <c r="A272" s="19"/>
      <c r="B272" s="10"/>
      <c r="C272" s="23" t="str">
        <f aca="false">IF($B272="","",IFERROR(INDEX(Inventory!$E$4:$E$503,MATCH($B272,Inventory!$A$4:$A$503,0)),"SKU not found"))</f>
        <v/>
      </c>
      <c r="D272" s="10"/>
      <c r="E272" s="12"/>
      <c r="F272" s="12"/>
      <c r="G272" s="12"/>
      <c r="H272" s="24" t="str">
        <f aca="false">IF(OR(B272="",D272="",E272=""),"",IFERROR(IF(AND(D272="Poshmark",E272&lt;Settings!$B$20),Settings!$B$21,(E272+IF(INDEX(Settings!$E$4:$E$11,MATCH($D272,Settings!$A$4:$A$11,0))="Y",N(F272),0))*(INDEX(Settings!$B$4:$B$11,MATCH($D272,Settings!$A$4:$A$11,0))+INDEX(Settings!$D$4:$D$11,MATCH($D272,Settings!$A$4:$A$11,0)))+INDEX(Settings!$C$4:$C$11,MATCH($D272,Settings!$A$4:$A$11,0))),0))</f>
        <v/>
      </c>
      <c r="I272" s="12"/>
      <c r="J272" s="12"/>
      <c r="K272" s="24" t="str">
        <f aca="false">IF($B272="","",IFERROR(INDEX(Inventory!$J$4:$J$503,MATCH($B272,Inventory!$A$4:$A$503,0)),0))</f>
        <v/>
      </c>
      <c r="L272" s="24" t="str">
        <f aca="false">IF(OR(B272="",E272=""),"",E272+N(F272)-N(G272)-N(H272)-N(J272)-N(K272))</f>
        <v/>
      </c>
      <c r="M272" s="28" t="str">
        <f aca="false">IF(OR(L272="",N(K272)=0),"",L272/K272)</f>
        <v/>
      </c>
      <c r="N272" s="25" t="str">
        <f aca="false">IF(OR(A272="",B272=""),"",IFERROR(A272-INDEX(Inventory!$B$4:$B$503,MATCH($B272,Inventory!$A$4:$A$503,0)),""))</f>
        <v/>
      </c>
      <c r="O272" s="27" t="str">
        <f aca="false">IF($B272="","",IFERROR(INDEX(Inventory!$F$4:$F$503,MATCH($B272,Inventory!$A$4:$A$503,0)),""))</f>
        <v/>
      </c>
      <c r="P272" s="27" t="str">
        <f aca="false">IF($B272="","",IFERROR(INDEX(Inventory!$C$4:$C$503,MATCH($B272,Inventory!$A$4:$A$503,0)),""))</f>
        <v/>
      </c>
    </row>
    <row r="273" customFormat="false" ht="15" hidden="false" customHeight="false" outlineLevel="0" collapsed="false">
      <c r="A273" s="19"/>
      <c r="B273" s="10"/>
      <c r="C273" s="23" t="str">
        <f aca="false">IF($B273="","",IFERROR(INDEX(Inventory!$E$4:$E$503,MATCH($B273,Inventory!$A$4:$A$503,0)),"SKU not found"))</f>
        <v/>
      </c>
      <c r="D273" s="10"/>
      <c r="E273" s="12"/>
      <c r="F273" s="12"/>
      <c r="G273" s="12"/>
      <c r="H273" s="24" t="str">
        <f aca="false">IF(OR(B273="",D273="",E273=""),"",IFERROR(IF(AND(D273="Poshmark",E273&lt;Settings!$B$20),Settings!$B$21,(E273+IF(INDEX(Settings!$E$4:$E$11,MATCH($D273,Settings!$A$4:$A$11,0))="Y",N(F273),0))*(INDEX(Settings!$B$4:$B$11,MATCH($D273,Settings!$A$4:$A$11,0))+INDEX(Settings!$D$4:$D$11,MATCH($D273,Settings!$A$4:$A$11,0)))+INDEX(Settings!$C$4:$C$11,MATCH($D273,Settings!$A$4:$A$11,0))),0))</f>
        <v/>
      </c>
      <c r="I273" s="12"/>
      <c r="J273" s="12"/>
      <c r="K273" s="24" t="str">
        <f aca="false">IF($B273="","",IFERROR(INDEX(Inventory!$J$4:$J$503,MATCH($B273,Inventory!$A$4:$A$503,0)),0))</f>
        <v/>
      </c>
      <c r="L273" s="24" t="str">
        <f aca="false">IF(OR(B273="",E273=""),"",E273+N(F273)-N(G273)-N(H273)-N(J273)-N(K273))</f>
        <v/>
      </c>
      <c r="M273" s="28" t="str">
        <f aca="false">IF(OR(L273="",N(K273)=0),"",L273/K273)</f>
        <v/>
      </c>
      <c r="N273" s="25" t="str">
        <f aca="false">IF(OR(A273="",B273=""),"",IFERROR(A273-INDEX(Inventory!$B$4:$B$503,MATCH($B273,Inventory!$A$4:$A$503,0)),""))</f>
        <v/>
      </c>
      <c r="O273" s="27" t="str">
        <f aca="false">IF($B273="","",IFERROR(INDEX(Inventory!$F$4:$F$503,MATCH($B273,Inventory!$A$4:$A$503,0)),""))</f>
        <v/>
      </c>
      <c r="P273" s="27" t="str">
        <f aca="false">IF($B273="","",IFERROR(INDEX(Inventory!$C$4:$C$503,MATCH($B273,Inventory!$A$4:$A$503,0)),""))</f>
        <v/>
      </c>
    </row>
    <row r="274" customFormat="false" ht="15" hidden="false" customHeight="false" outlineLevel="0" collapsed="false">
      <c r="A274" s="19"/>
      <c r="B274" s="10"/>
      <c r="C274" s="23" t="str">
        <f aca="false">IF($B274="","",IFERROR(INDEX(Inventory!$E$4:$E$503,MATCH($B274,Inventory!$A$4:$A$503,0)),"SKU not found"))</f>
        <v/>
      </c>
      <c r="D274" s="10"/>
      <c r="E274" s="12"/>
      <c r="F274" s="12"/>
      <c r="G274" s="12"/>
      <c r="H274" s="24" t="str">
        <f aca="false">IF(OR(B274="",D274="",E274=""),"",IFERROR(IF(AND(D274="Poshmark",E274&lt;Settings!$B$20),Settings!$B$21,(E274+IF(INDEX(Settings!$E$4:$E$11,MATCH($D274,Settings!$A$4:$A$11,0))="Y",N(F274),0))*(INDEX(Settings!$B$4:$B$11,MATCH($D274,Settings!$A$4:$A$11,0))+INDEX(Settings!$D$4:$D$11,MATCH($D274,Settings!$A$4:$A$11,0)))+INDEX(Settings!$C$4:$C$11,MATCH($D274,Settings!$A$4:$A$11,0))),0))</f>
        <v/>
      </c>
      <c r="I274" s="12"/>
      <c r="J274" s="12"/>
      <c r="K274" s="24" t="str">
        <f aca="false">IF($B274="","",IFERROR(INDEX(Inventory!$J$4:$J$503,MATCH($B274,Inventory!$A$4:$A$503,0)),0))</f>
        <v/>
      </c>
      <c r="L274" s="24" t="str">
        <f aca="false">IF(OR(B274="",E274=""),"",E274+N(F274)-N(G274)-N(H274)-N(J274)-N(K274))</f>
        <v/>
      </c>
      <c r="M274" s="28" t="str">
        <f aca="false">IF(OR(L274="",N(K274)=0),"",L274/K274)</f>
        <v/>
      </c>
      <c r="N274" s="25" t="str">
        <f aca="false">IF(OR(A274="",B274=""),"",IFERROR(A274-INDEX(Inventory!$B$4:$B$503,MATCH($B274,Inventory!$A$4:$A$503,0)),""))</f>
        <v/>
      </c>
      <c r="O274" s="27" t="str">
        <f aca="false">IF($B274="","",IFERROR(INDEX(Inventory!$F$4:$F$503,MATCH($B274,Inventory!$A$4:$A$503,0)),""))</f>
        <v/>
      </c>
      <c r="P274" s="27" t="str">
        <f aca="false">IF($B274="","",IFERROR(INDEX(Inventory!$C$4:$C$503,MATCH($B274,Inventory!$A$4:$A$503,0)),""))</f>
        <v/>
      </c>
    </row>
    <row r="275" customFormat="false" ht="15" hidden="false" customHeight="false" outlineLevel="0" collapsed="false">
      <c r="A275" s="19"/>
      <c r="B275" s="10"/>
      <c r="C275" s="23" t="str">
        <f aca="false">IF($B275="","",IFERROR(INDEX(Inventory!$E$4:$E$503,MATCH($B275,Inventory!$A$4:$A$503,0)),"SKU not found"))</f>
        <v/>
      </c>
      <c r="D275" s="10"/>
      <c r="E275" s="12"/>
      <c r="F275" s="12"/>
      <c r="G275" s="12"/>
      <c r="H275" s="24" t="str">
        <f aca="false">IF(OR(B275="",D275="",E275=""),"",IFERROR(IF(AND(D275="Poshmark",E275&lt;Settings!$B$20),Settings!$B$21,(E275+IF(INDEX(Settings!$E$4:$E$11,MATCH($D275,Settings!$A$4:$A$11,0))="Y",N(F275),0))*(INDEX(Settings!$B$4:$B$11,MATCH($D275,Settings!$A$4:$A$11,0))+INDEX(Settings!$D$4:$D$11,MATCH($D275,Settings!$A$4:$A$11,0)))+INDEX(Settings!$C$4:$C$11,MATCH($D275,Settings!$A$4:$A$11,0))),0))</f>
        <v/>
      </c>
      <c r="I275" s="12"/>
      <c r="J275" s="12"/>
      <c r="K275" s="24" t="str">
        <f aca="false">IF($B275="","",IFERROR(INDEX(Inventory!$J$4:$J$503,MATCH($B275,Inventory!$A$4:$A$503,0)),0))</f>
        <v/>
      </c>
      <c r="L275" s="24" t="str">
        <f aca="false">IF(OR(B275="",E275=""),"",E275+N(F275)-N(G275)-N(H275)-N(J275)-N(K275))</f>
        <v/>
      </c>
      <c r="M275" s="28" t="str">
        <f aca="false">IF(OR(L275="",N(K275)=0),"",L275/K275)</f>
        <v/>
      </c>
      <c r="N275" s="25" t="str">
        <f aca="false">IF(OR(A275="",B275=""),"",IFERROR(A275-INDEX(Inventory!$B$4:$B$503,MATCH($B275,Inventory!$A$4:$A$503,0)),""))</f>
        <v/>
      </c>
      <c r="O275" s="27" t="str">
        <f aca="false">IF($B275="","",IFERROR(INDEX(Inventory!$F$4:$F$503,MATCH($B275,Inventory!$A$4:$A$503,0)),""))</f>
        <v/>
      </c>
      <c r="P275" s="27" t="str">
        <f aca="false">IF($B275="","",IFERROR(INDEX(Inventory!$C$4:$C$503,MATCH($B275,Inventory!$A$4:$A$503,0)),""))</f>
        <v/>
      </c>
    </row>
    <row r="276" customFormat="false" ht="15" hidden="false" customHeight="false" outlineLevel="0" collapsed="false">
      <c r="A276" s="19"/>
      <c r="B276" s="10"/>
      <c r="C276" s="23" t="str">
        <f aca="false">IF($B276="","",IFERROR(INDEX(Inventory!$E$4:$E$503,MATCH($B276,Inventory!$A$4:$A$503,0)),"SKU not found"))</f>
        <v/>
      </c>
      <c r="D276" s="10"/>
      <c r="E276" s="12"/>
      <c r="F276" s="12"/>
      <c r="G276" s="12"/>
      <c r="H276" s="24" t="str">
        <f aca="false">IF(OR(B276="",D276="",E276=""),"",IFERROR(IF(AND(D276="Poshmark",E276&lt;Settings!$B$20),Settings!$B$21,(E276+IF(INDEX(Settings!$E$4:$E$11,MATCH($D276,Settings!$A$4:$A$11,0))="Y",N(F276),0))*(INDEX(Settings!$B$4:$B$11,MATCH($D276,Settings!$A$4:$A$11,0))+INDEX(Settings!$D$4:$D$11,MATCH($D276,Settings!$A$4:$A$11,0)))+INDEX(Settings!$C$4:$C$11,MATCH($D276,Settings!$A$4:$A$11,0))),0))</f>
        <v/>
      </c>
      <c r="I276" s="12"/>
      <c r="J276" s="12"/>
      <c r="K276" s="24" t="str">
        <f aca="false">IF($B276="","",IFERROR(INDEX(Inventory!$J$4:$J$503,MATCH($B276,Inventory!$A$4:$A$503,0)),0))</f>
        <v/>
      </c>
      <c r="L276" s="24" t="str">
        <f aca="false">IF(OR(B276="",E276=""),"",E276+N(F276)-N(G276)-N(H276)-N(J276)-N(K276))</f>
        <v/>
      </c>
      <c r="M276" s="28" t="str">
        <f aca="false">IF(OR(L276="",N(K276)=0),"",L276/K276)</f>
        <v/>
      </c>
      <c r="N276" s="25" t="str">
        <f aca="false">IF(OR(A276="",B276=""),"",IFERROR(A276-INDEX(Inventory!$B$4:$B$503,MATCH($B276,Inventory!$A$4:$A$503,0)),""))</f>
        <v/>
      </c>
      <c r="O276" s="27" t="str">
        <f aca="false">IF($B276="","",IFERROR(INDEX(Inventory!$F$4:$F$503,MATCH($B276,Inventory!$A$4:$A$503,0)),""))</f>
        <v/>
      </c>
      <c r="P276" s="27" t="str">
        <f aca="false">IF($B276="","",IFERROR(INDEX(Inventory!$C$4:$C$503,MATCH($B276,Inventory!$A$4:$A$503,0)),""))</f>
        <v/>
      </c>
    </row>
    <row r="277" customFormat="false" ht="15" hidden="false" customHeight="false" outlineLevel="0" collapsed="false">
      <c r="A277" s="19"/>
      <c r="B277" s="10"/>
      <c r="C277" s="23" t="str">
        <f aca="false">IF($B277="","",IFERROR(INDEX(Inventory!$E$4:$E$503,MATCH($B277,Inventory!$A$4:$A$503,0)),"SKU not found"))</f>
        <v/>
      </c>
      <c r="D277" s="10"/>
      <c r="E277" s="12"/>
      <c r="F277" s="12"/>
      <c r="G277" s="12"/>
      <c r="H277" s="24" t="str">
        <f aca="false">IF(OR(B277="",D277="",E277=""),"",IFERROR(IF(AND(D277="Poshmark",E277&lt;Settings!$B$20),Settings!$B$21,(E277+IF(INDEX(Settings!$E$4:$E$11,MATCH($D277,Settings!$A$4:$A$11,0))="Y",N(F277),0))*(INDEX(Settings!$B$4:$B$11,MATCH($D277,Settings!$A$4:$A$11,0))+INDEX(Settings!$D$4:$D$11,MATCH($D277,Settings!$A$4:$A$11,0)))+INDEX(Settings!$C$4:$C$11,MATCH($D277,Settings!$A$4:$A$11,0))),0))</f>
        <v/>
      </c>
      <c r="I277" s="12"/>
      <c r="J277" s="12"/>
      <c r="K277" s="24" t="str">
        <f aca="false">IF($B277="","",IFERROR(INDEX(Inventory!$J$4:$J$503,MATCH($B277,Inventory!$A$4:$A$503,0)),0))</f>
        <v/>
      </c>
      <c r="L277" s="24" t="str">
        <f aca="false">IF(OR(B277="",E277=""),"",E277+N(F277)-N(G277)-N(H277)-N(J277)-N(K277))</f>
        <v/>
      </c>
      <c r="M277" s="28" t="str">
        <f aca="false">IF(OR(L277="",N(K277)=0),"",L277/K277)</f>
        <v/>
      </c>
      <c r="N277" s="25" t="str">
        <f aca="false">IF(OR(A277="",B277=""),"",IFERROR(A277-INDEX(Inventory!$B$4:$B$503,MATCH($B277,Inventory!$A$4:$A$503,0)),""))</f>
        <v/>
      </c>
      <c r="O277" s="27" t="str">
        <f aca="false">IF($B277="","",IFERROR(INDEX(Inventory!$F$4:$F$503,MATCH($B277,Inventory!$A$4:$A$503,0)),""))</f>
        <v/>
      </c>
      <c r="P277" s="27" t="str">
        <f aca="false">IF($B277="","",IFERROR(INDEX(Inventory!$C$4:$C$503,MATCH($B277,Inventory!$A$4:$A$503,0)),""))</f>
        <v/>
      </c>
    </row>
    <row r="278" customFormat="false" ht="15" hidden="false" customHeight="false" outlineLevel="0" collapsed="false">
      <c r="A278" s="19"/>
      <c r="B278" s="10"/>
      <c r="C278" s="23" t="str">
        <f aca="false">IF($B278="","",IFERROR(INDEX(Inventory!$E$4:$E$503,MATCH($B278,Inventory!$A$4:$A$503,0)),"SKU not found"))</f>
        <v/>
      </c>
      <c r="D278" s="10"/>
      <c r="E278" s="12"/>
      <c r="F278" s="12"/>
      <c r="G278" s="12"/>
      <c r="H278" s="24" t="str">
        <f aca="false">IF(OR(B278="",D278="",E278=""),"",IFERROR(IF(AND(D278="Poshmark",E278&lt;Settings!$B$20),Settings!$B$21,(E278+IF(INDEX(Settings!$E$4:$E$11,MATCH($D278,Settings!$A$4:$A$11,0))="Y",N(F278),0))*(INDEX(Settings!$B$4:$B$11,MATCH($D278,Settings!$A$4:$A$11,0))+INDEX(Settings!$D$4:$D$11,MATCH($D278,Settings!$A$4:$A$11,0)))+INDEX(Settings!$C$4:$C$11,MATCH($D278,Settings!$A$4:$A$11,0))),0))</f>
        <v/>
      </c>
      <c r="I278" s="12"/>
      <c r="J278" s="12"/>
      <c r="K278" s="24" t="str">
        <f aca="false">IF($B278="","",IFERROR(INDEX(Inventory!$J$4:$J$503,MATCH($B278,Inventory!$A$4:$A$503,0)),0))</f>
        <v/>
      </c>
      <c r="L278" s="24" t="str">
        <f aca="false">IF(OR(B278="",E278=""),"",E278+N(F278)-N(G278)-N(H278)-N(J278)-N(K278))</f>
        <v/>
      </c>
      <c r="M278" s="28" t="str">
        <f aca="false">IF(OR(L278="",N(K278)=0),"",L278/K278)</f>
        <v/>
      </c>
      <c r="N278" s="25" t="str">
        <f aca="false">IF(OR(A278="",B278=""),"",IFERROR(A278-INDEX(Inventory!$B$4:$B$503,MATCH($B278,Inventory!$A$4:$A$503,0)),""))</f>
        <v/>
      </c>
      <c r="O278" s="27" t="str">
        <f aca="false">IF($B278="","",IFERROR(INDEX(Inventory!$F$4:$F$503,MATCH($B278,Inventory!$A$4:$A$503,0)),""))</f>
        <v/>
      </c>
      <c r="P278" s="27" t="str">
        <f aca="false">IF($B278="","",IFERROR(INDEX(Inventory!$C$4:$C$503,MATCH($B278,Inventory!$A$4:$A$503,0)),""))</f>
        <v/>
      </c>
    </row>
    <row r="279" customFormat="false" ht="15" hidden="false" customHeight="false" outlineLevel="0" collapsed="false">
      <c r="A279" s="19"/>
      <c r="B279" s="10"/>
      <c r="C279" s="23" t="str">
        <f aca="false">IF($B279="","",IFERROR(INDEX(Inventory!$E$4:$E$503,MATCH($B279,Inventory!$A$4:$A$503,0)),"SKU not found"))</f>
        <v/>
      </c>
      <c r="D279" s="10"/>
      <c r="E279" s="12"/>
      <c r="F279" s="12"/>
      <c r="G279" s="12"/>
      <c r="H279" s="24" t="str">
        <f aca="false">IF(OR(B279="",D279="",E279=""),"",IFERROR(IF(AND(D279="Poshmark",E279&lt;Settings!$B$20),Settings!$B$21,(E279+IF(INDEX(Settings!$E$4:$E$11,MATCH($D279,Settings!$A$4:$A$11,0))="Y",N(F279),0))*(INDEX(Settings!$B$4:$B$11,MATCH($D279,Settings!$A$4:$A$11,0))+INDEX(Settings!$D$4:$D$11,MATCH($D279,Settings!$A$4:$A$11,0)))+INDEX(Settings!$C$4:$C$11,MATCH($D279,Settings!$A$4:$A$11,0))),0))</f>
        <v/>
      </c>
      <c r="I279" s="12"/>
      <c r="J279" s="12"/>
      <c r="K279" s="24" t="str">
        <f aca="false">IF($B279="","",IFERROR(INDEX(Inventory!$J$4:$J$503,MATCH($B279,Inventory!$A$4:$A$503,0)),0))</f>
        <v/>
      </c>
      <c r="L279" s="24" t="str">
        <f aca="false">IF(OR(B279="",E279=""),"",E279+N(F279)-N(G279)-N(H279)-N(J279)-N(K279))</f>
        <v/>
      </c>
      <c r="M279" s="28" t="str">
        <f aca="false">IF(OR(L279="",N(K279)=0),"",L279/K279)</f>
        <v/>
      </c>
      <c r="N279" s="25" t="str">
        <f aca="false">IF(OR(A279="",B279=""),"",IFERROR(A279-INDEX(Inventory!$B$4:$B$503,MATCH($B279,Inventory!$A$4:$A$503,0)),""))</f>
        <v/>
      </c>
      <c r="O279" s="27" t="str">
        <f aca="false">IF($B279="","",IFERROR(INDEX(Inventory!$F$4:$F$503,MATCH($B279,Inventory!$A$4:$A$503,0)),""))</f>
        <v/>
      </c>
      <c r="P279" s="27" t="str">
        <f aca="false">IF($B279="","",IFERROR(INDEX(Inventory!$C$4:$C$503,MATCH($B279,Inventory!$A$4:$A$503,0)),""))</f>
        <v/>
      </c>
    </row>
    <row r="280" customFormat="false" ht="15" hidden="false" customHeight="false" outlineLevel="0" collapsed="false">
      <c r="A280" s="19"/>
      <c r="B280" s="10"/>
      <c r="C280" s="23" t="str">
        <f aca="false">IF($B280="","",IFERROR(INDEX(Inventory!$E$4:$E$503,MATCH($B280,Inventory!$A$4:$A$503,0)),"SKU not found"))</f>
        <v/>
      </c>
      <c r="D280" s="10"/>
      <c r="E280" s="12"/>
      <c r="F280" s="12"/>
      <c r="G280" s="12"/>
      <c r="H280" s="24" t="str">
        <f aca="false">IF(OR(B280="",D280="",E280=""),"",IFERROR(IF(AND(D280="Poshmark",E280&lt;Settings!$B$20),Settings!$B$21,(E280+IF(INDEX(Settings!$E$4:$E$11,MATCH($D280,Settings!$A$4:$A$11,0))="Y",N(F280),0))*(INDEX(Settings!$B$4:$B$11,MATCH($D280,Settings!$A$4:$A$11,0))+INDEX(Settings!$D$4:$D$11,MATCH($D280,Settings!$A$4:$A$11,0)))+INDEX(Settings!$C$4:$C$11,MATCH($D280,Settings!$A$4:$A$11,0))),0))</f>
        <v/>
      </c>
      <c r="I280" s="12"/>
      <c r="J280" s="12"/>
      <c r="K280" s="24" t="str">
        <f aca="false">IF($B280="","",IFERROR(INDEX(Inventory!$J$4:$J$503,MATCH($B280,Inventory!$A$4:$A$503,0)),0))</f>
        <v/>
      </c>
      <c r="L280" s="24" t="str">
        <f aca="false">IF(OR(B280="",E280=""),"",E280+N(F280)-N(G280)-N(H280)-N(J280)-N(K280))</f>
        <v/>
      </c>
      <c r="M280" s="28" t="str">
        <f aca="false">IF(OR(L280="",N(K280)=0),"",L280/K280)</f>
        <v/>
      </c>
      <c r="N280" s="25" t="str">
        <f aca="false">IF(OR(A280="",B280=""),"",IFERROR(A280-INDEX(Inventory!$B$4:$B$503,MATCH($B280,Inventory!$A$4:$A$503,0)),""))</f>
        <v/>
      </c>
      <c r="O280" s="27" t="str">
        <f aca="false">IF($B280="","",IFERROR(INDEX(Inventory!$F$4:$F$503,MATCH($B280,Inventory!$A$4:$A$503,0)),""))</f>
        <v/>
      </c>
      <c r="P280" s="27" t="str">
        <f aca="false">IF($B280="","",IFERROR(INDEX(Inventory!$C$4:$C$503,MATCH($B280,Inventory!$A$4:$A$503,0)),""))</f>
        <v/>
      </c>
    </row>
    <row r="281" customFormat="false" ht="15" hidden="false" customHeight="false" outlineLevel="0" collapsed="false">
      <c r="A281" s="19"/>
      <c r="B281" s="10"/>
      <c r="C281" s="23" t="str">
        <f aca="false">IF($B281="","",IFERROR(INDEX(Inventory!$E$4:$E$503,MATCH($B281,Inventory!$A$4:$A$503,0)),"SKU not found"))</f>
        <v/>
      </c>
      <c r="D281" s="10"/>
      <c r="E281" s="12"/>
      <c r="F281" s="12"/>
      <c r="G281" s="12"/>
      <c r="H281" s="24" t="str">
        <f aca="false">IF(OR(B281="",D281="",E281=""),"",IFERROR(IF(AND(D281="Poshmark",E281&lt;Settings!$B$20),Settings!$B$21,(E281+IF(INDEX(Settings!$E$4:$E$11,MATCH($D281,Settings!$A$4:$A$11,0))="Y",N(F281),0))*(INDEX(Settings!$B$4:$B$11,MATCH($D281,Settings!$A$4:$A$11,0))+INDEX(Settings!$D$4:$D$11,MATCH($D281,Settings!$A$4:$A$11,0)))+INDEX(Settings!$C$4:$C$11,MATCH($D281,Settings!$A$4:$A$11,0))),0))</f>
        <v/>
      </c>
      <c r="I281" s="12"/>
      <c r="J281" s="12"/>
      <c r="K281" s="24" t="str">
        <f aca="false">IF($B281="","",IFERROR(INDEX(Inventory!$J$4:$J$503,MATCH($B281,Inventory!$A$4:$A$503,0)),0))</f>
        <v/>
      </c>
      <c r="L281" s="24" t="str">
        <f aca="false">IF(OR(B281="",E281=""),"",E281+N(F281)-N(G281)-N(H281)-N(J281)-N(K281))</f>
        <v/>
      </c>
      <c r="M281" s="28" t="str">
        <f aca="false">IF(OR(L281="",N(K281)=0),"",L281/K281)</f>
        <v/>
      </c>
      <c r="N281" s="25" t="str">
        <f aca="false">IF(OR(A281="",B281=""),"",IFERROR(A281-INDEX(Inventory!$B$4:$B$503,MATCH($B281,Inventory!$A$4:$A$503,0)),""))</f>
        <v/>
      </c>
      <c r="O281" s="27" t="str">
        <f aca="false">IF($B281="","",IFERROR(INDEX(Inventory!$F$4:$F$503,MATCH($B281,Inventory!$A$4:$A$503,0)),""))</f>
        <v/>
      </c>
      <c r="P281" s="27" t="str">
        <f aca="false">IF($B281="","",IFERROR(INDEX(Inventory!$C$4:$C$503,MATCH($B281,Inventory!$A$4:$A$503,0)),""))</f>
        <v/>
      </c>
    </row>
    <row r="282" customFormat="false" ht="15" hidden="false" customHeight="false" outlineLevel="0" collapsed="false">
      <c r="A282" s="19"/>
      <c r="B282" s="10"/>
      <c r="C282" s="23" t="str">
        <f aca="false">IF($B282="","",IFERROR(INDEX(Inventory!$E$4:$E$503,MATCH($B282,Inventory!$A$4:$A$503,0)),"SKU not found"))</f>
        <v/>
      </c>
      <c r="D282" s="10"/>
      <c r="E282" s="12"/>
      <c r="F282" s="12"/>
      <c r="G282" s="12"/>
      <c r="H282" s="24" t="str">
        <f aca="false">IF(OR(B282="",D282="",E282=""),"",IFERROR(IF(AND(D282="Poshmark",E282&lt;Settings!$B$20),Settings!$B$21,(E282+IF(INDEX(Settings!$E$4:$E$11,MATCH($D282,Settings!$A$4:$A$11,0))="Y",N(F282),0))*(INDEX(Settings!$B$4:$B$11,MATCH($D282,Settings!$A$4:$A$11,0))+INDEX(Settings!$D$4:$D$11,MATCH($D282,Settings!$A$4:$A$11,0)))+INDEX(Settings!$C$4:$C$11,MATCH($D282,Settings!$A$4:$A$11,0))),0))</f>
        <v/>
      </c>
      <c r="I282" s="12"/>
      <c r="J282" s="12"/>
      <c r="K282" s="24" t="str">
        <f aca="false">IF($B282="","",IFERROR(INDEX(Inventory!$J$4:$J$503,MATCH($B282,Inventory!$A$4:$A$503,0)),0))</f>
        <v/>
      </c>
      <c r="L282" s="24" t="str">
        <f aca="false">IF(OR(B282="",E282=""),"",E282+N(F282)-N(G282)-N(H282)-N(J282)-N(K282))</f>
        <v/>
      </c>
      <c r="M282" s="28" t="str">
        <f aca="false">IF(OR(L282="",N(K282)=0),"",L282/K282)</f>
        <v/>
      </c>
      <c r="N282" s="25" t="str">
        <f aca="false">IF(OR(A282="",B282=""),"",IFERROR(A282-INDEX(Inventory!$B$4:$B$503,MATCH($B282,Inventory!$A$4:$A$503,0)),""))</f>
        <v/>
      </c>
      <c r="O282" s="27" t="str">
        <f aca="false">IF($B282="","",IFERROR(INDEX(Inventory!$F$4:$F$503,MATCH($B282,Inventory!$A$4:$A$503,0)),""))</f>
        <v/>
      </c>
      <c r="P282" s="27" t="str">
        <f aca="false">IF($B282="","",IFERROR(INDEX(Inventory!$C$4:$C$503,MATCH($B282,Inventory!$A$4:$A$503,0)),""))</f>
        <v/>
      </c>
    </row>
    <row r="283" customFormat="false" ht="15" hidden="false" customHeight="false" outlineLevel="0" collapsed="false">
      <c r="A283" s="19"/>
      <c r="B283" s="10"/>
      <c r="C283" s="23" t="str">
        <f aca="false">IF($B283="","",IFERROR(INDEX(Inventory!$E$4:$E$503,MATCH($B283,Inventory!$A$4:$A$503,0)),"SKU not found"))</f>
        <v/>
      </c>
      <c r="D283" s="10"/>
      <c r="E283" s="12"/>
      <c r="F283" s="12"/>
      <c r="G283" s="12"/>
      <c r="H283" s="24" t="str">
        <f aca="false">IF(OR(B283="",D283="",E283=""),"",IFERROR(IF(AND(D283="Poshmark",E283&lt;Settings!$B$20),Settings!$B$21,(E283+IF(INDEX(Settings!$E$4:$E$11,MATCH($D283,Settings!$A$4:$A$11,0))="Y",N(F283),0))*(INDEX(Settings!$B$4:$B$11,MATCH($D283,Settings!$A$4:$A$11,0))+INDEX(Settings!$D$4:$D$11,MATCH($D283,Settings!$A$4:$A$11,0)))+INDEX(Settings!$C$4:$C$11,MATCH($D283,Settings!$A$4:$A$11,0))),0))</f>
        <v/>
      </c>
      <c r="I283" s="12"/>
      <c r="J283" s="12"/>
      <c r="K283" s="24" t="str">
        <f aca="false">IF($B283="","",IFERROR(INDEX(Inventory!$J$4:$J$503,MATCH($B283,Inventory!$A$4:$A$503,0)),0))</f>
        <v/>
      </c>
      <c r="L283" s="24" t="str">
        <f aca="false">IF(OR(B283="",E283=""),"",E283+N(F283)-N(G283)-N(H283)-N(J283)-N(K283))</f>
        <v/>
      </c>
      <c r="M283" s="28" t="str">
        <f aca="false">IF(OR(L283="",N(K283)=0),"",L283/K283)</f>
        <v/>
      </c>
      <c r="N283" s="25" t="str">
        <f aca="false">IF(OR(A283="",B283=""),"",IFERROR(A283-INDEX(Inventory!$B$4:$B$503,MATCH($B283,Inventory!$A$4:$A$503,0)),""))</f>
        <v/>
      </c>
      <c r="O283" s="27" t="str">
        <f aca="false">IF($B283="","",IFERROR(INDEX(Inventory!$F$4:$F$503,MATCH($B283,Inventory!$A$4:$A$503,0)),""))</f>
        <v/>
      </c>
      <c r="P283" s="27" t="str">
        <f aca="false">IF($B283="","",IFERROR(INDEX(Inventory!$C$4:$C$503,MATCH($B283,Inventory!$A$4:$A$503,0)),""))</f>
        <v/>
      </c>
    </row>
    <row r="284" customFormat="false" ht="15" hidden="false" customHeight="false" outlineLevel="0" collapsed="false">
      <c r="A284" s="19"/>
      <c r="B284" s="10"/>
      <c r="C284" s="23" t="str">
        <f aca="false">IF($B284="","",IFERROR(INDEX(Inventory!$E$4:$E$503,MATCH($B284,Inventory!$A$4:$A$503,0)),"SKU not found"))</f>
        <v/>
      </c>
      <c r="D284" s="10"/>
      <c r="E284" s="12"/>
      <c r="F284" s="12"/>
      <c r="G284" s="12"/>
      <c r="H284" s="24" t="str">
        <f aca="false">IF(OR(B284="",D284="",E284=""),"",IFERROR(IF(AND(D284="Poshmark",E284&lt;Settings!$B$20),Settings!$B$21,(E284+IF(INDEX(Settings!$E$4:$E$11,MATCH($D284,Settings!$A$4:$A$11,0))="Y",N(F284),0))*(INDEX(Settings!$B$4:$B$11,MATCH($D284,Settings!$A$4:$A$11,0))+INDEX(Settings!$D$4:$D$11,MATCH($D284,Settings!$A$4:$A$11,0)))+INDEX(Settings!$C$4:$C$11,MATCH($D284,Settings!$A$4:$A$11,0))),0))</f>
        <v/>
      </c>
      <c r="I284" s="12"/>
      <c r="J284" s="12"/>
      <c r="K284" s="24" t="str">
        <f aca="false">IF($B284="","",IFERROR(INDEX(Inventory!$J$4:$J$503,MATCH($B284,Inventory!$A$4:$A$503,0)),0))</f>
        <v/>
      </c>
      <c r="L284" s="24" t="str">
        <f aca="false">IF(OR(B284="",E284=""),"",E284+N(F284)-N(G284)-N(H284)-N(J284)-N(K284))</f>
        <v/>
      </c>
      <c r="M284" s="28" t="str">
        <f aca="false">IF(OR(L284="",N(K284)=0),"",L284/K284)</f>
        <v/>
      </c>
      <c r="N284" s="25" t="str">
        <f aca="false">IF(OR(A284="",B284=""),"",IFERROR(A284-INDEX(Inventory!$B$4:$B$503,MATCH($B284,Inventory!$A$4:$A$503,0)),""))</f>
        <v/>
      </c>
      <c r="O284" s="27" t="str">
        <f aca="false">IF($B284="","",IFERROR(INDEX(Inventory!$F$4:$F$503,MATCH($B284,Inventory!$A$4:$A$503,0)),""))</f>
        <v/>
      </c>
      <c r="P284" s="27" t="str">
        <f aca="false">IF($B284="","",IFERROR(INDEX(Inventory!$C$4:$C$503,MATCH($B284,Inventory!$A$4:$A$503,0)),""))</f>
        <v/>
      </c>
    </row>
    <row r="285" customFormat="false" ht="15" hidden="false" customHeight="false" outlineLevel="0" collapsed="false">
      <c r="A285" s="19"/>
      <c r="B285" s="10"/>
      <c r="C285" s="23" t="str">
        <f aca="false">IF($B285="","",IFERROR(INDEX(Inventory!$E$4:$E$503,MATCH($B285,Inventory!$A$4:$A$503,0)),"SKU not found"))</f>
        <v/>
      </c>
      <c r="D285" s="10"/>
      <c r="E285" s="12"/>
      <c r="F285" s="12"/>
      <c r="G285" s="12"/>
      <c r="H285" s="24" t="str">
        <f aca="false">IF(OR(B285="",D285="",E285=""),"",IFERROR(IF(AND(D285="Poshmark",E285&lt;Settings!$B$20),Settings!$B$21,(E285+IF(INDEX(Settings!$E$4:$E$11,MATCH($D285,Settings!$A$4:$A$11,0))="Y",N(F285),0))*(INDEX(Settings!$B$4:$B$11,MATCH($D285,Settings!$A$4:$A$11,0))+INDEX(Settings!$D$4:$D$11,MATCH($D285,Settings!$A$4:$A$11,0)))+INDEX(Settings!$C$4:$C$11,MATCH($D285,Settings!$A$4:$A$11,0))),0))</f>
        <v/>
      </c>
      <c r="I285" s="12"/>
      <c r="J285" s="12"/>
      <c r="K285" s="24" t="str">
        <f aca="false">IF($B285="","",IFERROR(INDEX(Inventory!$J$4:$J$503,MATCH($B285,Inventory!$A$4:$A$503,0)),0))</f>
        <v/>
      </c>
      <c r="L285" s="24" t="str">
        <f aca="false">IF(OR(B285="",E285=""),"",E285+N(F285)-N(G285)-N(H285)-N(J285)-N(K285))</f>
        <v/>
      </c>
      <c r="M285" s="28" t="str">
        <f aca="false">IF(OR(L285="",N(K285)=0),"",L285/K285)</f>
        <v/>
      </c>
      <c r="N285" s="25" t="str">
        <f aca="false">IF(OR(A285="",B285=""),"",IFERROR(A285-INDEX(Inventory!$B$4:$B$503,MATCH($B285,Inventory!$A$4:$A$503,0)),""))</f>
        <v/>
      </c>
      <c r="O285" s="27" t="str">
        <f aca="false">IF($B285="","",IFERROR(INDEX(Inventory!$F$4:$F$503,MATCH($B285,Inventory!$A$4:$A$503,0)),""))</f>
        <v/>
      </c>
      <c r="P285" s="27" t="str">
        <f aca="false">IF($B285="","",IFERROR(INDEX(Inventory!$C$4:$C$503,MATCH($B285,Inventory!$A$4:$A$503,0)),""))</f>
        <v/>
      </c>
    </row>
    <row r="286" customFormat="false" ht="15" hidden="false" customHeight="false" outlineLevel="0" collapsed="false">
      <c r="A286" s="19"/>
      <c r="B286" s="10"/>
      <c r="C286" s="23" t="str">
        <f aca="false">IF($B286="","",IFERROR(INDEX(Inventory!$E$4:$E$503,MATCH($B286,Inventory!$A$4:$A$503,0)),"SKU not found"))</f>
        <v/>
      </c>
      <c r="D286" s="10"/>
      <c r="E286" s="12"/>
      <c r="F286" s="12"/>
      <c r="G286" s="12"/>
      <c r="H286" s="24" t="str">
        <f aca="false">IF(OR(B286="",D286="",E286=""),"",IFERROR(IF(AND(D286="Poshmark",E286&lt;Settings!$B$20),Settings!$B$21,(E286+IF(INDEX(Settings!$E$4:$E$11,MATCH($D286,Settings!$A$4:$A$11,0))="Y",N(F286),0))*(INDEX(Settings!$B$4:$B$11,MATCH($D286,Settings!$A$4:$A$11,0))+INDEX(Settings!$D$4:$D$11,MATCH($D286,Settings!$A$4:$A$11,0)))+INDEX(Settings!$C$4:$C$11,MATCH($D286,Settings!$A$4:$A$11,0))),0))</f>
        <v/>
      </c>
      <c r="I286" s="12"/>
      <c r="J286" s="12"/>
      <c r="K286" s="24" t="str">
        <f aca="false">IF($B286="","",IFERROR(INDEX(Inventory!$J$4:$J$503,MATCH($B286,Inventory!$A$4:$A$503,0)),0))</f>
        <v/>
      </c>
      <c r="L286" s="24" t="str">
        <f aca="false">IF(OR(B286="",E286=""),"",E286+N(F286)-N(G286)-N(H286)-N(J286)-N(K286))</f>
        <v/>
      </c>
      <c r="M286" s="28" t="str">
        <f aca="false">IF(OR(L286="",N(K286)=0),"",L286/K286)</f>
        <v/>
      </c>
      <c r="N286" s="25" t="str">
        <f aca="false">IF(OR(A286="",B286=""),"",IFERROR(A286-INDEX(Inventory!$B$4:$B$503,MATCH($B286,Inventory!$A$4:$A$503,0)),""))</f>
        <v/>
      </c>
      <c r="O286" s="27" t="str">
        <f aca="false">IF($B286="","",IFERROR(INDEX(Inventory!$F$4:$F$503,MATCH($B286,Inventory!$A$4:$A$503,0)),""))</f>
        <v/>
      </c>
      <c r="P286" s="27" t="str">
        <f aca="false">IF($B286="","",IFERROR(INDEX(Inventory!$C$4:$C$503,MATCH($B286,Inventory!$A$4:$A$503,0)),""))</f>
        <v/>
      </c>
    </row>
    <row r="287" customFormat="false" ht="15" hidden="false" customHeight="false" outlineLevel="0" collapsed="false">
      <c r="A287" s="19"/>
      <c r="B287" s="10"/>
      <c r="C287" s="23" t="str">
        <f aca="false">IF($B287="","",IFERROR(INDEX(Inventory!$E$4:$E$503,MATCH($B287,Inventory!$A$4:$A$503,0)),"SKU not found"))</f>
        <v/>
      </c>
      <c r="D287" s="10"/>
      <c r="E287" s="12"/>
      <c r="F287" s="12"/>
      <c r="G287" s="12"/>
      <c r="H287" s="24" t="str">
        <f aca="false">IF(OR(B287="",D287="",E287=""),"",IFERROR(IF(AND(D287="Poshmark",E287&lt;Settings!$B$20),Settings!$B$21,(E287+IF(INDEX(Settings!$E$4:$E$11,MATCH($D287,Settings!$A$4:$A$11,0))="Y",N(F287),0))*(INDEX(Settings!$B$4:$B$11,MATCH($D287,Settings!$A$4:$A$11,0))+INDEX(Settings!$D$4:$D$11,MATCH($D287,Settings!$A$4:$A$11,0)))+INDEX(Settings!$C$4:$C$11,MATCH($D287,Settings!$A$4:$A$11,0))),0))</f>
        <v/>
      </c>
      <c r="I287" s="12"/>
      <c r="J287" s="12"/>
      <c r="K287" s="24" t="str">
        <f aca="false">IF($B287="","",IFERROR(INDEX(Inventory!$J$4:$J$503,MATCH($B287,Inventory!$A$4:$A$503,0)),0))</f>
        <v/>
      </c>
      <c r="L287" s="24" t="str">
        <f aca="false">IF(OR(B287="",E287=""),"",E287+N(F287)-N(G287)-N(H287)-N(J287)-N(K287))</f>
        <v/>
      </c>
      <c r="M287" s="28" t="str">
        <f aca="false">IF(OR(L287="",N(K287)=0),"",L287/K287)</f>
        <v/>
      </c>
      <c r="N287" s="25" t="str">
        <f aca="false">IF(OR(A287="",B287=""),"",IFERROR(A287-INDEX(Inventory!$B$4:$B$503,MATCH($B287,Inventory!$A$4:$A$503,0)),""))</f>
        <v/>
      </c>
      <c r="O287" s="27" t="str">
        <f aca="false">IF($B287="","",IFERROR(INDEX(Inventory!$F$4:$F$503,MATCH($B287,Inventory!$A$4:$A$503,0)),""))</f>
        <v/>
      </c>
      <c r="P287" s="27" t="str">
        <f aca="false">IF($B287="","",IFERROR(INDEX(Inventory!$C$4:$C$503,MATCH($B287,Inventory!$A$4:$A$503,0)),""))</f>
        <v/>
      </c>
    </row>
    <row r="288" customFormat="false" ht="15" hidden="false" customHeight="false" outlineLevel="0" collapsed="false">
      <c r="A288" s="19"/>
      <c r="B288" s="10"/>
      <c r="C288" s="23" t="str">
        <f aca="false">IF($B288="","",IFERROR(INDEX(Inventory!$E$4:$E$503,MATCH($B288,Inventory!$A$4:$A$503,0)),"SKU not found"))</f>
        <v/>
      </c>
      <c r="D288" s="10"/>
      <c r="E288" s="12"/>
      <c r="F288" s="12"/>
      <c r="G288" s="12"/>
      <c r="H288" s="24" t="str">
        <f aca="false">IF(OR(B288="",D288="",E288=""),"",IFERROR(IF(AND(D288="Poshmark",E288&lt;Settings!$B$20),Settings!$B$21,(E288+IF(INDEX(Settings!$E$4:$E$11,MATCH($D288,Settings!$A$4:$A$11,0))="Y",N(F288),0))*(INDEX(Settings!$B$4:$B$11,MATCH($D288,Settings!$A$4:$A$11,0))+INDEX(Settings!$D$4:$D$11,MATCH($D288,Settings!$A$4:$A$11,0)))+INDEX(Settings!$C$4:$C$11,MATCH($D288,Settings!$A$4:$A$11,0))),0))</f>
        <v/>
      </c>
      <c r="I288" s="12"/>
      <c r="J288" s="12"/>
      <c r="K288" s="24" t="str">
        <f aca="false">IF($B288="","",IFERROR(INDEX(Inventory!$J$4:$J$503,MATCH($B288,Inventory!$A$4:$A$503,0)),0))</f>
        <v/>
      </c>
      <c r="L288" s="24" t="str">
        <f aca="false">IF(OR(B288="",E288=""),"",E288+N(F288)-N(G288)-N(H288)-N(J288)-N(K288))</f>
        <v/>
      </c>
      <c r="M288" s="28" t="str">
        <f aca="false">IF(OR(L288="",N(K288)=0),"",L288/K288)</f>
        <v/>
      </c>
      <c r="N288" s="25" t="str">
        <f aca="false">IF(OR(A288="",B288=""),"",IFERROR(A288-INDEX(Inventory!$B$4:$B$503,MATCH($B288,Inventory!$A$4:$A$503,0)),""))</f>
        <v/>
      </c>
      <c r="O288" s="27" t="str">
        <f aca="false">IF($B288="","",IFERROR(INDEX(Inventory!$F$4:$F$503,MATCH($B288,Inventory!$A$4:$A$503,0)),""))</f>
        <v/>
      </c>
      <c r="P288" s="27" t="str">
        <f aca="false">IF($B288="","",IFERROR(INDEX(Inventory!$C$4:$C$503,MATCH($B288,Inventory!$A$4:$A$503,0)),""))</f>
        <v/>
      </c>
    </row>
    <row r="289" customFormat="false" ht="15" hidden="false" customHeight="false" outlineLevel="0" collapsed="false">
      <c r="A289" s="19"/>
      <c r="B289" s="10"/>
      <c r="C289" s="23" t="str">
        <f aca="false">IF($B289="","",IFERROR(INDEX(Inventory!$E$4:$E$503,MATCH($B289,Inventory!$A$4:$A$503,0)),"SKU not found"))</f>
        <v/>
      </c>
      <c r="D289" s="10"/>
      <c r="E289" s="12"/>
      <c r="F289" s="12"/>
      <c r="G289" s="12"/>
      <c r="H289" s="24" t="str">
        <f aca="false">IF(OR(B289="",D289="",E289=""),"",IFERROR(IF(AND(D289="Poshmark",E289&lt;Settings!$B$20),Settings!$B$21,(E289+IF(INDEX(Settings!$E$4:$E$11,MATCH($D289,Settings!$A$4:$A$11,0))="Y",N(F289),0))*(INDEX(Settings!$B$4:$B$11,MATCH($D289,Settings!$A$4:$A$11,0))+INDEX(Settings!$D$4:$D$11,MATCH($D289,Settings!$A$4:$A$11,0)))+INDEX(Settings!$C$4:$C$11,MATCH($D289,Settings!$A$4:$A$11,0))),0))</f>
        <v/>
      </c>
      <c r="I289" s="12"/>
      <c r="J289" s="12"/>
      <c r="K289" s="24" t="str">
        <f aca="false">IF($B289="","",IFERROR(INDEX(Inventory!$J$4:$J$503,MATCH($B289,Inventory!$A$4:$A$503,0)),0))</f>
        <v/>
      </c>
      <c r="L289" s="24" t="str">
        <f aca="false">IF(OR(B289="",E289=""),"",E289+N(F289)-N(G289)-N(H289)-N(J289)-N(K289))</f>
        <v/>
      </c>
      <c r="M289" s="28" t="str">
        <f aca="false">IF(OR(L289="",N(K289)=0),"",L289/K289)</f>
        <v/>
      </c>
      <c r="N289" s="25" t="str">
        <f aca="false">IF(OR(A289="",B289=""),"",IFERROR(A289-INDEX(Inventory!$B$4:$B$503,MATCH($B289,Inventory!$A$4:$A$503,0)),""))</f>
        <v/>
      </c>
      <c r="O289" s="27" t="str">
        <f aca="false">IF($B289="","",IFERROR(INDEX(Inventory!$F$4:$F$503,MATCH($B289,Inventory!$A$4:$A$503,0)),""))</f>
        <v/>
      </c>
      <c r="P289" s="27" t="str">
        <f aca="false">IF($B289="","",IFERROR(INDEX(Inventory!$C$4:$C$503,MATCH($B289,Inventory!$A$4:$A$503,0)),""))</f>
        <v/>
      </c>
    </row>
    <row r="290" customFormat="false" ht="15" hidden="false" customHeight="false" outlineLevel="0" collapsed="false">
      <c r="A290" s="19"/>
      <c r="B290" s="10"/>
      <c r="C290" s="23" t="str">
        <f aca="false">IF($B290="","",IFERROR(INDEX(Inventory!$E$4:$E$503,MATCH($B290,Inventory!$A$4:$A$503,0)),"SKU not found"))</f>
        <v/>
      </c>
      <c r="D290" s="10"/>
      <c r="E290" s="12"/>
      <c r="F290" s="12"/>
      <c r="G290" s="12"/>
      <c r="H290" s="24" t="str">
        <f aca="false">IF(OR(B290="",D290="",E290=""),"",IFERROR(IF(AND(D290="Poshmark",E290&lt;Settings!$B$20),Settings!$B$21,(E290+IF(INDEX(Settings!$E$4:$E$11,MATCH($D290,Settings!$A$4:$A$11,0))="Y",N(F290),0))*(INDEX(Settings!$B$4:$B$11,MATCH($D290,Settings!$A$4:$A$11,0))+INDEX(Settings!$D$4:$D$11,MATCH($D290,Settings!$A$4:$A$11,0)))+INDEX(Settings!$C$4:$C$11,MATCH($D290,Settings!$A$4:$A$11,0))),0))</f>
        <v/>
      </c>
      <c r="I290" s="12"/>
      <c r="J290" s="12"/>
      <c r="K290" s="24" t="str">
        <f aca="false">IF($B290="","",IFERROR(INDEX(Inventory!$J$4:$J$503,MATCH($B290,Inventory!$A$4:$A$503,0)),0))</f>
        <v/>
      </c>
      <c r="L290" s="24" t="str">
        <f aca="false">IF(OR(B290="",E290=""),"",E290+N(F290)-N(G290)-N(H290)-N(J290)-N(K290))</f>
        <v/>
      </c>
      <c r="M290" s="28" t="str">
        <f aca="false">IF(OR(L290="",N(K290)=0),"",L290/K290)</f>
        <v/>
      </c>
      <c r="N290" s="25" t="str">
        <f aca="false">IF(OR(A290="",B290=""),"",IFERROR(A290-INDEX(Inventory!$B$4:$B$503,MATCH($B290,Inventory!$A$4:$A$503,0)),""))</f>
        <v/>
      </c>
      <c r="O290" s="27" t="str">
        <f aca="false">IF($B290="","",IFERROR(INDEX(Inventory!$F$4:$F$503,MATCH($B290,Inventory!$A$4:$A$503,0)),""))</f>
        <v/>
      </c>
      <c r="P290" s="27" t="str">
        <f aca="false">IF($B290="","",IFERROR(INDEX(Inventory!$C$4:$C$503,MATCH($B290,Inventory!$A$4:$A$503,0)),""))</f>
        <v/>
      </c>
    </row>
    <row r="291" customFormat="false" ht="15" hidden="false" customHeight="false" outlineLevel="0" collapsed="false">
      <c r="A291" s="19"/>
      <c r="B291" s="10"/>
      <c r="C291" s="23" t="str">
        <f aca="false">IF($B291="","",IFERROR(INDEX(Inventory!$E$4:$E$503,MATCH($B291,Inventory!$A$4:$A$503,0)),"SKU not found"))</f>
        <v/>
      </c>
      <c r="D291" s="10"/>
      <c r="E291" s="12"/>
      <c r="F291" s="12"/>
      <c r="G291" s="12"/>
      <c r="H291" s="24" t="str">
        <f aca="false">IF(OR(B291="",D291="",E291=""),"",IFERROR(IF(AND(D291="Poshmark",E291&lt;Settings!$B$20),Settings!$B$21,(E291+IF(INDEX(Settings!$E$4:$E$11,MATCH($D291,Settings!$A$4:$A$11,0))="Y",N(F291),0))*(INDEX(Settings!$B$4:$B$11,MATCH($D291,Settings!$A$4:$A$11,0))+INDEX(Settings!$D$4:$D$11,MATCH($D291,Settings!$A$4:$A$11,0)))+INDEX(Settings!$C$4:$C$11,MATCH($D291,Settings!$A$4:$A$11,0))),0))</f>
        <v/>
      </c>
      <c r="I291" s="12"/>
      <c r="J291" s="12"/>
      <c r="K291" s="24" t="str">
        <f aca="false">IF($B291="","",IFERROR(INDEX(Inventory!$J$4:$J$503,MATCH($B291,Inventory!$A$4:$A$503,0)),0))</f>
        <v/>
      </c>
      <c r="L291" s="24" t="str">
        <f aca="false">IF(OR(B291="",E291=""),"",E291+N(F291)-N(G291)-N(H291)-N(J291)-N(K291))</f>
        <v/>
      </c>
      <c r="M291" s="28" t="str">
        <f aca="false">IF(OR(L291="",N(K291)=0),"",L291/K291)</f>
        <v/>
      </c>
      <c r="N291" s="25" t="str">
        <f aca="false">IF(OR(A291="",B291=""),"",IFERROR(A291-INDEX(Inventory!$B$4:$B$503,MATCH($B291,Inventory!$A$4:$A$503,0)),""))</f>
        <v/>
      </c>
      <c r="O291" s="27" t="str">
        <f aca="false">IF($B291="","",IFERROR(INDEX(Inventory!$F$4:$F$503,MATCH($B291,Inventory!$A$4:$A$503,0)),""))</f>
        <v/>
      </c>
      <c r="P291" s="27" t="str">
        <f aca="false">IF($B291="","",IFERROR(INDEX(Inventory!$C$4:$C$503,MATCH($B291,Inventory!$A$4:$A$503,0)),""))</f>
        <v/>
      </c>
    </row>
    <row r="292" customFormat="false" ht="15" hidden="false" customHeight="false" outlineLevel="0" collapsed="false">
      <c r="A292" s="19"/>
      <c r="B292" s="10"/>
      <c r="C292" s="23" t="str">
        <f aca="false">IF($B292="","",IFERROR(INDEX(Inventory!$E$4:$E$503,MATCH($B292,Inventory!$A$4:$A$503,0)),"SKU not found"))</f>
        <v/>
      </c>
      <c r="D292" s="10"/>
      <c r="E292" s="12"/>
      <c r="F292" s="12"/>
      <c r="G292" s="12"/>
      <c r="H292" s="24" t="str">
        <f aca="false">IF(OR(B292="",D292="",E292=""),"",IFERROR(IF(AND(D292="Poshmark",E292&lt;Settings!$B$20),Settings!$B$21,(E292+IF(INDEX(Settings!$E$4:$E$11,MATCH($D292,Settings!$A$4:$A$11,0))="Y",N(F292),0))*(INDEX(Settings!$B$4:$B$11,MATCH($D292,Settings!$A$4:$A$11,0))+INDEX(Settings!$D$4:$D$11,MATCH($D292,Settings!$A$4:$A$11,0)))+INDEX(Settings!$C$4:$C$11,MATCH($D292,Settings!$A$4:$A$11,0))),0))</f>
        <v/>
      </c>
      <c r="I292" s="12"/>
      <c r="J292" s="12"/>
      <c r="K292" s="24" t="str">
        <f aca="false">IF($B292="","",IFERROR(INDEX(Inventory!$J$4:$J$503,MATCH($B292,Inventory!$A$4:$A$503,0)),0))</f>
        <v/>
      </c>
      <c r="L292" s="24" t="str">
        <f aca="false">IF(OR(B292="",E292=""),"",E292+N(F292)-N(G292)-N(H292)-N(J292)-N(K292))</f>
        <v/>
      </c>
      <c r="M292" s="28" t="str">
        <f aca="false">IF(OR(L292="",N(K292)=0),"",L292/K292)</f>
        <v/>
      </c>
      <c r="N292" s="25" t="str">
        <f aca="false">IF(OR(A292="",B292=""),"",IFERROR(A292-INDEX(Inventory!$B$4:$B$503,MATCH($B292,Inventory!$A$4:$A$503,0)),""))</f>
        <v/>
      </c>
      <c r="O292" s="27" t="str">
        <f aca="false">IF($B292="","",IFERROR(INDEX(Inventory!$F$4:$F$503,MATCH($B292,Inventory!$A$4:$A$503,0)),""))</f>
        <v/>
      </c>
      <c r="P292" s="27" t="str">
        <f aca="false">IF($B292="","",IFERROR(INDEX(Inventory!$C$4:$C$503,MATCH($B292,Inventory!$A$4:$A$503,0)),""))</f>
        <v/>
      </c>
    </row>
    <row r="293" customFormat="false" ht="15" hidden="false" customHeight="false" outlineLevel="0" collapsed="false">
      <c r="A293" s="19"/>
      <c r="B293" s="10"/>
      <c r="C293" s="23" t="str">
        <f aca="false">IF($B293="","",IFERROR(INDEX(Inventory!$E$4:$E$503,MATCH($B293,Inventory!$A$4:$A$503,0)),"SKU not found"))</f>
        <v/>
      </c>
      <c r="D293" s="10"/>
      <c r="E293" s="12"/>
      <c r="F293" s="12"/>
      <c r="G293" s="12"/>
      <c r="H293" s="24" t="str">
        <f aca="false">IF(OR(B293="",D293="",E293=""),"",IFERROR(IF(AND(D293="Poshmark",E293&lt;Settings!$B$20),Settings!$B$21,(E293+IF(INDEX(Settings!$E$4:$E$11,MATCH($D293,Settings!$A$4:$A$11,0))="Y",N(F293),0))*(INDEX(Settings!$B$4:$B$11,MATCH($D293,Settings!$A$4:$A$11,0))+INDEX(Settings!$D$4:$D$11,MATCH($D293,Settings!$A$4:$A$11,0)))+INDEX(Settings!$C$4:$C$11,MATCH($D293,Settings!$A$4:$A$11,0))),0))</f>
        <v/>
      </c>
      <c r="I293" s="12"/>
      <c r="J293" s="12"/>
      <c r="K293" s="24" t="str">
        <f aca="false">IF($B293="","",IFERROR(INDEX(Inventory!$J$4:$J$503,MATCH($B293,Inventory!$A$4:$A$503,0)),0))</f>
        <v/>
      </c>
      <c r="L293" s="24" t="str">
        <f aca="false">IF(OR(B293="",E293=""),"",E293+N(F293)-N(G293)-N(H293)-N(J293)-N(K293))</f>
        <v/>
      </c>
      <c r="M293" s="28" t="str">
        <f aca="false">IF(OR(L293="",N(K293)=0),"",L293/K293)</f>
        <v/>
      </c>
      <c r="N293" s="25" t="str">
        <f aca="false">IF(OR(A293="",B293=""),"",IFERROR(A293-INDEX(Inventory!$B$4:$B$503,MATCH($B293,Inventory!$A$4:$A$503,0)),""))</f>
        <v/>
      </c>
      <c r="O293" s="27" t="str">
        <f aca="false">IF($B293="","",IFERROR(INDEX(Inventory!$F$4:$F$503,MATCH($B293,Inventory!$A$4:$A$503,0)),""))</f>
        <v/>
      </c>
      <c r="P293" s="27" t="str">
        <f aca="false">IF($B293="","",IFERROR(INDEX(Inventory!$C$4:$C$503,MATCH($B293,Inventory!$A$4:$A$503,0)),""))</f>
        <v/>
      </c>
    </row>
    <row r="294" customFormat="false" ht="15" hidden="false" customHeight="false" outlineLevel="0" collapsed="false">
      <c r="A294" s="19"/>
      <c r="B294" s="10"/>
      <c r="C294" s="23" t="str">
        <f aca="false">IF($B294="","",IFERROR(INDEX(Inventory!$E$4:$E$503,MATCH($B294,Inventory!$A$4:$A$503,0)),"SKU not found"))</f>
        <v/>
      </c>
      <c r="D294" s="10"/>
      <c r="E294" s="12"/>
      <c r="F294" s="12"/>
      <c r="G294" s="12"/>
      <c r="H294" s="24" t="str">
        <f aca="false">IF(OR(B294="",D294="",E294=""),"",IFERROR(IF(AND(D294="Poshmark",E294&lt;Settings!$B$20),Settings!$B$21,(E294+IF(INDEX(Settings!$E$4:$E$11,MATCH($D294,Settings!$A$4:$A$11,0))="Y",N(F294),0))*(INDEX(Settings!$B$4:$B$11,MATCH($D294,Settings!$A$4:$A$11,0))+INDEX(Settings!$D$4:$D$11,MATCH($D294,Settings!$A$4:$A$11,0)))+INDEX(Settings!$C$4:$C$11,MATCH($D294,Settings!$A$4:$A$11,0))),0))</f>
        <v/>
      </c>
      <c r="I294" s="12"/>
      <c r="J294" s="12"/>
      <c r="K294" s="24" t="str">
        <f aca="false">IF($B294="","",IFERROR(INDEX(Inventory!$J$4:$J$503,MATCH($B294,Inventory!$A$4:$A$503,0)),0))</f>
        <v/>
      </c>
      <c r="L294" s="24" t="str">
        <f aca="false">IF(OR(B294="",E294=""),"",E294+N(F294)-N(G294)-N(H294)-N(J294)-N(K294))</f>
        <v/>
      </c>
      <c r="M294" s="28" t="str">
        <f aca="false">IF(OR(L294="",N(K294)=0),"",L294/K294)</f>
        <v/>
      </c>
      <c r="N294" s="25" t="str">
        <f aca="false">IF(OR(A294="",B294=""),"",IFERROR(A294-INDEX(Inventory!$B$4:$B$503,MATCH($B294,Inventory!$A$4:$A$503,0)),""))</f>
        <v/>
      </c>
      <c r="O294" s="27" t="str">
        <f aca="false">IF($B294="","",IFERROR(INDEX(Inventory!$F$4:$F$503,MATCH($B294,Inventory!$A$4:$A$503,0)),""))</f>
        <v/>
      </c>
      <c r="P294" s="27" t="str">
        <f aca="false">IF($B294="","",IFERROR(INDEX(Inventory!$C$4:$C$503,MATCH($B294,Inventory!$A$4:$A$503,0)),""))</f>
        <v/>
      </c>
    </row>
    <row r="295" customFormat="false" ht="15" hidden="false" customHeight="false" outlineLevel="0" collapsed="false">
      <c r="A295" s="19"/>
      <c r="B295" s="10"/>
      <c r="C295" s="23" t="str">
        <f aca="false">IF($B295="","",IFERROR(INDEX(Inventory!$E$4:$E$503,MATCH($B295,Inventory!$A$4:$A$503,0)),"SKU not found"))</f>
        <v/>
      </c>
      <c r="D295" s="10"/>
      <c r="E295" s="12"/>
      <c r="F295" s="12"/>
      <c r="G295" s="12"/>
      <c r="H295" s="24" t="str">
        <f aca="false">IF(OR(B295="",D295="",E295=""),"",IFERROR(IF(AND(D295="Poshmark",E295&lt;Settings!$B$20),Settings!$B$21,(E295+IF(INDEX(Settings!$E$4:$E$11,MATCH($D295,Settings!$A$4:$A$11,0))="Y",N(F295),0))*(INDEX(Settings!$B$4:$B$11,MATCH($D295,Settings!$A$4:$A$11,0))+INDEX(Settings!$D$4:$D$11,MATCH($D295,Settings!$A$4:$A$11,0)))+INDEX(Settings!$C$4:$C$11,MATCH($D295,Settings!$A$4:$A$11,0))),0))</f>
        <v/>
      </c>
      <c r="I295" s="12"/>
      <c r="J295" s="12"/>
      <c r="K295" s="24" t="str">
        <f aca="false">IF($B295="","",IFERROR(INDEX(Inventory!$J$4:$J$503,MATCH($B295,Inventory!$A$4:$A$503,0)),0))</f>
        <v/>
      </c>
      <c r="L295" s="24" t="str">
        <f aca="false">IF(OR(B295="",E295=""),"",E295+N(F295)-N(G295)-N(H295)-N(J295)-N(K295))</f>
        <v/>
      </c>
      <c r="M295" s="28" t="str">
        <f aca="false">IF(OR(L295="",N(K295)=0),"",L295/K295)</f>
        <v/>
      </c>
      <c r="N295" s="25" t="str">
        <f aca="false">IF(OR(A295="",B295=""),"",IFERROR(A295-INDEX(Inventory!$B$4:$B$503,MATCH($B295,Inventory!$A$4:$A$503,0)),""))</f>
        <v/>
      </c>
      <c r="O295" s="27" t="str">
        <f aca="false">IF($B295="","",IFERROR(INDEX(Inventory!$F$4:$F$503,MATCH($B295,Inventory!$A$4:$A$503,0)),""))</f>
        <v/>
      </c>
      <c r="P295" s="27" t="str">
        <f aca="false">IF($B295="","",IFERROR(INDEX(Inventory!$C$4:$C$503,MATCH($B295,Inventory!$A$4:$A$503,0)),""))</f>
        <v/>
      </c>
    </row>
    <row r="296" customFormat="false" ht="15" hidden="false" customHeight="false" outlineLevel="0" collapsed="false">
      <c r="A296" s="19"/>
      <c r="B296" s="10"/>
      <c r="C296" s="23" t="str">
        <f aca="false">IF($B296="","",IFERROR(INDEX(Inventory!$E$4:$E$503,MATCH($B296,Inventory!$A$4:$A$503,0)),"SKU not found"))</f>
        <v/>
      </c>
      <c r="D296" s="10"/>
      <c r="E296" s="12"/>
      <c r="F296" s="12"/>
      <c r="G296" s="12"/>
      <c r="H296" s="24" t="str">
        <f aca="false">IF(OR(B296="",D296="",E296=""),"",IFERROR(IF(AND(D296="Poshmark",E296&lt;Settings!$B$20),Settings!$B$21,(E296+IF(INDEX(Settings!$E$4:$E$11,MATCH($D296,Settings!$A$4:$A$11,0))="Y",N(F296),0))*(INDEX(Settings!$B$4:$B$11,MATCH($D296,Settings!$A$4:$A$11,0))+INDEX(Settings!$D$4:$D$11,MATCH($D296,Settings!$A$4:$A$11,0)))+INDEX(Settings!$C$4:$C$11,MATCH($D296,Settings!$A$4:$A$11,0))),0))</f>
        <v/>
      </c>
      <c r="I296" s="12"/>
      <c r="J296" s="12"/>
      <c r="K296" s="24" t="str">
        <f aca="false">IF($B296="","",IFERROR(INDEX(Inventory!$J$4:$J$503,MATCH($B296,Inventory!$A$4:$A$503,0)),0))</f>
        <v/>
      </c>
      <c r="L296" s="24" t="str">
        <f aca="false">IF(OR(B296="",E296=""),"",E296+N(F296)-N(G296)-N(H296)-N(J296)-N(K296))</f>
        <v/>
      </c>
      <c r="M296" s="28" t="str">
        <f aca="false">IF(OR(L296="",N(K296)=0),"",L296/K296)</f>
        <v/>
      </c>
      <c r="N296" s="25" t="str">
        <f aca="false">IF(OR(A296="",B296=""),"",IFERROR(A296-INDEX(Inventory!$B$4:$B$503,MATCH($B296,Inventory!$A$4:$A$503,0)),""))</f>
        <v/>
      </c>
      <c r="O296" s="27" t="str">
        <f aca="false">IF($B296="","",IFERROR(INDEX(Inventory!$F$4:$F$503,MATCH($B296,Inventory!$A$4:$A$503,0)),""))</f>
        <v/>
      </c>
      <c r="P296" s="27" t="str">
        <f aca="false">IF($B296="","",IFERROR(INDEX(Inventory!$C$4:$C$503,MATCH($B296,Inventory!$A$4:$A$503,0)),""))</f>
        <v/>
      </c>
    </row>
    <row r="297" customFormat="false" ht="15" hidden="false" customHeight="false" outlineLevel="0" collapsed="false">
      <c r="A297" s="19"/>
      <c r="B297" s="10"/>
      <c r="C297" s="23" t="str">
        <f aca="false">IF($B297="","",IFERROR(INDEX(Inventory!$E$4:$E$503,MATCH($B297,Inventory!$A$4:$A$503,0)),"SKU not found"))</f>
        <v/>
      </c>
      <c r="D297" s="10"/>
      <c r="E297" s="12"/>
      <c r="F297" s="12"/>
      <c r="G297" s="12"/>
      <c r="H297" s="24" t="str">
        <f aca="false">IF(OR(B297="",D297="",E297=""),"",IFERROR(IF(AND(D297="Poshmark",E297&lt;Settings!$B$20),Settings!$B$21,(E297+IF(INDEX(Settings!$E$4:$E$11,MATCH($D297,Settings!$A$4:$A$11,0))="Y",N(F297),0))*(INDEX(Settings!$B$4:$B$11,MATCH($D297,Settings!$A$4:$A$11,0))+INDEX(Settings!$D$4:$D$11,MATCH($D297,Settings!$A$4:$A$11,0)))+INDEX(Settings!$C$4:$C$11,MATCH($D297,Settings!$A$4:$A$11,0))),0))</f>
        <v/>
      </c>
      <c r="I297" s="12"/>
      <c r="J297" s="12"/>
      <c r="K297" s="24" t="str">
        <f aca="false">IF($B297="","",IFERROR(INDEX(Inventory!$J$4:$J$503,MATCH($B297,Inventory!$A$4:$A$503,0)),0))</f>
        <v/>
      </c>
      <c r="L297" s="24" t="str">
        <f aca="false">IF(OR(B297="",E297=""),"",E297+N(F297)-N(G297)-N(H297)-N(J297)-N(K297))</f>
        <v/>
      </c>
      <c r="M297" s="28" t="str">
        <f aca="false">IF(OR(L297="",N(K297)=0),"",L297/K297)</f>
        <v/>
      </c>
      <c r="N297" s="25" t="str">
        <f aca="false">IF(OR(A297="",B297=""),"",IFERROR(A297-INDEX(Inventory!$B$4:$B$503,MATCH($B297,Inventory!$A$4:$A$503,0)),""))</f>
        <v/>
      </c>
      <c r="O297" s="27" t="str">
        <f aca="false">IF($B297="","",IFERROR(INDEX(Inventory!$F$4:$F$503,MATCH($B297,Inventory!$A$4:$A$503,0)),""))</f>
        <v/>
      </c>
      <c r="P297" s="27" t="str">
        <f aca="false">IF($B297="","",IFERROR(INDEX(Inventory!$C$4:$C$503,MATCH($B297,Inventory!$A$4:$A$503,0)),""))</f>
        <v/>
      </c>
    </row>
    <row r="298" customFormat="false" ht="15" hidden="false" customHeight="false" outlineLevel="0" collapsed="false">
      <c r="A298" s="19"/>
      <c r="B298" s="10"/>
      <c r="C298" s="23" t="str">
        <f aca="false">IF($B298="","",IFERROR(INDEX(Inventory!$E$4:$E$503,MATCH($B298,Inventory!$A$4:$A$503,0)),"SKU not found"))</f>
        <v/>
      </c>
      <c r="D298" s="10"/>
      <c r="E298" s="12"/>
      <c r="F298" s="12"/>
      <c r="G298" s="12"/>
      <c r="H298" s="24" t="str">
        <f aca="false">IF(OR(B298="",D298="",E298=""),"",IFERROR(IF(AND(D298="Poshmark",E298&lt;Settings!$B$20),Settings!$B$21,(E298+IF(INDEX(Settings!$E$4:$E$11,MATCH($D298,Settings!$A$4:$A$11,0))="Y",N(F298),0))*(INDEX(Settings!$B$4:$B$11,MATCH($D298,Settings!$A$4:$A$11,0))+INDEX(Settings!$D$4:$D$11,MATCH($D298,Settings!$A$4:$A$11,0)))+INDEX(Settings!$C$4:$C$11,MATCH($D298,Settings!$A$4:$A$11,0))),0))</f>
        <v/>
      </c>
      <c r="I298" s="12"/>
      <c r="J298" s="12"/>
      <c r="K298" s="24" t="str">
        <f aca="false">IF($B298="","",IFERROR(INDEX(Inventory!$J$4:$J$503,MATCH($B298,Inventory!$A$4:$A$503,0)),0))</f>
        <v/>
      </c>
      <c r="L298" s="24" t="str">
        <f aca="false">IF(OR(B298="",E298=""),"",E298+N(F298)-N(G298)-N(H298)-N(J298)-N(K298))</f>
        <v/>
      </c>
      <c r="M298" s="28" t="str">
        <f aca="false">IF(OR(L298="",N(K298)=0),"",L298/K298)</f>
        <v/>
      </c>
      <c r="N298" s="25" t="str">
        <f aca="false">IF(OR(A298="",B298=""),"",IFERROR(A298-INDEX(Inventory!$B$4:$B$503,MATCH($B298,Inventory!$A$4:$A$503,0)),""))</f>
        <v/>
      </c>
      <c r="O298" s="27" t="str">
        <f aca="false">IF($B298="","",IFERROR(INDEX(Inventory!$F$4:$F$503,MATCH($B298,Inventory!$A$4:$A$503,0)),""))</f>
        <v/>
      </c>
      <c r="P298" s="27" t="str">
        <f aca="false">IF($B298="","",IFERROR(INDEX(Inventory!$C$4:$C$503,MATCH($B298,Inventory!$A$4:$A$503,0)),""))</f>
        <v/>
      </c>
    </row>
    <row r="299" customFormat="false" ht="15" hidden="false" customHeight="false" outlineLevel="0" collapsed="false">
      <c r="A299" s="19"/>
      <c r="B299" s="10"/>
      <c r="C299" s="23" t="str">
        <f aca="false">IF($B299="","",IFERROR(INDEX(Inventory!$E$4:$E$503,MATCH($B299,Inventory!$A$4:$A$503,0)),"SKU not found"))</f>
        <v/>
      </c>
      <c r="D299" s="10"/>
      <c r="E299" s="12"/>
      <c r="F299" s="12"/>
      <c r="G299" s="12"/>
      <c r="H299" s="24" t="str">
        <f aca="false">IF(OR(B299="",D299="",E299=""),"",IFERROR(IF(AND(D299="Poshmark",E299&lt;Settings!$B$20),Settings!$B$21,(E299+IF(INDEX(Settings!$E$4:$E$11,MATCH($D299,Settings!$A$4:$A$11,0))="Y",N(F299),0))*(INDEX(Settings!$B$4:$B$11,MATCH($D299,Settings!$A$4:$A$11,0))+INDEX(Settings!$D$4:$D$11,MATCH($D299,Settings!$A$4:$A$11,0)))+INDEX(Settings!$C$4:$C$11,MATCH($D299,Settings!$A$4:$A$11,0))),0))</f>
        <v/>
      </c>
      <c r="I299" s="12"/>
      <c r="J299" s="12"/>
      <c r="K299" s="24" t="str">
        <f aca="false">IF($B299="","",IFERROR(INDEX(Inventory!$J$4:$J$503,MATCH($B299,Inventory!$A$4:$A$503,0)),0))</f>
        <v/>
      </c>
      <c r="L299" s="24" t="str">
        <f aca="false">IF(OR(B299="",E299=""),"",E299+N(F299)-N(G299)-N(H299)-N(J299)-N(K299))</f>
        <v/>
      </c>
      <c r="M299" s="28" t="str">
        <f aca="false">IF(OR(L299="",N(K299)=0),"",L299/K299)</f>
        <v/>
      </c>
      <c r="N299" s="25" t="str">
        <f aca="false">IF(OR(A299="",B299=""),"",IFERROR(A299-INDEX(Inventory!$B$4:$B$503,MATCH($B299,Inventory!$A$4:$A$503,0)),""))</f>
        <v/>
      </c>
      <c r="O299" s="27" t="str">
        <f aca="false">IF($B299="","",IFERROR(INDEX(Inventory!$F$4:$F$503,MATCH($B299,Inventory!$A$4:$A$503,0)),""))</f>
        <v/>
      </c>
      <c r="P299" s="27" t="str">
        <f aca="false">IF($B299="","",IFERROR(INDEX(Inventory!$C$4:$C$503,MATCH($B299,Inventory!$A$4:$A$503,0)),""))</f>
        <v/>
      </c>
    </row>
    <row r="300" customFormat="false" ht="15" hidden="false" customHeight="false" outlineLevel="0" collapsed="false">
      <c r="A300" s="19"/>
      <c r="B300" s="10"/>
      <c r="C300" s="23" t="str">
        <f aca="false">IF($B300="","",IFERROR(INDEX(Inventory!$E$4:$E$503,MATCH($B300,Inventory!$A$4:$A$503,0)),"SKU not found"))</f>
        <v/>
      </c>
      <c r="D300" s="10"/>
      <c r="E300" s="12"/>
      <c r="F300" s="12"/>
      <c r="G300" s="12"/>
      <c r="H300" s="24" t="str">
        <f aca="false">IF(OR(B300="",D300="",E300=""),"",IFERROR(IF(AND(D300="Poshmark",E300&lt;Settings!$B$20),Settings!$B$21,(E300+IF(INDEX(Settings!$E$4:$E$11,MATCH($D300,Settings!$A$4:$A$11,0))="Y",N(F300),0))*(INDEX(Settings!$B$4:$B$11,MATCH($D300,Settings!$A$4:$A$11,0))+INDEX(Settings!$D$4:$D$11,MATCH($D300,Settings!$A$4:$A$11,0)))+INDEX(Settings!$C$4:$C$11,MATCH($D300,Settings!$A$4:$A$11,0))),0))</f>
        <v/>
      </c>
      <c r="I300" s="12"/>
      <c r="J300" s="12"/>
      <c r="K300" s="24" t="str">
        <f aca="false">IF($B300="","",IFERROR(INDEX(Inventory!$J$4:$J$503,MATCH($B300,Inventory!$A$4:$A$503,0)),0))</f>
        <v/>
      </c>
      <c r="L300" s="24" t="str">
        <f aca="false">IF(OR(B300="",E300=""),"",E300+N(F300)-N(G300)-N(H300)-N(J300)-N(K300))</f>
        <v/>
      </c>
      <c r="M300" s="28" t="str">
        <f aca="false">IF(OR(L300="",N(K300)=0),"",L300/K300)</f>
        <v/>
      </c>
      <c r="N300" s="25" t="str">
        <f aca="false">IF(OR(A300="",B300=""),"",IFERROR(A300-INDEX(Inventory!$B$4:$B$503,MATCH($B300,Inventory!$A$4:$A$503,0)),""))</f>
        <v/>
      </c>
      <c r="O300" s="27" t="str">
        <f aca="false">IF($B300="","",IFERROR(INDEX(Inventory!$F$4:$F$503,MATCH($B300,Inventory!$A$4:$A$503,0)),""))</f>
        <v/>
      </c>
      <c r="P300" s="27" t="str">
        <f aca="false">IF($B300="","",IFERROR(INDEX(Inventory!$C$4:$C$503,MATCH($B300,Inventory!$A$4:$A$503,0)),""))</f>
        <v/>
      </c>
    </row>
    <row r="301" customFormat="false" ht="15" hidden="false" customHeight="false" outlineLevel="0" collapsed="false">
      <c r="A301" s="19"/>
      <c r="B301" s="10"/>
      <c r="C301" s="23" t="str">
        <f aca="false">IF($B301="","",IFERROR(INDEX(Inventory!$E$4:$E$503,MATCH($B301,Inventory!$A$4:$A$503,0)),"SKU not found"))</f>
        <v/>
      </c>
      <c r="D301" s="10"/>
      <c r="E301" s="12"/>
      <c r="F301" s="12"/>
      <c r="G301" s="12"/>
      <c r="H301" s="24" t="str">
        <f aca="false">IF(OR(B301="",D301="",E301=""),"",IFERROR(IF(AND(D301="Poshmark",E301&lt;Settings!$B$20),Settings!$B$21,(E301+IF(INDEX(Settings!$E$4:$E$11,MATCH($D301,Settings!$A$4:$A$11,0))="Y",N(F301),0))*(INDEX(Settings!$B$4:$B$11,MATCH($D301,Settings!$A$4:$A$11,0))+INDEX(Settings!$D$4:$D$11,MATCH($D301,Settings!$A$4:$A$11,0)))+INDEX(Settings!$C$4:$C$11,MATCH($D301,Settings!$A$4:$A$11,0))),0))</f>
        <v/>
      </c>
      <c r="I301" s="12"/>
      <c r="J301" s="12"/>
      <c r="K301" s="24" t="str">
        <f aca="false">IF($B301="","",IFERROR(INDEX(Inventory!$J$4:$J$503,MATCH($B301,Inventory!$A$4:$A$503,0)),0))</f>
        <v/>
      </c>
      <c r="L301" s="24" t="str">
        <f aca="false">IF(OR(B301="",E301=""),"",E301+N(F301)-N(G301)-N(H301)-N(J301)-N(K301))</f>
        <v/>
      </c>
      <c r="M301" s="28" t="str">
        <f aca="false">IF(OR(L301="",N(K301)=0),"",L301/K301)</f>
        <v/>
      </c>
      <c r="N301" s="25" t="str">
        <f aca="false">IF(OR(A301="",B301=""),"",IFERROR(A301-INDEX(Inventory!$B$4:$B$503,MATCH($B301,Inventory!$A$4:$A$503,0)),""))</f>
        <v/>
      </c>
      <c r="O301" s="27" t="str">
        <f aca="false">IF($B301="","",IFERROR(INDEX(Inventory!$F$4:$F$503,MATCH($B301,Inventory!$A$4:$A$503,0)),""))</f>
        <v/>
      </c>
      <c r="P301" s="27" t="str">
        <f aca="false">IF($B301="","",IFERROR(INDEX(Inventory!$C$4:$C$503,MATCH($B301,Inventory!$A$4:$A$503,0)),""))</f>
        <v/>
      </c>
    </row>
    <row r="302" customFormat="false" ht="15" hidden="false" customHeight="false" outlineLevel="0" collapsed="false">
      <c r="A302" s="19"/>
      <c r="B302" s="10"/>
      <c r="C302" s="23" t="str">
        <f aca="false">IF($B302="","",IFERROR(INDEX(Inventory!$E$4:$E$503,MATCH($B302,Inventory!$A$4:$A$503,0)),"SKU not found"))</f>
        <v/>
      </c>
      <c r="D302" s="10"/>
      <c r="E302" s="12"/>
      <c r="F302" s="12"/>
      <c r="G302" s="12"/>
      <c r="H302" s="24" t="str">
        <f aca="false">IF(OR(B302="",D302="",E302=""),"",IFERROR(IF(AND(D302="Poshmark",E302&lt;Settings!$B$20),Settings!$B$21,(E302+IF(INDEX(Settings!$E$4:$E$11,MATCH($D302,Settings!$A$4:$A$11,0))="Y",N(F302),0))*(INDEX(Settings!$B$4:$B$11,MATCH($D302,Settings!$A$4:$A$11,0))+INDEX(Settings!$D$4:$D$11,MATCH($D302,Settings!$A$4:$A$11,0)))+INDEX(Settings!$C$4:$C$11,MATCH($D302,Settings!$A$4:$A$11,0))),0))</f>
        <v/>
      </c>
      <c r="I302" s="12"/>
      <c r="J302" s="12"/>
      <c r="K302" s="24" t="str">
        <f aca="false">IF($B302="","",IFERROR(INDEX(Inventory!$J$4:$J$503,MATCH($B302,Inventory!$A$4:$A$503,0)),0))</f>
        <v/>
      </c>
      <c r="L302" s="24" t="str">
        <f aca="false">IF(OR(B302="",E302=""),"",E302+N(F302)-N(G302)-N(H302)-N(J302)-N(K302))</f>
        <v/>
      </c>
      <c r="M302" s="28" t="str">
        <f aca="false">IF(OR(L302="",N(K302)=0),"",L302/K302)</f>
        <v/>
      </c>
      <c r="N302" s="25" t="str">
        <f aca="false">IF(OR(A302="",B302=""),"",IFERROR(A302-INDEX(Inventory!$B$4:$B$503,MATCH($B302,Inventory!$A$4:$A$503,0)),""))</f>
        <v/>
      </c>
      <c r="O302" s="27" t="str">
        <f aca="false">IF($B302="","",IFERROR(INDEX(Inventory!$F$4:$F$503,MATCH($B302,Inventory!$A$4:$A$503,0)),""))</f>
        <v/>
      </c>
      <c r="P302" s="27" t="str">
        <f aca="false">IF($B302="","",IFERROR(INDEX(Inventory!$C$4:$C$503,MATCH($B302,Inventory!$A$4:$A$503,0)),""))</f>
        <v/>
      </c>
    </row>
    <row r="303" customFormat="false" ht="15" hidden="false" customHeight="false" outlineLevel="0" collapsed="false">
      <c r="A303" s="19"/>
      <c r="B303" s="10"/>
      <c r="C303" s="23" t="str">
        <f aca="false">IF($B303="","",IFERROR(INDEX(Inventory!$E$4:$E$503,MATCH($B303,Inventory!$A$4:$A$503,0)),"SKU not found"))</f>
        <v/>
      </c>
      <c r="D303" s="10"/>
      <c r="E303" s="12"/>
      <c r="F303" s="12"/>
      <c r="G303" s="12"/>
      <c r="H303" s="24" t="str">
        <f aca="false">IF(OR(B303="",D303="",E303=""),"",IFERROR(IF(AND(D303="Poshmark",E303&lt;Settings!$B$20),Settings!$B$21,(E303+IF(INDEX(Settings!$E$4:$E$11,MATCH($D303,Settings!$A$4:$A$11,0))="Y",N(F303),0))*(INDEX(Settings!$B$4:$B$11,MATCH($D303,Settings!$A$4:$A$11,0))+INDEX(Settings!$D$4:$D$11,MATCH($D303,Settings!$A$4:$A$11,0)))+INDEX(Settings!$C$4:$C$11,MATCH($D303,Settings!$A$4:$A$11,0))),0))</f>
        <v/>
      </c>
      <c r="I303" s="12"/>
      <c r="J303" s="12"/>
      <c r="K303" s="24" t="str">
        <f aca="false">IF($B303="","",IFERROR(INDEX(Inventory!$J$4:$J$503,MATCH($B303,Inventory!$A$4:$A$503,0)),0))</f>
        <v/>
      </c>
      <c r="L303" s="24" t="str">
        <f aca="false">IF(OR(B303="",E303=""),"",E303+N(F303)-N(G303)-N(H303)-N(J303)-N(K303))</f>
        <v/>
      </c>
      <c r="M303" s="28" t="str">
        <f aca="false">IF(OR(L303="",N(K303)=0),"",L303/K303)</f>
        <v/>
      </c>
      <c r="N303" s="25" t="str">
        <f aca="false">IF(OR(A303="",B303=""),"",IFERROR(A303-INDEX(Inventory!$B$4:$B$503,MATCH($B303,Inventory!$A$4:$A$503,0)),""))</f>
        <v/>
      </c>
      <c r="O303" s="27" t="str">
        <f aca="false">IF($B303="","",IFERROR(INDEX(Inventory!$F$4:$F$503,MATCH($B303,Inventory!$A$4:$A$503,0)),""))</f>
        <v/>
      </c>
      <c r="P303" s="27" t="str">
        <f aca="false">IF($B303="","",IFERROR(INDEX(Inventory!$C$4:$C$503,MATCH($B303,Inventory!$A$4:$A$503,0)),""))</f>
        <v/>
      </c>
    </row>
    <row r="304" customFormat="false" ht="15" hidden="false" customHeight="false" outlineLevel="0" collapsed="false">
      <c r="A304" s="19"/>
      <c r="B304" s="10"/>
      <c r="C304" s="23" t="str">
        <f aca="false">IF($B304="","",IFERROR(INDEX(Inventory!$E$4:$E$503,MATCH($B304,Inventory!$A$4:$A$503,0)),"SKU not found"))</f>
        <v/>
      </c>
      <c r="D304" s="10"/>
      <c r="E304" s="12"/>
      <c r="F304" s="12"/>
      <c r="G304" s="12"/>
      <c r="H304" s="24" t="str">
        <f aca="false">IF(OR(B304="",D304="",E304=""),"",IFERROR(IF(AND(D304="Poshmark",E304&lt;Settings!$B$20),Settings!$B$21,(E304+IF(INDEX(Settings!$E$4:$E$11,MATCH($D304,Settings!$A$4:$A$11,0))="Y",N(F304),0))*(INDEX(Settings!$B$4:$B$11,MATCH($D304,Settings!$A$4:$A$11,0))+INDEX(Settings!$D$4:$D$11,MATCH($D304,Settings!$A$4:$A$11,0)))+INDEX(Settings!$C$4:$C$11,MATCH($D304,Settings!$A$4:$A$11,0))),0))</f>
        <v/>
      </c>
      <c r="I304" s="12"/>
      <c r="J304" s="12"/>
      <c r="K304" s="24" t="str">
        <f aca="false">IF($B304="","",IFERROR(INDEX(Inventory!$J$4:$J$503,MATCH($B304,Inventory!$A$4:$A$503,0)),0))</f>
        <v/>
      </c>
      <c r="L304" s="24" t="str">
        <f aca="false">IF(OR(B304="",E304=""),"",E304+N(F304)-N(G304)-N(H304)-N(J304)-N(K304))</f>
        <v/>
      </c>
      <c r="M304" s="28" t="str">
        <f aca="false">IF(OR(L304="",N(K304)=0),"",L304/K304)</f>
        <v/>
      </c>
      <c r="N304" s="25" t="str">
        <f aca="false">IF(OR(A304="",B304=""),"",IFERROR(A304-INDEX(Inventory!$B$4:$B$503,MATCH($B304,Inventory!$A$4:$A$503,0)),""))</f>
        <v/>
      </c>
      <c r="O304" s="27" t="str">
        <f aca="false">IF($B304="","",IFERROR(INDEX(Inventory!$F$4:$F$503,MATCH($B304,Inventory!$A$4:$A$503,0)),""))</f>
        <v/>
      </c>
      <c r="P304" s="27" t="str">
        <f aca="false">IF($B304="","",IFERROR(INDEX(Inventory!$C$4:$C$503,MATCH($B304,Inventory!$A$4:$A$503,0)),""))</f>
        <v/>
      </c>
    </row>
    <row r="305" customFormat="false" ht="15" hidden="false" customHeight="false" outlineLevel="0" collapsed="false">
      <c r="A305" s="19"/>
      <c r="B305" s="10"/>
      <c r="C305" s="23" t="str">
        <f aca="false">IF($B305="","",IFERROR(INDEX(Inventory!$E$4:$E$503,MATCH($B305,Inventory!$A$4:$A$503,0)),"SKU not found"))</f>
        <v/>
      </c>
      <c r="D305" s="10"/>
      <c r="E305" s="12"/>
      <c r="F305" s="12"/>
      <c r="G305" s="12"/>
      <c r="H305" s="24" t="str">
        <f aca="false">IF(OR(B305="",D305="",E305=""),"",IFERROR(IF(AND(D305="Poshmark",E305&lt;Settings!$B$20),Settings!$B$21,(E305+IF(INDEX(Settings!$E$4:$E$11,MATCH($D305,Settings!$A$4:$A$11,0))="Y",N(F305),0))*(INDEX(Settings!$B$4:$B$11,MATCH($D305,Settings!$A$4:$A$11,0))+INDEX(Settings!$D$4:$D$11,MATCH($D305,Settings!$A$4:$A$11,0)))+INDEX(Settings!$C$4:$C$11,MATCH($D305,Settings!$A$4:$A$11,0))),0))</f>
        <v/>
      </c>
      <c r="I305" s="12"/>
      <c r="J305" s="12"/>
      <c r="K305" s="24" t="str">
        <f aca="false">IF($B305="","",IFERROR(INDEX(Inventory!$J$4:$J$503,MATCH($B305,Inventory!$A$4:$A$503,0)),0))</f>
        <v/>
      </c>
      <c r="L305" s="24" t="str">
        <f aca="false">IF(OR(B305="",E305=""),"",E305+N(F305)-N(G305)-N(H305)-N(J305)-N(K305))</f>
        <v/>
      </c>
      <c r="M305" s="28" t="str">
        <f aca="false">IF(OR(L305="",N(K305)=0),"",L305/K305)</f>
        <v/>
      </c>
      <c r="N305" s="25" t="str">
        <f aca="false">IF(OR(A305="",B305=""),"",IFERROR(A305-INDEX(Inventory!$B$4:$B$503,MATCH($B305,Inventory!$A$4:$A$503,0)),""))</f>
        <v/>
      </c>
      <c r="O305" s="27" t="str">
        <f aca="false">IF($B305="","",IFERROR(INDEX(Inventory!$F$4:$F$503,MATCH($B305,Inventory!$A$4:$A$503,0)),""))</f>
        <v/>
      </c>
      <c r="P305" s="27" t="str">
        <f aca="false">IF($B305="","",IFERROR(INDEX(Inventory!$C$4:$C$503,MATCH($B305,Inventory!$A$4:$A$503,0)),""))</f>
        <v/>
      </c>
    </row>
    <row r="306" customFormat="false" ht="15" hidden="false" customHeight="false" outlineLevel="0" collapsed="false">
      <c r="A306" s="19"/>
      <c r="B306" s="10"/>
      <c r="C306" s="23" t="str">
        <f aca="false">IF($B306="","",IFERROR(INDEX(Inventory!$E$4:$E$503,MATCH($B306,Inventory!$A$4:$A$503,0)),"SKU not found"))</f>
        <v/>
      </c>
      <c r="D306" s="10"/>
      <c r="E306" s="12"/>
      <c r="F306" s="12"/>
      <c r="G306" s="12"/>
      <c r="H306" s="24" t="str">
        <f aca="false">IF(OR(B306="",D306="",E306=""),"",IFERROR(IF(AND(D306="Poshmark",E306&lt;Settings!$B$20),Settings!$B$21,(E306+IF(INDEX(Settings!$E$4:$E$11,MATCH($D306,Settings!$A$4:$A$11,0))="Y",N(F306),0))*(INDEX(Settings!$B$4:$B$11,MATCH($D306,Settings!$A$4:$A$11,0))+INDEX(Settings!$D$4:$D$11,MATCH($D306,Settings!$A$4:$A$11,0)))+INDEX(Settings!$C$4:$C$11,MATCH($D306,Settings!$A$4:$A$11,0))),0))</f>
        <v/>
      </c>
      <c r="I306" s="12"/>
      <c r="J306" s="12"/>
      <c r="K306" s="24" t="str">
        <f aca="false">IF($B306="","",IFERROR(INDEX(Inventory!$J$4:$J$503,MATCH($B306,Inventory!$A$4:$A$503,0)),0))</f>
        <v/>
      </c>
      <c r="L306" s="24" t="str">
        <f aca="false">IF(OR(B306="",E306=""),"",E306+N(F306)-N(G306)-N(H306)-N(J306)-N(K306))</f>
        <v/>
      </c>
      <c r="M306" s="28" t="str">
        <f aca="false">IF(OR(L306="",N(K306)=0),"",L306/K306)</f>
        <v/>
      </c>
      <c r="N306" s="25" t="str">
        <f aca="false">IF(OR(A306="",B306=""),"",IFERROR(A306-INDEX(Inventory!$B$4:$B$503,MATCH($B306,Inventory!$A$4:$A$503,0)),""))</f>
        <v/>
      </c>
      <c r="O306" s="27" t="str">
        <f aca="false">IF($B306="","",IFERROR(INDEX(Inventory!$F$4:$F$503,MATCH($B306,Inventory!$A$4:$A$503,0)),""))</f>
        <v/>
      </c>
      <c r="P306" s="27" t="str">
        <f aca="false">IF($B306="","",IFERROR(INDEX(Inventory!$C$4:$C$503,MATCH($B306,Inventory!$A$4:$A$503,0)),""))</f>
        <v/>
      </c>
    </row>
    <row r="307" customFormat="false" ht="15" hidden="false" customHeight="false" outlineLevel="0" collapsed="false">
      <c r="A307" s="19"/>
      <c r="B307" s="10"/>
      <c r="C307" s="23" t="str">
        <f aca="false">IF($B307="","",IFERROR(INDEX(Inventory!$E$4:$E$503,MATCH($B307,Inventory!$A$4:$A$503,0)),"SKU not found"))</f>
        <v/>
      </c>
      <c r="D307" s="10"/>
      <c r="E307" s="12"/>
      <c r="F307" s="12"/>
      <c r="G307" s="12"/>
      <c r="H307" s="24" t="str">
        <f aca="false">IF(OR(B307="",D307="",E307=""),"",IFERROR(IF(AND(D307="Poshmark",E307&lt;Settings!$B$20),Settings!$B$21,(E307+IF(INDEX(Settings!$E$4:$E$11,MATCH($D307,Settings!$A$4:$A$11,0))="Y",N(F307),0))*(INDEX(Settings!$B$4:$B$11,MATCH($D307,Settings!$A$4:$A$11,0))+INDEX(Settings!$D$4:$D$11,MATCH($D307,Settings!$A$4:$A$11,0)))+INDEX(Settings!$C$4:$C$11,MATCH($D307,Settings!$A$4:$A$11,0))),0))</f>
        <v/>
      </c>
      <c r="I307" s="12"/>
      <c r="J307" s="12"/>
      <c r="K307" s="24" t="str">
        <f aca="false">IF($B307="","",IFERROR(INDEX(Inventory!$J$4:$J$503,MATCH($B307,Inventory!$A$4:$A$503,0)),0))</f>
        <v/>
      </c>
      <c r="L307" s="24" t="str">
        <f aca="false">IF(OR(B307="",E307=""),"",E307+N(F307)-N(G307)-N(H307)-N(J307)-N(K307))</f>
        <v/>
      </c>
      <c r="M307" s="28" t="str">
        <f aca="false">IF(OR(L307="",N(K307)=0),"",L307/K307)</f>
        <v/>
      </c>
      <c r="N307" s="25" t="str">
        <f aca="false">IF(OR(A307="",B307=""),"",IFERROR(A307-INDEX(Inventory!$B$4:$B$503,MATCH($B307,Inventory!$A$4:$A$503,0)),""))</f>
        <v/>
      </c>
      <c r="O307" s="27" t="str">
        <f aca="false">IF($B307="","",IFERROR(INDEX(Inventory!$F$4:$F$503,MATCH($B307,Inventory!$A$4:$A$503,0)),""))</f>
        <v/>
      </c>
      <c r="P307" s="27" t="str">
        <f aca="false">IF($B307="","",IFERROR(INDEX(Inventory!$C$4:$C$503,MATCH($B307,Inventory!$A$4:$A$503,0)),""))</f>
        <v/>
      </c>
    </row>
    <row r="308" customFormat="false" ht="15" hidden="false" customHeight="false" outlineLevel="0" collapsed="false">
      <c r="A308" s="19"/>
      <c r="B308" s="10"/>
      <c r="C308" s="23" t="str">
        <f aca="false">IF($B308="","",IFERROR(INDEX(Inventory!$E$4:$E$503,MATCH($B308,Inventory!$A$4:$A$503,0)),"SKU not found"))</f>
        <v/>
      </c>
      <c r="D308" s="10"/>
      <c r="E308" s="12"/>
      <c r="F308" s="12"/>
      <c r="G308" s="12"/>
      <c r="H308" s="24" t="str">
        <f aca="false">IF(OR(B308="",D308="",E308=""),"",IFERROR(IF(AND(D308="Poshmark",E308&lt;Settings!$B$20),Settings!$B$21,(E308+IF(INDEX(Settings!$E$4:$E$11,MATCH($D308,Settings!$A$4:$A$11,0))="Y",N(F308),0))*(INDEX(Settings!$B$4:$B$11,MATCH($D308,Settings!$A$4:$A$11,0))+INDEX(Settings!$D$4:$D$11,MATCH($D308,Settings!$A$4:$A$11,0)))+INDEX(Settings!$C$4:$C$11,MATCH($D308,Settings!$A$4:$A$11,0))),0))</f>
        <v/>
      </c>
      <c r="I308" s="12"/>
      <c r="J308" s="12"/>
      <c r="K308" s="24" t="str">
        <f aca="false">IF($B308="","",IFERROR(INDEX(Inventory!$J$4:$J$503,MATCH($B308,Inventory!$A$4:$A$503,0)),0))</f>
        <v/>
      </c>
      <c r="L308" s="24" t="str">
        <f aca="false">IF(OR(B308="",E308=""),"",E308+N(F308)-N(G308)-N(H308)-N(J308)-N(K308))</f>
        <v/>
      </c>
      <c r="M308" s="28" t="str">
        <f aca="false">IF(OR(L308="",N(K308)=0),"",L308/K308)</f>
        <v/>
      </c>
      <c r="N308" s="25" t="str">
        <f aca="false">IF(OR(A308="",B308=""),"",IFERROR(A308-INDEX(Inventory!$B$4:$B$503,MATCH($B308,Inventory!$A$4:$A$503,0)),""))</f>
        <v/>
      </c>
      <c r="O308" s="27" t="str">
        <f aca="false">IF($B308="","",IFERROR(INDEX(Inventory!$F$4:$F$503,MATCH($B308,Inventory!$A$4:$A$503,0)),""))</f>
        <v/>
      </c>
      <c r="P308" s="27" t="str">
        <f aca="false">IF($B308="","",IFERROR(INDEX(Inventory!$C$4:$C$503,MATCH($B308,Inventory!$A$4:$A$503,0)),""))</f>
        <v/>
      </c>
    </row>
    <row r="309" customFormat="false" ht="15" hidden="false" customHeight="false" outlineLevel="0" collapsed="false">
      <c r="A309" s="19"/>
      <c r="B309" s="10"/>
      <c r="C309" s="23" t="str">
        <f aca="false">IF($B309="","",IFERROR(INDEX(Inventory!$E$4:$E$503,MATCH($B309,Inventory!$A$4:$A$503,0)),"SKU not found"))</f>
        <v/>
      </c>
      <c r="D309" s="10"/>
      <c r="E309" s="12"/>
      <c r="F309" s="12"/>
      <c r="G309" s="12"/>
      <c r="H309" s="24" t="str">
        <f aca="false">IF(OR(B309="",D309="",E309=""),"",IFERROR(IF(AND(D309="Poshmark",E309&lt;Settings!$B$20),Settings!$B$21,(E309+IF(INDEX(Settings!$E$4:$E$11,MATCH($D309,Settings!$A$4:$A$11,0))="Y",N(F309),0))*(INDEX(Settings!$B$4:$B$11,MATCH($D309,Settings!$A$4:$A$11,0))+INDEX(Settings!$D$4:$D$11,MATCH($D309,Settings!$A$4:$A$11,0)))+INDEX(Settings!$C$4:$C$11,MATCH($D309,Settings!$A$4:$A$11,0))),0))</f>
        <v/>
      </c>
      <c r="I309" s="12"/>
      <c r="J309" s="12"/>
      <c r="K309" s="24" t="str">
        <f aca="false">IF($B309="","",IFERROR(INDEX(Inventory!$J$4:$J$503,MATCH($B309,Inventory!$A$4:$A$503,0)),0))</f>
        <v/>
      </c>
      <c r="L309" s="24" t="str">
        <f aca="false">IF(OR(B309="",E309=""),"",E309+N(F309)-N(G309)-N(H309)-N(J309)-N(K309))</f>
        <v/>
      </c>
      <c r="M309" s="28" t="str">
        <f aca="false">IF(OR(L309="",N(K309)=0),"",L309/K309)</f>
        <v/>
      </c>
      <c r="N309" s="25" t="str">
        <f aca="false">IF(OR(A309="",B309=""),"",IFERROR(A309-INDEX(Inventory!$B$4:$B$503,MATCH($B309,Inventory!$A$4:$A$503,0)),""))</f>
        <v/>
      </c>
      <c r="O309" s="27" t="str">
        <f aca="false">IF($B309="","",IFERROR(INDEX(Inventory!$F$4:$F$503,MATCH($B309,Inventory!$A$4:$A$503,0)),""))</f>
        <v/>
      </c>
      <c r="P309" s="27" t="str">
        <f aca="false">IF($B309="","",IFERROR(INDEX(Inventory!$C$4:$C$503,MATCH($B309,Inventory!$A$4:$A$503,0)),""))</f>
        <v/>
      </c>
    </row>
    <row r="310" customFormat="false" ht="15" hidden="false" customHeight="false" outlineLevel="0" collapsed="false">
      <c r="A310" s="19"/>
      <c r="B310" s="10"/>
      <c r="C310" s="23" t="str">
        <f aca="false">IF($B310="","",IFERROR(INDEX(Inventory!$E$4:$E$503,MATCH($B310,Inventory!$A$4:$A$503,0)),"SKU not found"))</f>
        <v/>
      </c>
      <c r="D310" s="10"/>
      <c r="E310" s="12"/>
      <c r="F310" s="12"/>
      <c r="G310" s="12"/>
      <c r="H310" s="24" t="str">
        <f aca="false">IF(OR(B310="",D310="",E310=""),"",IFERROR(IF(AND(D310="Poshmark",E310&lt;Settings!$B$20),Settings!$B$21,(E310+IF(INDEX(Settings!$E$4:$E$11,MATCH($D310,Settings!$A$4:$A$11,0))="Y",N(F310),0))*(INDEX(Settings!$B$4:$B$11,MATCH($D310,Settings!$A$4:$A$11,0))+INDEX(Settings!$D$4:$D$11,MATCH($D310,Settings!$A$4:$A$11,0)))+INDEX(Settings!$C$4:$C$11,MATCH($D310,Settings!$A$4:$A$11,0))),0))</f>
        <v/>
      </c>
      <c r="I310" s="12"/>
      <c r="J310" s="12"/>
      <c r="K310" s="24" t="str">
        <f aca="false">IF($B310="","",IFERROR(INDEX(Inventory!$J$4:$J$503,MATCH($B310,Inventory!$A$4:$A$503,0)),0))</f>
        <v/>
      </c>
      <c r="L310" s="24" t="str">
        <f aca="false">IF(OR(B310="",E310=""),"",E310+N(F310)-N(G310)-N(H310)-N(J310)-N(K310))</f>
        <v/>
      </c>
      <c r="M310" s="28" t="str">
        <f aca="false">IF(OR(L310="",N(K310)=0),"",L310/K310)</f>
        <v/>
      </c>
      <c r="N310" s="25" t="str">
        <f aca="false">IF(OR(A310="",B310=""),"",IFERROR(A310-INDEX(Inventory!$B$4:$B$503,MATCH($B310,Inventory!$A$4:$A$503,0)),""))</f>
        <v/>
      </c>
      <c r="O310" s="27" t="str">
        <f aca="false">IF($B310="","",IFERROR(INDEX(Inventory!$F$4:$F$503,MATCH($B310,Inventory!$A$4:$A$503,0)),""))</f>
        <v/>
      </c>
      <c r="P310" s="27" t="str">
        <f aca="false">IF($B310="","",IFERROR(INDEX(Inventory!$C$4:$C$503,MATCH($B310,Inventory!$A$4:$A$503,0)),""))</f>
        <v/>
      </c>
    </row>
    <row r="311" customFormat="false" ht="15" hidden="false" customHeight="false" outlineLevel="0" collapsed="false">
      <c r="A311" s="19"/>
      <c r="B311" s="10"/>
      <c r="C311" s="23" t="str">
        <f aca="false">IF($B311="","",IFERROR(INDEX(Inventory!$E$4:$E$503,MATCH($B311,Inventory!$A$4:$A$503,0)),"SKU not found"))</f>
        <v/>
      </c>
      <c r="D311" s="10"/>
      <c r="E311" s="12"/>
      <c r="F311" s="12"/>
      <c r="G311" s="12"/>
      <c r="H311" s="24" t="str">
        <f aca="false">IF(OR(B311="",D311="",E311=""),"",IFERROR(IF(AND(D311="Poshmark",E311&lt;Settings!$B$20),Settings!$B$21,(E311+IF(INDEX(Settings!$E$4:$E$11,MATCH($D311,Settings!$A$4:$A$11,0))="Y",N(F311),0))*(INDEX(Settings!$B$4:$B$11,MATCH($D311,Settings!$A$4:$A$11,0))+INDEX(Settings!$D$4:$D$11,MATCH($D311,Settings!$A$4:$A$11,0)))+INDEX(Settings!$C$4:$C$11,MATCH($D311,Settings!$A$4:$A$11,0))),0))</f>
        <v/>
      </c>
      <c r="I311" s="12"/>
      <c r="J311" s="12"/>
      <c r="K311" s="24" t="str">
        <f aca="false">IF($B311="","",IFERROR(INDEX(Inventory!$J$4:$J$503,MATCH($B311,Inventory!$A$4:$A$503,0)),0))</f>
        <v/>
      </c>
      <c r="L311" s="24" t="str">
        <f aca="false">IF(OR(B311="",E311=""),"",E311+N(F311)-N(G311)-N(H311)-N(J311)-N(K311))</f>
        <v/>
      </c>
      <c r="M311" s="28" t="str">
        <f aca="false">IF(OR(L311="",N(K311)=0),"",L311/K311)</f>
        <v/>
      </c>
      <c r="N311" s="25" t="str">
        <f aca="false">IF(OR(A311="",B311=""),"",IFERROR(A311-INDEX(Inventory!$B$4:$B$503,MATCH($B311,Inventory!$A$4:$A$503,0)),""))</f>
        <v/>
      </c>
      <c r="O311" s="27" t="str">
        <f aca="false">IF($B311="","",IFERROR(INDEX(Inventory!$F$4:$F$503,MATCH($B311,Inventory!$A$4:$A$503,0)),""))</f>
        <v/>
      </c>
      <c r="P311" s="27" t="str">
        <f aca="false">IF($B311="","",IFERROR(INDEX(Inventory!$C$4:$C$503,MATCH($B311,Inventory!$A$4:$A$503,0)),""))</f>
        <v/>
      </c>
    </row>
    <row r="312" customFormat="false" ht="15" hidden="false" customHeight="false" outlineLevel="0" collapsed="false">
      <c r="A312" s="19"/>
      <c r="B312" s="10"/>
      <c r="C312" s="23" t="str">
        <f aca="false">IF($B312="","",IFERROR(INDEX(Inventory!$E$4:$E$503,MATCH($B312,Inventory!$A$4:$A$503,0)),"SKU not found"))</f>
        <v/>
      </c>
      <c r="D312" s="10"/>
      <c r="E312" s="12"/>
      <c r="F312" s="12"/>
      <c r="G312" s="12"/>
      <c r="H312" s="24" t="str">
        <f aca="false">IF(OR(B312="",D312="",E312=""),"",IFERROR(IF(AND(D312="Poshmark",E312&lt;Settings!$B$20),Settings!$B$21,(E312+IF(INDEX(Settings!$E$4:$E$11,MATCH($D312,Settings!$A$4:$A$11,0))="Y",N(F312),0))*(INDEX(Settings!$B$4:$B$11,MATCH($D312,Settings!$A$4:$A$11,0))+INDEX(Settings!$D$4:$D$11,MATCH($D312,Settings!$A$4:$A$11,0)))+INDEX(Settings!$C$4:$C$11,MATCH($D312,Settings!$A$4:$A$11,0))),0))</f>
        <v/>
      </c>
      <c r="I312" s="12"/>
      <c r="J312" s="12"/>
      <c r="K312" s="24" t="str">
        <f aca="false">IF($B312="","",IFERROR(INDEX(Inventory!$J$4:$J$503,MATCH($B312,Inventory!$A$4:$A$503,0)),0))</f>
        <v/>
      </c>
      <c r="L312" s="24" t="str">
        <f aca="false">IF(OR(B312="",E312=""),"",E312+N(F312)-N(G312)-N(H312)-N(J312)-N(K312))</f>
        <v/>
      </c>
      <c r="M312" s="28" t="str">
        <f aca="false">IF(OR(L312="",N(K312)=0),"",L312/K312)</f>
        <v/>
      </c>
      <c r="N312" s="25" t="str">
        <f aca="false">IF(OR(A312="",B312=""),"",IFERROR(A312-INDEX(Inventory!$B$4:$B$503,MATCH($B312,Inventory!$A$4:$A$503,0)),""))</f>
        <v/>
      </c>
      <c r="O312" s="27" t="str">
        <f aca="false">IF($B312="","",IFERROR(INDEX(Inventory!$F$4:$F$503,MATCH($B312,Inventory!$A$4:$A$503,0)),""))</f>
        <v/>
      </c>
      <c r="P312" s="27" t="str">
        <f aca="false">IF($B312="","",IFERROR(INDEX(Inventory!$C$4:$C$503,MATCH($B312,Inventory!$A$4:$A$503,0)),""))</f>
        <v/>
      </c>
    </row>
    <row r="313" customFormat="false" ht="15" hidden="false" customHeight="false" outlineLevel="0" collapsed="false">
      <c r="A313" s="19"/>
      <c r="B313" s="10"/>
      <c r="C313" s="23" t="str">
        <f aca="false">IF($B313="","",IFERROR(INDEX(Inventory!$E$4:$E$503,MATCH($B313,Inventory!$A$4:$A$503,0)),"SKU not found"))</f>
        <v/>
      </c>
      <c r="D313" s="10"/>
      <c r="E313" s="12"/>
      <c r="F313" s="12"/>
      <c r="G313" s="12"/>
      <c r="H313" s="24" t="str">
        <f aca="false">IF(OR(B313="",D313="",E313=""),"",IFERROR(IF(AND(D313="Poshmark",E313&lt;Settings!$B$20),Settings!$B$21,(E313+IF(INDEX(Settings!$E$4:$E$11,MATCH($D313,Settings!$A$4:$A$11,0))="Y",N(F313),0))*(INDEX(Settings!$B$4:$B$11,MATCH($D313,Settings!$A$4:$A$11,0))+INDEX(Settings!$D$4:$D$11,MATCH($D313,Settings!$A$4:$A$11,0)))+INDEX(Settings!$C$4:$C$11,MATCH($D313,Settings!$A$4:$A$11,0))),0))</f>
        <v/>
      </c>
      <c r="I313" s="12"/>
      <c r="J313" s="12"/>
      <c r="K313" s="24" t="str">
        <f aca="false">IF($B313="","",IFERROR(INDEX(Inventory!$J$4:$J$503,MATCH($B313,Inventory!$A$4:$A$503,0)),0))</f>
        <v/>
      </c>
      <c r="L313" s="24" t="str">
        <f aca="false">IF(OR(B313="",E313=""),"",E313+N(F313)-N(G313)-N(H313)-N(J313)-N(K313))</f>
        <v/>
      </c>
      <c r="M313" s="28" t="str">
        <f aca="false">IF(OR(L313="",N(K313)=0),"",L313/K313)</f>
        <v/>
      </c>
      <c r="N313" s="25" t="str">
        <f aca="false">IF(OR(A313="",B313=""),"",IFERROR(A313-INDEX(Inventory!$B$4:$B$503,MATCH($B313,Inventory!$A$4:$A$503,0)),""))</f>
        <v/>
      </c>
      <c r="O313" s="27" t="str">
        <f aca="false">IF($B313="","",IFERROR(INDEX(Inventory!$F$4:$F$503,MATCH($B313,Inventory!$A$4:$A$503,0)),""))</f>
        <v/>
      </c>
      <c r="P313" s="27" t="str">
        <f aca="false">IF($B313="","",IFERROR(INDEX(Inventory!$C$4:$C$503,MATCH($B313,Inventory!$A$4:$A$503,0)),""))</f>
        <v/>
      </c>
    </row>
    <row r="314" customFormat="false" ht="15" hidden="false" customHeight="false" outlineLevel="0" collapsed="false">
      <c r="A314" s="19"/>
      <c r="B314" s="10"/>
      <c r="C314" s="23" t="str">
        <f aca="false">IF($B314="","",IFERROR(INDEX(Inventory!$E$4:$E$503,MATCH($B314,Inventory!$A$4:$A$503,0)),"SKU not found"))</f>
        <v/>
      </c>
      <c r="D314" s="10"/>
      <c r="E314" s="12"/>
      <c r="F314" s="12"/>
      <c r="G314" s="12"/>
      <c r="H314" s="24" t="str">
        <f aca="false">IF(OR(B314="",D314="",E314=""),"",IFERROR(IF(AND(D314="Poshmark",E314&lt;Settings!$B$20),Settings!$B$21,(E314+IF(INDEX(Settings!$E$4:$E$11,MATCH($D314,Settings!$A$4:$A$11,0))="Y",N(F314),0))*(INDEX(Settings!$B$4:$B$11,MATCH($D314,Settings!$A$4:$A$11,0))+INDEX(Settings!$D$4:$D$11,MATCH($D314,Settings!$A$4:$A$11,0)))+INDEX(Settings!$C$4:$C$11,MATCH($D314,Settings!$A$4:$A$11,0))),0))</f>
        <v/>
      </c>
      <c r="I314" s="12"/>
      <c r="J314" s="12"/>
      <c r="K314" s="24" t="str">
        <f aca="false">IF($B314="","",IFERROR(INDEX(Inventory!$J$4:$J$503,MATCH($B314,Inventory!$A$4:$A$503,0)),0))</f>
        <v/>
      </c>
      <c r="L314" s="24" t="str">
        <f aca="false">IF(OR(B314="",E314=""),"",E314+N(F314)-N(G314)-N(H314)-N(J314)-N(K314))</f>
        <v/>
      </c>
      <c r="M314" s="28" t="str">
        <f aca="false">IF(OR(L314="",N(K314)=0),"",L314/K314)</f>
        <v/>
      </c>
      <c r="N314" s="25" t="str">
        <f aca="false">IF(OR(A314="",B314=""),"",IFERROR(A314-INDEX(Inventory!$B$4:$B$503,MATCH($B314,Inventory!$A$4:$A$503,0)),""))</f>
        <v/>
      </c>
      <c r="O314" s="27" t="str">
        <f aca="false">IF($B314="","",IFERROR(INDEX(Inventory!$F$4:$F$503,MATCH($B314,Inventory!$A$4:$A$503,0)),""))</f>
        <v/>
      </c>
      <c r="P314" s="27" t="str">
        <f aca="false">IF($B314="","",IFERROR(INDEX(Inventory!$C$4:$C$503,MATCH($B314,Inventory!$A$4:$A$503,0)),""))</f>
        <v/>
      </c>
    </row>
    <row r="315" customFormat="false" ht="15" hidden="false" customHeight="false" outlineLevel="0" collapsed="false">
      <c r="A315" s="19"/>
      <c r="B315" s="10"/>
      <c r="C315" s="23" t="str">
        <f aca="false">IF($B315="","",IFERROR(INDEX(Inventory!$E$4:$E$503,MATCH($B315,Inventory!$A$4:$A$503,0)),"SKU not found"))</f>
        <v/>
      </c>
      <c r="D315" s="10"/>
      <c r="E315" s="12"/>
      <c r="F315" s="12"/>
      <c r="G315" s="12"/>
      <c r="H315" s="24" t="str">
        <f aca="false">IF(OR(B315="",D315="",E315=""),"",IFERROR(IF(AND(D315="Poshmark",E315&lt;Settings!$B$20),Settings!$B$21,(E315+IF(INDEX(Settings!$E$4:$E$11,MATCH($D315,Settings!$A$4:$A$11,0))="Y",N(F315),0))*(INDEX(Settings!$B$4:$B$11,MATCH($D315,Settings!$A$4:$A$11,0))+INDEX(Settings!$D$4:$D$11,MATCH($D315,Settings!$A$4:$A$11,0)))+INDEX(Settings!$C$4:$C$11,MATCH($D315,Settings!$A$4:$A$11,0))),0))</f>
        <v/>
      </c>
      <c r="I315" s="12"/>
      <c r="J315" s="12"/>
      <c r="K315" s="24" t="str">
        <f aca="false">IF($B315="","",IFERROR(INDEX(Inventory!$J$4:$J$503,MATCH($B315,Inventory!$A$4:$A$503,0)),0))</f>
        <v/>
      </c>
      <c r="L315" s="24" t="str">
        <f aca="false">IF(OR(B315="",E315=""),"",E315+N(F315)-N(G315)-N(H315)-N(J315)-N(K315))</f>
        <v/>
      </c>
      <c r="M315" s="28" t="str">
        <f aca="false">IF(OR(L315="",N(K315)=0),"",L315/K315)</f>
        <v/>
      </c>
      <c r="N315" s="25" t="str">
        <f aca="false">IF(OR(A315="",B315=""),"",IFERROR(A315-INDEX(Inventory!$B$4:$B$503,MATCH($B315,Inventory!$A$4:$A$503,0)),""))</f>
        <v/>
      </c>
      <c r="O315" s="27" t="str">
        <f aca="false">IF($B315="","",IFERROR(INDEX(Inventory!$F$4:$F$503,MATCH($B315,Inventory!$A$4:$A$503,0)),""))</f>
        <v/>
      </c>
      <c r="P315" s="27" t="str">
        <f aca="false">IF($B315="","",IFERROR(INDEX(Inventory!$C$4:$C$503,MATCH($B315,Inventory!$A$4:$A$503,0)),""))</f>
        <v/>
      </c>
    </row>
    <row r="316" customFormat="false" ht="15" hidden="false" customHeight="false" outlineLevel="0" collapsed="false">
      <c r="A316" s="19"/>
      <c r="B316" s="10"/>
      <c r="C316" s="23" t="str">
        <f aca="false">IF($B316="","",IFERROR(INDEX(Inventory!$E$4:$E$503,MATCH($B316,Inventory!$A$4:$A$503,0)),"SKU not found"))</f>
        <v/>
      </c>
      <c r="D316" s="10"/>
      <c r="E316" s="12"/>
      <c r="F316" s="12"/>
      <c r="G316" s="12"/>
      <c r="H316" s="24" t="str">
        <f aca="false">IF(OR(B316="",D316="",E316=""),"",IFERROR(IF(AND(D316="Poshmark",E316&lt;Settings!$B$20),Settings!$B$21,(E316+IF(INDEX(Settings!$E$4:$E$11,MATCH($D316,Settings!$A$4:$A$11,0))="Y",N(F316),0))*(INDEX(Settings!$B$4:$B$11,MATCH($D316,Settings!$A$4:$A$11,0))+INDEX(Settings!$D$4:$D$11,MATCH($D316,Settings!$A$4:$A$11,0)))+INDEX(Settings!$C$4:$C$11,MATCH($D316,Settings!$A$4:$A$11,0))),0))</f>
        <v/>
      </c>
      <c r="I316" s="12"/>
      <c r="J316" s="12"/>
      <c r="K316" s="24" t="str">
        <f aca="false">IF($B316="","",IFERROR(INDEX(Inventory!$J$4:$J$503,MATCH($B316,Inventory!$A$4:$A$503,0)),0))</f>
        <v/>
      </c>
      <c r="L316" s="24" t="str">
        <f aca="false">IF(OR(B316="",E316=""),"",E316+N(F316)-N(G316)-N(H316)-N(J316)-N(K316))</f>
        <v/>
      </c>
      <c r="M316" s="28" t="str">
        <f aca="false">IF(OR(L316="",N(K316)=0),"",L316/K316)</f>
        <v/>
      </c>
      <c r="N316" s="25" t="str">
        <f aca="false">IF(OR(A316="",B316=""),"",IFERROR(A316-INDEX(Inventory!$B$4:$B$503,MATCH($B316,Inventory!$A$4:$A$503,0)),""))</f>
        <v/>
      </c>
      <c r="O316" s="27" t="str">
        <f aca="false">IF($B316="","",IFERROR(INDEX(Inventory!$F$4:$F$503,MATCH($B316,Inventory!$A$4:$A$503,0)),""))</f>
        <v/>
      </c>
      <c r="P316" s="27" t="str">
        <f aca="false">IF($B316="","",IFERROR(INDEX(Inventory!$C$4:$C$503,MATCH($B316,Inventory!$A$4:$A$503,0)),""))</f>
        <v/>
      </c>
    </row>
    <row r="317" customFormat="false" ht="15" hidden="false" customHeight="false" outlineLevel="0" collapsed="false">
      <c r="A317" s="19"/>
      <c r="B317" s="10"/>
      <c r="C317" s="23" t="str">
        <f aca="false">IF($B317="","",IFERROR(INDEX(Inventory!$E$4:$E$503,MATCH($B317,Inventory!$A$4:$A$503,0)),"SKU not found"))</f>
        <v/>
      </c>
      <c r="D317" s="10"/>
      <c r="E317" s="12"/>
      <c r="F317" s="12"/>
      <c r="G317" s="12"/>
      <c r="H317" s="24" t="str">
        <f aca="false">IF(OR(B317="",D317="",E317=""),"",IFERROR(IF(AND(D317="Poshmark",E317&lt;Settings!$B$20),Settings!$B$21,(E317+IF(INDEX(Settings!$E$4:$E$11,MATCH($D317,Settings!$A$4:$A$11,0))="Y",N(F317),0))*(INDEX(Settings!$B$4:$B$11,MATCH($D317,Settings!$A$4:$A$11,0))+INDEX(Settings!$D$4:$D$11,MATCH($D317,Settings!$A$4:$A$11,0)))+INDEX(Settings!$C$4:$C$11,MATCH($D317,Settings!$A$4:$A$11,0))),0))</f>
        <v/>
      </c>
      <c r="I317" s="12"/>
      <c r="J317" s="12"/>
      <c r="K317" s="24" t="str">
        <f aca="false">IF($B317="","",IFERROR(INDEX(Inventory!$J$4:$J$503,MATCH($B317,Inventory!$A$4:$A$503,0)),0))</f>
        <v/>
      </c>
      <c r="L317" s="24" t="str">
        <f aca="false">IF(OR(B317="",E317=""),"",E317+N(F317)-N(G317)-N(H317)-N(J317)-N(K317))</f>
        <v/>
      </c>
      <c r="M317" s="28" t="str">
        <f aca="false">IF(OR(L317="",N(K317)=0),"",L317/K317)</f>
        <v/>
      </c>
      <c r="N317" s="25" t="str">
        <f aca="false">IF(OR(A317="",B317=""),"",IFERROR(A317-INDEX(Inventory!$B$4:$B$503,MATCH($B317,Inventory!$A$4:$A$503,0)),""))</f>
        <v/>
      </c>
      <c r="O317" s="27" t="str">
        <f aca="false">IF($B317="","",IFERROR(INDEX(Inventory!$F$4:$F$503,MATCH($B317,Inventory!$A$4:$A$503,0)),""))</f>
        <v/>
      </c>
      <c r="P317" s="27" t="str">
        <f aca="false">IF($B317="","",IFERROR(INDEX(Inventory!$C$4:$C$503,MATCH($B317,Inventory!$A$4:$A$503,0)),""))</f>
        <v/>
      </c>
    </row>
    <row r="318" customFormat="false" ht="15" hidden="false" customHeight="false" outlineLevel="0" collapsed="false">
      <c r="A318" s="19"/>
      <c r="B318" s="10"/>
      <c r="C318" s="23" t="str">
        <f aca="false">IF($B318="","",IFERROR(INDEX(Inventory!$E$4:$E$503,MATCH($B318,Inventory!$A$4:$A$503,0)),"SKU not found"))</f>
        <v/>
      </c>
      <c r="D318" s="10"/>
      <c r="E318" s="12"/>
      <c r="F318" s="12"/>
      <c r="G318" s="12"/>
      <c r="H318" s="24" t="str">
        <f aca="false">IF(OR(B318="",D318="",E318=""),"",IFERROR(IF(AND(D318="Poshmark",E318&lt;Settings!$B$20),Settings!$B$21,(E318+IF(INDEX(Settings!$E$4:$E$11,MATCH($D318,Settings!$A$4:$A$11,0))="Y",N(F318),0))*(INDEX(Settings!$B$4:$B$11,MATCH($D318,Settings!$A$4:$A$11,0))+INDEX(Settings!$D$4:$D$11,MATCH($D318,Settings!$A$4:$A$11,0)))+INDEX(Settings!$C$4:$C$11,MATCH($D318,Settings!$A$4:$A$11,0))),0))</f>
        <v/>
      </c>
      <c r="I318" s="12"/>
      <c r="J318" s="12"/>
      <c r="K318" s="24" t="str">
        <f aca="false">IF($B318="","",IFERROR(INDEX(Inventory!$J$4:$J$503,MATCH($B318,Inventory!$A$4:$A$503,0)),0))</f>
        <v/>
      </c>
      <c r="L318" s="24" t="str">
        <f aca="false">IF(OR(B318="",E318=""),"",E318+N(F318)-N(G318)-N(H318)-N(J318)-N(K318))</f>
        <v/>
      </c>
      <c r="M318" s="28" t="str">
        <f aca="false">IF(OR(L318="",N(K318)=0),"",L318/K318)</f>
        <v/>
      </c>
      <c r="N318" s="25" t="str">
        <f aca="false">IF(OR(A318="",B318=""),"",IFERROR(A318-INDEX(Inventory!$B$4:$B$503,MATCH($B318,Inventory!$A$4:$A$503,0)),""))</f>
        <v/>
      </c>
      <c r="O318" s="27" t="str">
        <f aca="false">IF($B318="","",IFERROR(INDEX(Inventory!$F$4:$F$503,MATCH($B318,Inventory!$A$4:$A$503,0)),""))</f>
        <v/>
      </c>
      <c r="P318" s="27" t="str">
        <f aca="false">IF($B318="","",IFERROR(INDEX(Inventory!$C$4:$C$503,MATCH($B318,Inventory!$A$4:$A$503,0)),""))</f>
        <v/>
      </c>
    </row>
    <row r="319" customFormat="false" ht="15" hidden="false" customHeight="false" outlineLevel="0" collapsed="false">
      <c r="A319" s="19"/>
      <c r="B319" s="10"/>
      <c r="C319" s="23" t="str">
        <f aca="false">IF($B319="","",IFERROR(INDEX(Inventory!$E$4:$E$503,MATCH($B319,Inventory!$A$4:$A$503,0)),"SKU not found"))</f>
        <v/>
      </c>
      <c r="D319" s="10"/>
      <c r="E319" s="12"/>
      <c r="F319" s="12"/>
      <c r="G319" s="12"/>
      <c r="H319" s="24" t="str">
        <f aca="false">IF(OR(B319="",D319="",E319=""),"",IFERROR(IF(AND(D319="Poshmark",E319&lt;Settings!$B$20),Settings!$B$21,(E319+IF(INDEX(Settings!$E$4:$E$11,MATCH($D319,Settings!$A$4:$A$11,0))="Y",N(F319),0))*(INDEX(Settings!$B$4:$B$11,MATCH($D319,Settings!$A$4:$A$11,0))+INDEX(Settings!$D$4:$D$11,MATCH($D319,Settings!$A$4:$A$11,0)))+INDEX(Settings!$C$4:$C$11,MATCH($D319,Settings!$A$4:$A$11,0))),0))</f>
        <v/>
      </c>
      <c r="I319" s="12"/>
      <c r="J319" s="12"/>
      <c r="K319" s="24" t="str">
        <f aca="false">IF($B319="","",IFERROR(INDEX(Inventory!$J$4:$J$503,MATCH($B319,Inventory!$A$4:$A$503,0)),0))</f>
        <v/>
      </c>
      <c r="L319" s="24" t="str">
        <f aca="false">IF(OR(B319="",E319=""),"",E319+N(F319)-N(G319)-N(H319)-N(J319)-N(K319))</f>
        <v/>
      </c>
      <c r="M319" s="28" t="str">
        <f aca="false">IF(OR(L319="",N(K319)=0),"",L319/K319)</f>
        <v/>
      </c>
      <c r="N319" s="25" t="str">
        <f aca="false">IF(OR(A319="",B319=""),"",IFERROR(A319-INDEX(Inventory!$B$4:$B$503,MATCH($B319,Inventory!$A$4:$A$503,0)),""))</f>
        <v/>
      </c>
      <c r="O319" s="27" t="str">
        <f aca="false">IF($B319="","",IFERROR(INDEX(Inventory!$F$4:$F$503,MATCH($B319,Inventory!$A$4:$A$503,0)),""))</f>
        <v/>
      </c>
      <c r="P319" s="27" t="str">
        <f aca="false">IF($B319="","",IFERROR(INDEX(Inventory!$C$4:$C$503,MATCH($B319,Inventory!$A$4:$A$503,0)),""))</f>
        <v/>
      </c>
    </row>
    <row r="320" customFormat="false" ht="15" hidden="false" customHeight="false" outlineLevel="0" collapsed="false">
      <c r="A320" s="19"/>
      <c r="B320" s="10"/>
      <c r="C320" s="23" t="str">
        <f aca="false">IF($B320="","",IFERROR(INDEX(Inventory!$E$4:$E$503,MATCH($B320,Inventory!$A$4:$A$503,0)),"SKU not found"))</f>
        <v/>
      </c>
      <c r="D320" s="10"/>
      <c r="E320" s="12"/>
      <c r="F320" s="12"/>
      <c r="G320" s="12"/>
      <c r="H320" s="24" t="str">
        <f aca="false">IF(OR(B320="",D320="",E320=""),"",IFERROR(IF(AND(D320="Poshmark",E320&lt;Settings!$B$20),Settings!$B$21,(E320+IF(INDEX(Settings!$E$4:$E$11,MATCH($D320,Settings!$A$4:$A$11,0))="Y",N(F320),0))*(INDEX(Settings!$B$4:$B$11,MATCH($D320,Settings!$A$4:$A$11,0))+INDEX(Settings!$D$4:$D$11,MATCH($D320,Settings!$A$4:$A$11,0)))+INDEX(Settings!$C$4:$C$11,MATCH($D320,Settings!$A$4:$A$11,0))),0))</f>
        <v/>
      </c>
      <c r="I320" s="12"/>
      <c r="J320" s="12"/>
      <c r="K320" s="24" t="str">
        <f aca="false">IF($B320="","",IFERROR(INDEX(Inventory!$J$4:$J$503,MATCH($B320,Inventory!$A$4:$A$503,0)),0))</f>
        <v/>
      </c>
      <c r="L320" s="24" t="str">
        <f aca="false">IF(OR(B320="",E320=""),"",E320+N(F320)-N(G320)-N(H320)-N(J320)-N(K320))</f>
        <v/>
      </c>
      <c r="M320" s="28" t="str">
        <f aca="false">IF(OR(L320="",N(K320)=0),"",L320/K320)</f>
        <v/>
      </c>
      <c r="N320" s="25" t="str">
        <f aca="false">IF(OR(A320="",B320=""),"",IFERROR(A320-INDEX(Inventory!$B$4:$B$503,MATCH($B320,Inventory!$A$4:$A$503,0)),""))</f>
        <v/>
      </c>
      <c r="O320" s="27" t="str">
        <f aca="false">IF($B320="","",IFERROR(INDEX(Inventory!$F$4:$F$503,MATCH($B320,Inventory!$A$4:$A$503,0)),""))</f>
        <v/>
      </c>
      <c r="P320" s="27" t="str">
        <f aca="false">IF($B320="","",IFERROR(INDEX(Inventory!$C$4:$C$503,MATCH($B320,Inventory!$A$4:$A$503,0)),""))</f>
        <v/>
      </c>
    </row>
    <row r="321" customFormat="false" ht="15" hidden="false" customHeight="false" outlineLevel="0" collapsed="false">
      <c r="A321" s="19"/>
      <c r="B321" s="10"/>
      <c r="C321" s="23" t="str">
        <f aca="false">IF($B321="","",IFERROR(INDEX(Inventory!$E$4:$E$503,MATCH($B321,Inventory!$A$4:$A$503,0)),"SKU not found"))</f>
        <v/>
      </c>
      <c r="D321" s="10"/>
      <c r="E321" s="12"/>
      <c r="F321" s="12"/>
      <c r="G321" s="12"/>
      <c r="H321" s="24" t="str">
        <f aca="false">IF(OR(B321="",D321="",E321=""),"",IFERROR(IF(AND(D321="Poshmark",E321&lt;Settings!$B$20),Settings!$B$21,(E321+IF(INDEX(Settings!$E$4:$E$11,MATCH($D321,Settings!$A$4:$A$11,0))="Y",N(F321),0))*(INDEX(Settings!$B$4:$B$11,MATCH($D321,Settings!$A$4:$A$11,0))+INDEX(Settings!$D$4:$D$11,MATCH($D321,Settings!$A$4:$A$11,0)))+INDEX(Settings!$C$4:$C$11,MATCH($D321,Settings!$A$4:$A$11,0))),0))</f>
        <v/>
      </c>
      <c r="I321" s="12"/>
      <c r="J321" s="12"/>
      <c r="K321" s="24" t="str">
        <f aca="false">IF($B321="","",IFERROR(INDEX(Inventory!$J$4:$J$503,MATCH($B321,Inventory!$A$4:$A$503,0)),0))</f>
        <v/>
      </c>
      <c r="L321" s="24" t="str">
        <f aca="false">IF(OR(B321="",E321=""),"",E321+N(F321)-N(G321)-N(H321)-N(J321)-N(K321))</f>
        <v/>
      </c>
      <c r="M321" s="28" t="str">
        <f aca="false">IF(OR(L321="",N(K321)=0),"",L321/K321)</f>
        <v/>
      </c>
      <c r="N321" s="25" t="str">
        <f aca="false">IF(OR(A321="",B321=""),"",IFERROR(A321-INDEX(Inventory!$B$4:$B$503,MATCH($B321,Inventory!$A$4:$A$503,0)),""))</f>
        <v/>
      </c>
      <c r="O321" s="27" t="str">
        <f aca="false">IF($B321="","",IFERROR(INDEX(Inventory!$F$4:$F$503,MATCH($B321,Inventory!$A$4:$A$503,0)),""))</f>
        <v/>
      </c>
      <c r="P321" s="27" t="str">
        <f aca="false">IF($B321="","",IFERROR(INDEX(Inventory!$C$4:$C$503,MATCH($B321,Inventory!$A$4:$A$503,0)),""))</f>
        <v/>
      </c>
    </row>
    <row r="322" customFormat="false" ht="15" hidden="false" customHeight="false" outlineLevel="0" collapsed="false">
      <c r="A322" s="19"/>
      <c r="B322" s="10"/>
      <c r="C322" s="23" t="str">
        <f aca="false">IF($B322="","",IFERROR(INDEX(Inventory!$E$4:$E$503,MATCH($B322,Inventory!$A$4:$A$503,0)),"SKU not found"))</f>
        <v/>
      </c>
      <c r="D322" s="10"/>
      <c r="E322" s="12"/>
      <c r="F322" s="12"/>
      <c r="G322" s="12"/>
      <c r="H322" s="24" t="str">
        <f aca="false">IF(OR(B322="",D322="",E322=""),"",IFERROR(IF(AND(D322="Poshmark",E322&lt;Settings!$B$20),Settings!$B$21,(E322+IF(INDEX(Settings!$E$4:$E$11,MATCH($D322,Settings!$A$4:$A$11,0))="Y",N(F322),0))*(INDEX(Settings!$B$4:$B$11,MATCH($D322,Settings!$A$4:$A$11,0))+INDEX(Settings!$D$4:$D$11,MATCH($D322,Settings!$A$4:$A$11,0)))+INDEX(Settings!$C$4:$C$11,MATCH($D322,Settings!$A$4:$A$11,0))),0))</f>
        <v/>
      </c>
      <c r="I322" s="12"/>
      <c r="J322" s="12"/>
      <c r="K322" s="24" t="str">
        <f aca="false">IF($B322="","",IFERROR(INDEX(Inventory!$J$4:$J$503,MATCH($B322,Inventory!$A$4:$A$503,0)),0))</f>
        <v/>
      </c>
      <c r="L322" s="24" t="str">
        <f aca="false">IF(OR(B322="",E322=""),"",E322+N(F322)-N(G322)-N(H322)-N(J322)-N(K322))</f>
        <v/>
      </c>
      <c r="M322" s="28" t="str">
        <f aca="false">IF(OR(L322="",N(K322)=0),"",L322/K322)</f>
        <v/>
      </c>
      <c r="N322" s="25" t="str">
        <f aca="false">IF(OR(A322="",B322=""),"",IFERROR(A322-INDEX(Inventory!$B$4:$B$503,MATCH($B322,Inventory!$A$4:$A$503,0)),""))</f>
        <v/>
      </c>
      <c r="O322" s="27" t="str">
        <f aca="false">IF($B322="","",IFERROR(INDEX(Inventory!$F$4:$F$503,MATCH($B322,Inventory!$A$4:$A$503,0)),""))</f>
        <v/>
      </c>
      <c r="P322" s="27" t="str">
        <f aca="false">IF($B322="","",IFERROR(INDEX(Inventory!$C$4:$C$503,MATCH($B322,Inventory!$A$4:$A$503,0)),""))</f>
        <v/>
      </c>
    </row>
    <row r="323" customFormat="false" ht="15" hidden="false" customHeight="false" outlineLevel="0" collapsed="false">
      <c r="A323" s="19"/>
      <c r="B323" s="10"/>
      <c r="C323" s="23" t="str">
        <f aca="false">IF($B323="","",IFERROR(INDEX(Inventory!$E$4:$E$503,MATCH($B323,Inventory!$A$4:$A$503,0)),"SKU not found"))</f>
        <v/>
      </c>
      <c r="D323" s="10"/>
      <c r="E323" s="12"/>
      <c r="F323" s="12"/>
      <c r="G323" s="12"/>
      <c r="H323" s="24" t="str">
        <f aca="false">IF(OR(B323="",D323="",E323=""),"",IFERROR(IF(AND(D323="Poshmark",E323&lt;Settings!$B$20),Settings!$B$21,(E323+IF(INDEX(Settings!$E$4:$E$11,MATCH($D323,Settings!$A$4:$A$11,0))="Y",N(F323),0))*(INDEX(Settings!$B$4:$B$11,MATCH($D323,Settings!$A$4:$A$11,0))+INDEX(Settings!$D$4:$D$11,MATCH($D323,Settings!$A$4:$A$11,0)))+INDEX(Settings!$C$4:$C$11,MATCH($D323,Settings!$A$4:$A$11,0))),0))</f>
        <v/>
      </c>
      <c r="I323" s="12"/>
      <c r="J323" s="12"/>
      <c r="K323" s="24" t="str">
        <f aca="false">IF($B323="","",IFERROR(INDEX(Inventory!$J$4:$J$503,MATCH($B323,Inventory!$A$4:$A$503,0)),0))</f>
        <v/>
      </c>
      <c r="L323" s="24" t="str">
        <f aca="false">IF(OR(B323="",E323=""),"",E323+N(F323)-N(G323)-N(H323)-N(J323)-N(K323))</f>
        <v/>
      </c>
      <c r="M323" s="28" t="str">
        <f aca="false">IF(OR(L323="",N(K323)=0),"",L323/K323)</f>
        <v/>
      </c>
      <c r="N323" s="25" t="str">
        <f aca="false">IF(OR(A323="",B323=""),"",IFERROR(A323-INDEX(Inventory!$B$4:$B$503,MATCH($B323,Inventory!$A$4:$A$503,0)),""))</f>
        <v/>
      </c>
      <c r="O323" s="27" t="str">
        <f aca="false">IF($B323="","",IFERROR(INDEX(Inventory!$F$4:$F$503,MATCH($B323,Inventory!$A$4:$A$503,0)),""))</f>
        <v/>
      </c>
      <c r="P323" s="27" t="str">
        <f aca="false">IF($B323="","",IFERROR(INDEX(Inventory!$C$4:$C$503,MATCH($B323,Inventory!$A$4:$A$503,0)),""))</f>
        <v/>
      </c>
    </row>
    <row r="324" customFormat="false" ht="15" hidden="false" customHeight="false" outlineLevel="0" collapsed="false">
      <c r="A324" s="19"/>
      <c r="B324" s="10"/>
      <c r="C324" s="23" t="str">
        <f aca="false">IF($B324="","",IFERROR(INDEX(Inventory!$E$4:$E$503,MATCH($B324,Inventory!$A$4:$A$503,0)),"SKU not found"))</f>
        <v/>
      </c>
      <c r="D324" s="10"/>
      <c r="E324" s="12"/>
      <c r="F324" s="12"/>
      <c r="G324" s="12"/>
      <c r="H324" s="24" t="str">
        <f aca="false">IF(OR(B324="",D324="",E324=""),"",IFERROR(IF(AND(D324="Poshmark",E324&lt;Settings!$B$20),Settings!$B$21,(E324+IF(INDEX(Settings!$E$4:$E$11,MATCH($D324,Settings!$A$4:$A$11,0))="Y",N(F324),0))*(INDEX(Settings!$B$4:$B$11,MATCH($D324,Settings!$A$4:$A$11,0))+INDEX(Settings!$D$4:$D$11,MATCH($D324,Settings!$A$4:$A$11,0)))+INDEX(Settings!$C$4:$C$11,MATCH($D324,Settings!$A$4:$A$11,0))),0))</f>
        <v/>
      </c>
      <c r="I324" s="12"/>
      <c r="J324" s="12"/>
      <c r="K324" s="24" t="str">
        <f aca="false">IF($B324="","",IFERROR(INDEX(Inventory!$J$4:$J$503,MATCH($B324,Inventory!$A$4:$A$503,0)),0))</f>
        <v/>
      </c>
      <c r="L324" s="24" t="str">
        <f aca="false">IF(OR(B324="",E324=""),"",E324+N(F324)-N(G324)-N(H324)-N(J324)-N(K324))</f>
        <v/>
      </c>
      <c r="M324" s="28" t="str">
        <f aca="false">IF(OR(L324="",N(K324)=0),"",L324/K324)</f>
        <v/>
      </c>
      <c r="N324" s="25" t="str">
        <f aca="false">IF(OR(A324="",B324=""),"",IFERROR(A324-INDEX(Inventory!$B$4:$B$503,MATCH($B324,Inventory!$A$4:$A$503,0)),""))</f>
        <v/>
      </c>
      <c r="O324" s="27" t="str">
        <f aca="false">IF($B324="","",IFERROR(INDEX(Inventory!$F$4:$F$503,MATCH($B324,Inventory!$A$4:$A$503,0)),""))</f>
        <v/>
      </c>
      <c r="P324" s="27" t="str">
        <f aca="false">IF($B324="","",IFERROR(INDEX(Inventory!$C$4:$C$503,MATCH($B324,Inventory!$A$4:$A$503,0)),""))</f>
        <v/>
      </c>
    </row>
    <row r="325" customFormat="false" ht="15" hidden="false" customHeight="false" outlineLevel="0" collapsed="false">
      <c r="A325" s="19"/>
      <c r="B325" s="10"/>
      <c r="C325" s="23" t="str">
        <f aca="false">IF($B325="","",IFERROR(INDEX(Inventory!$E$4:$E$503,MATCH($B325,Inventory!$A$4:$A$503,0)),"SKU not found"))</f>
        <v/>
      </c>
      <c r="D325" s="10"/>
      <c r="E325" s="12"/>
      <c r="F325" s="12"/>
      <c r="G325" s="12"/>
      <c r="H325" s="24" t="str">
        <f aca="false">IF(OR(B325="",D325="",E325=""),"",IFERROR(IF(AND(D325="Poshmark",E325&lt;Settings!$B$20),Settings!$B$21,(E325+IF(INDEX(Settings!$E$4:$E$11,MATCH($D325,Settings!$A$4:$A$11,0))="Y",N(F325),0))*(INDEX(Settings!$B$4:$B$11,MATCH($D325,Settings!$A$4:$A$11,0))+INDEX(Settings!$D$4:$D$11,MATCH($D325,Settings!$A$4:$A$11,0)))+INDEX(Settings!$C$4:$C$11,MATCH($D325,Settings!$A$4:$A$11,0))),0))</f>
        <v/>
      </c>
      <c r="I325" s="12"/>
      <c r="J325" s="12"/>
      <c r="K325" s="24" t="str">
        <f aca="false">IF($B325="","",IFERROR(INDEX(Inventory!$J$4:$J$503,MATCH($B325,Inventory!$A$4:$A$503,0)),0))</f>
        <v/>
      </c>
      <c r="L325" s="24" t="str">
        <f aca="false">IF(OR(B325="",E325=""),"",E325+N(F325)-N(G325)-N(H325)-N(J325)-N(K325))</f>
        <v/>
      </c>
      <c r="M325" s="28" t="str">
        <f aca="false">IF(OR(L325="",N(K325)=0),"",L325/K325)</f>
        <v/>
      </c>
      <c r="N325" s="25" t="str">
        <f aca="false">IF(OR(A325="",B325=""),"",IFERROR(A325-INDEX(Inventory!$B$4:$B$503,MATCH($B325,Inventory!$A$4:$A$503,0)),""))</f>
        <v/>
      </c>
      <c r="O325" s="27" t="str">
        <f aca="false">IF($B325="","",IFERROR(INDEX(Inventory!$F$4:$F$503,MATCH($B325,Inventory!$A$4:$A$503,0)),""))</f>
        <v/>
      </c>
      <c r="P325" s="27" t="str">
        <f aca="false">IF($B325="","",IFERROR(INDEX(Inventory!$C$4:$C$503,MATCH($B325,Inventory!$A$4:$A$503,0)),""))</f>
        <v/>
      </c>
    </row>
    <row r="326" customFormat="false" ht="15" hidden="false" customHeight="false" outlineLevel="0" collapsed="false">
      <c r="A326" s="19"/>
      <c r="B326" s="10"/>
      <c r="C326" s="23" t="str">
        <f aca="false">IF($B326="","",IFERROR(INDEX(Inventory!$E$4:$E$503,MATCH($B326,Inventory!$A$4:$A$503,0)),"SKU not found"))</f>
        <v/>
      </c>
      <c r="D326" s="10"/>
      <c r="E326" s="12"/>
      <c r="F326" s="12"/>
      <c r="G326" s="12"/>
      <c r="H326" s="24" t="str">
        <f aca="false">IF(OR(B326="",D326="",E326=""),"",IFERROR(IF(AND(D326="Poshmark",E326&lt;Settings!$B$20),Settings!$B$21,(E326+IF(INDEX(Settings!$E$4:$E$11,MATCH($D326,Settings!$A$4:$A$11,0))="Y",N(F326),0))*(INDEX(Settings!$B$4:$B$11,MATCH($D326,Settings!$A$4:$A$11,0))+INDEX(Settings!$D$4:$D$11,MATCH($D326,Settings!$A$4:$A$11,0)))+INDEX(Settings!$C$4:$C$11,MATCH($D326,Settings!$A$4:$A$11,0))),0))</f>
        <v/>
      </c>
      <c r="I326" s="12"/>
      <c r="J326" s="12"/>
      <c r="K326" s="24" t="str">
        <f aca="false">IF($B326="","",IFERROR(INDEX(Inventory!$J$4:$J$503,MATCH($B326,Inventory!$A$4:$A$503,0)),0))</f>
        <v/>
      </c>
      <c r="L326" s="24" t="str">
        <f aca="false">IF(OR(B326="",E326=""),"",E326+N(F326)-N(G326)-N(H326)-N(J326)-N(K326))</f>
        <v/>
      </c>
      <c r="M326" s="28" t="str">
        <f aca="false">IF(OR(L326="",N(K326)=0),"",L326/K326)</f>
        <v/>
      </c>
      <c r="N326" s="25" t="str">
        <f aca="false">IF(OR(A326="",B326=""),"",IFERROR(A326-INDEX(Inventory!$B$4:$B$503,MATCH($B326,Inventory!$A$4:$A$503,0)),""))</f>
        <v/>
      </c>
      <c r="O326" s="27" t="str">
        <f aca="false">IF($B326="","",IFERROR(INDEX(Inventory!$F$4:$F$503,MATCH($B326,Inventory!$A$4:$A$503,0)),""))</f>
        <v/>
      </c>
      <c r="P326" s="27" t="str">
        <f aca="false">IF($B326="","",IFERROR(INDEX(Inventory!$C$4:$C$503,MATCH($B326,Inventory!$A$4:$A$503,0)),""))</f>
        <v/>
      </c>
    </row>
    <row r="327" customFormat="false" ht="15" hidden="false" customHeight="false" outlineLevel="0" collapsed="false">
      <c r="A327" s="19"/>
      <c r="B327" s="10"/>
      <c r="C327" s="23" t="str">
        <f aca="false">IF($B327="","",IFERROR(INDEX(Inventory!$E$4:$E$503,MATCH($B327,Inventory!$A$4:$A$503,0)),"SKU not found"))</f>
        <v/>
      </c>
      <c r="D327" s="10"/>
      <c r="E327" s="12"/>
      <c r="F327" s="12"/>
      <c r="G327" s="12"/>
      <c r="H327" s="24" t="str">
        <f aca="false">IF(OR(B327="",D327="",E327=""),"",IFERROR(IF(AND(D327="Poshmark",E327&lt;Settings!$B$20),Settings!$B$21,(E327+IF(INDEX(Settings!$E$4:$E$11,MATCH($D327,Settings!$A$4:$A$11,0))="Y",N(F327),0))*(INDEX(Settings!$B$4:$B$11,MATCH($D327,Settings!$A$4:$A$11,0))+INDEX(Settings!$D$4:$D$11,MATCH($D327,Settings!$A$4:$A$11,0)))+INDEX(Settings!$C$4:$C$11,MATCH($D327,Settings!$A$4:$A$11,0))),0))</f>
        <v/>
      </c>
      <c r="I327" s="12"/>
      <c r="J327" s="12"/>
      <c r="K327" s="24" t="str">
        <f aca="false">IF($B327="","",IFERROR(INDEX(Inventory!$J$4:$J$503,MATCH($B327,Inventory!$A$4:$A$503,0)),0))</f>
        <v/>
      </c>
      <c r="L327" s="24" t="str">
        <f aca="false">IF(OR(B327="",E327=""),"",E327+N(F327)-N(G327)-N(H327)-N(J327)-N(K327))</f>
        <v/>
      </c>
      <c r="M327" s="28" t="str">
        <f aca="false">IF(OR(L327="",N(K327)=0),"",L327/K327)</f>
        <v/>
      </c>
      <c r="N327" s="25" t="str">
        <f aca="false">IF(OR(A327="",B327=""),"",IFERROR(A327-INDEX(Inventory!$B$4:$B$503,MATCH($B327,Inventory!$A$4:$A$503,0)),""))</f>
        <v/>
      </c>
      <c r="O327" s="27" t="str">
        <f aca="false">IF($B327="","",IFERROR(INDEX(Inventory!$F$4:$F$503,MATCH($B327,Inventory!$A$4:$A$503,0)),""))</f>
        <v/>
      </c>
      <c r="P327" s="27" t="str">
        <f aca="false">IF($B327="","",IFERROR(INDEX(Inventory!$C$4:$C$503,MATCH($B327,Inventory!$A$4:$A$503,0)),""))</f>
        <v/>
      </c>
    </row>
    <row r="328" customFormat="false" ht="15" hidden="false" customHeight="false" outlineLevel="0" collapsed="false">
      <c r="A328" s="19"/>
      <c r="B328" s="10"/>
      <c r="C328" s="23" t="str">
        <f aca="false">IF($B328="","",IFERROR(INDEX(Inventory!$E$4:$E$503,MATCH($B328,Inventory!$A$4:$A$503,0)),"SKU not found"))</f>
        <v/>
      </c>
      <c r="D328" s="10"/>
      <c r="E328" s="12"/>
      <c r="F328" s="12"/>
      <c r="G328" s="12"/>
      <c r="H328" s="24" t="str">
        <f aca="false">IF(OR(B328="",D328="",E328=""),"",IFERROR(IF(AND(D328="Poshmark",E328&lt;Settings!$B$20),Settings!$B$21,(E328+IF(INDEX(Settings!$E$4:$E$11,MATCH($D328,Settings!$A$4:$A$11,0))="Y",N(F328),0))*(INDEX(Settings!$B$4:$B$11,MATCH($D328,Settings!$A$4:$A$11,0))+INDEX(Settings!$D$4:$D$11,MATCH($D328,Settings!$A$4:$A$11,0)))+INDEX(Settings!$C$4:$C$11,MATCH($D328,Settings!$A$4:$A$11,0))),0))</f>
        <v/>
      </c>
      <c r="I328" s="12"/>
      <c r="J328" s="12"/>
      <c r="K328" s="24" t="str">
        <f aca="false">IF($B328="","",IFERROR(INDEX(Inventory!$J$4:$J$503,MATCH($B328,Inventory!$A$4:$A$503,0)),0))</f>
        <v/>
      </c>
      <c r="L328" s="24" t="str">
        <f aca="false">IF(OR(B328="",E328=""),"",E328+N(F328)-N(G328)-N(H328)-N(J328)-N(K328))</f>
        <v/>
      </c>
      <c r="M328" s="28" t="str">
        <f aca="false">IF(OR(L328="",N(K328)=0),"",L328/K328)</f>
        <v/>
      </c>
      <c r="N328" s="25" t="str">
        <f aca="false">IF(OR(A328="",B328=""),"",IFERROR(A328-INDEX(Inventory!$B$4:$B$503,MATCH($B328,Inventory!$A$4:$A$503,0)),""))</f>
        <v/>
      </c>
      <c r="O328" s="27" t="str">
        <f aca="false">IF($B328="","",IFERROR(INDEX(Inventory!$F$4:$F$503,MATCH($B328,Inventory!$A$4:$A$503,0)),""))</f>
        <v/>
      </c>
      <c r="P328" s="27" t="str">
        <f aca="false">IF($B328="","",IFERROR(INDEX(Inventory!$C$4:$C$503,MATCH($B328,Inventory!$A$4:$A$503,0)),""))</f>
        <v/>
      </c>
    </row>
    <row r="329" customFormat="false" ht="15" hidden="false" customHeight="false" outlineLevel="0" collapsed="false">
      <c r="A329" s="19"/>
      <c r="B329" s="10"/>
      <c r="C329" s="23" t="str">
        <f aca="false">IF($B329="","",IFERROR(INDEX(Inventory!$E$4:$E$503,MATCH($B329,Inventory!$A$4:$A$503,0)),"SKU not found"))</f>
        <v/>
      </c>
      <c r="D329" s="10"/>
      <c r="E329" s="12"/>
      <c r="F329" s="12"/>
      <c r="G329" s="12"/>
      <c r="H329" s="24" t="str">
        <f aca="false">IF(OR(B329="",D329="",E329=""),"",IFERROR(IF(AND(D329="Poshmark",E329&lt;Settings!$B$20),Settings!$B$21,(E329+IF(INDEX(Settings!$E$4:$E$11,MATCH($D329,Settings!$A$4:$A$11,0))="Y",N(F329),0))*(INDEX(Settings!$B$4:$B$11,MATCH($D329,Settings!$A$4:$A$11,0))+INDEX(Settings!$D$4:$D$11,MATCH($D329,Settings!$A$4:$A$11,0)))+INDEX(Settings!$C$4:$C$11,MATCH($D329,Settings!$A$4:$A$11,0))),0))</f>
        <v/>
      </c>
      <c r="I329" s="12"/>
      <c r="J329" s="12"/>
      <c r="K329" s="24" t="str">
        <f aca="false">IF($B329="","",IFERROR(INDEX(Inventory!$J$4:$J$503,MATCH($B329,Inventory!$A$4:$A$503,0)),0))</f>
        <v/>
      </c>
      <c r="L329" s="24" t="str">
        <f aca="false">IF(OR(B329="",E329=""),"",E329+N(F329)-N(G329)-N(H329)-N(J329)-N(K329))</f>
        <v/>
      </c>
      <c r="M329" s="28" t="str">
        <f aca="false">IF(OR(L329="",N(K329)=0),"",L329/K329)</f>
        <v/>
      </c>
      <c r="N329" s="25" t="str">
        <f aca="false">IF(OR(A329="",B329=""),"",IFERROR(A329-INDEX(Inventory!$B$4:$B$503,MATCH($B329,Inventory!$A$4:$A$503,0)),""))</f>
        <v/>
      </c>
      <c r="O329" s="27" t="str">
        <f aca="false">IF($B329="","",IFERROR(INDEX(Inventory!$F$4:$F$503,MATCH($B329,Inventory!$A$4:$A$503,0)),""))</f>
        <v/>
      </c>
      <c r="P329" s="27" t="str">
        <f aca="false">IF($B329="","",IFERROR(INDEX(Inventory!$C$4:$C$503,MATCH($B329,Inventory!$A$4:$A$503,0)),""))</f>
        <v/>
      </c>
    </row>
    <row r="330" customFormat="false" ht="15" hidden="false" customHeight="false" outlineLevel="0" collapsed="false">
      <c r="A330" s="19"/>
      <c r="B330" s="10"/>
      <c r="C330" s="23" t="str">
        <f aca="false">IF($B330="","",IFERROR(INDEX(Inventory!$E$4:$E$503,MATCH($B330,Inventory!$A$4:$A$503,0)),"SKU not found"))</f>
        <v/>
      </c>
      <c r="D330" s="10"/>
      <c r="E330" s="12"/>
      <c r="F330" s="12"/>
      <c r="G330" s="12"/>
      <c r="H330" s="24" t="str">
        <f aca="false">IF(OR(B330="",D330="",E330=""),"",IFERROR(IF(AND(D330="Poshmark",E330&lt;Settings!$B$20),Settings!$B$21,(E330+IF(INDEX(Settings!$E$4:$E$11,MATCH($D330,Settings!$A$4:$A$11,0))="Y",N(F330),0))*(INDEX(Settings!$B$4:$B$11,MATCH($D330,Settings!$A$4:$A$11,0))+INDEX(Settings!$D$4:$D$11,MATCH($D330,Settings!$A$4:$A$11,0)))+INDEX(Settings!$C$4:$C$11,MATCH($D330,Settings!$A$4:$A$11,0))),0))</f>
        <v/>
      </c>
      <c r="I330" s="12"/>
      <c r="J330" s="12"/>
      <c r="K330" s="24" t="str">
        <f aca="false">IF($B330="","",IFERROR(INDEX(Inventory!$J$4:$J$503,MATCH($B330,Inventory!$A$4:$A$503,0)),0))</f>
        <v/>
      </c>
      <c r="L330" s="24" t="str">
        <f aca="false">IF(OR(B330="",E330=""),"",E330+N(F330)-N(G330)-N(H330)-N(J330)-N(K330))</f>
        <v/>
      </c>
      <c r="M330" s="28" t="str">
        <f aca="false">IF(OR(L330="",N(K330)=0),"",L330/K330)</f>
        <v/>
      </c>
      <c r="N330" s="25" t="str">
        <f aca="false">IF(OR(A330="",B330=""),"",IFERROR(A330-INDEX(Inventory!$B$4:$B$503,MATCH($B330,Inventory!$A$4:$A$503,0)),""))</f>
        <v/>
      </c>
      <c r="O330" s="27" t="str">
        <f aca="false">IF($B330="","",IFERROR(INDEX(Inventory!$F$4:$F$503,MATCH($B330,Inventory!$A$4:$A$503,0)),""))</f>
        <v/>
      </c>
      <c r="P330" s="27" t="str">
        <f aca="false">IF($B330="","",IFERROR(INDEX(Inventory!$C$4:$C$503,MATCH($B330,Inventory!$A$4:$A$503,0)),""))</f>
        <v/>
      </c>
    </row>
    <row r="331" customFormat="false" ht="15" hidden="false" customHeight="false" outlineLevel="0" collapsed="false">
      <c r="A331" s="19"/>
      <c r="B331" s="10"/>
      <c r="C331" s="23" t="str">
        <f aca="false">IF($B331="","",IFERROR(INDEX(Inventory!$E$4:$E$503,MATCH($B331,Inventory!$A$4:$A$503,0)),"SKU not found"))</f>
        <v/>
      </c>
      <c r="D331" s="10"/>
      <c r="E331" s="12"/>
      <c r="F331" s="12"/>
      <c r="G331" s="12"/>
      <c r="H331" s="24" t="str">
        <f aca="false">IF(OR(B331="",D331="",E331=""),"",IFERROR(IF(AND(D331="Poshmark",E331&lt;Settings!$B$20),Settings!$B$21,(E331+IF(INDEX(Settings!$E$4:$E$11,MATCH($D331,Settings!$A$4:$A$11,0))="Y",N(F331),0))*(INDEX(Settings!$B$4:$B$11,MATCH($D331,Settings!$A$4:$A$11,0))+INDEX(Settings!$D$4:$D$11,MATCH($D331,Settings!$A$4:$A$11,0)))+INDEX(Settings!$C$4:$C$11,MATCH($D331,Settings!$A$4:$A$11,0))),0))</f>
        <v/>
      </c>
      <c r="I331" s="12"/>
      <c r="J331" s="12"/>
      <c r="K331" s="24" t="str">
        <f aca="false">IF($B331="","",IFERROR(INDEX(Inventory!$J$4:$J$503,MATCH($B331,Inventory!$A$4:$A$503,0)),0))</f>
        <v/>
      </c>
      <c r="L331" s="24" t="str">
        <f aca="false">IF(OR(B331="",E331=""),"",E331+N(F331)-N(G331)-N(H331)-N(J331)-N(K331))</f>
        <v/>
      </c>
      <c r="M331" s="28" t="str">
        <f aca="false">IF(OR(L331="",N(K331)=0),"",L331/K331)</f>
        <v/>
      </c>
      <c r="N331" s="25" t="str">
        <f aca="false">IF(OR(A331="",B331=""),"",IFERROR(A331-INDEX(Inventory!$B$4:$B$503,MATCH($B331,Inventory!$A$4:$A$503,0)),""))</f>
        <v/>
      </c>
      <c r="O331" s="27" t="str">
        <f aca="false">IF($B331="","",IFERROR(INDEX(Inventory!$F$4:$F$503,MATCH($B331,Inventory!$A$4:$A$503,0)),""))</f>
        <v/>
      </c>
      <c r="P331" s="27" t="str">
        <f aca="false">IF($B331="","",IFERROR(INDEX(Inventory!$C$4:$C$503,MATCH($B331,Inventory!$A$4:$A$503,0)),""))</f>
        <v/>
      </c>
    </row>
    <row r="332" customFormat="false" ht="15" hidden="false" customHeight="false" outlineLevel="0" collapsed="false">
      <c r="A332" s="19"/>
      <c r="B332" s="10"/>
      <c r="C332" s="23" t="str">
        <f aca="false">IF($B332="","",IFERROR(INDEX(Inventory!$E$4:$E$503,MATCH($B332,Inventory!$A$4:$A$503,0)),"SKU not found"))</f>
        <v/>
      </c>
      <c r="D332" s="10"/>
      <c r="E332" s="12"/>
      <c r="F332" s="12"/>
      <c r="G332" s="12"/>
      <c r="H332" s="24" t="str">
        <f aca="false">IF(OR(B332="",D332="",E332=""),"",IFERROR(IF(AND(D332="Poshmark",E332&lt;Settings!$B$20),Settings!$B$21,(E332+IF(INDEX(Settings!$E$4:$E$11,MATCH($D332,Settings!$A$4:$A$11,0))="Y",N(F332),0))*(INDEX(Settings!$B$4:$B$11,MATCH($D332,Settings!$A$4:$A$11,0))+INDEX(Settings!$D$4:$D$11,MATCH($D332,Settings!$A$4:$A$11,0)))+INDEX(Settings!$C$4:$C$11,MATCH($D332,Settings!$A$4:$A$11,0))),0))</f>
        <v/>
      </c>
      <c r="I332" s="12"/>
      <c r="J332" s="12"/>
      <c r="K332" s="24" t="str">
        <f aca="false">IF($B332="","",IFERROR(INDEX(Inventory!$J$4:$J$503,MATCH($B332,Inventory!$A$4:$A$503,0)),0))</f>
        <v/>
      </c>
      <c r="L332" s="24" t="str">
        <f aca="false">IF(OR(B332="",E332=""),"",E332+N(F332)-N(G332)-N(H332)-N(J332)-N(K332))</f>
        <v/>
      </c>
      <c r="M332" s="28" t="str">
        <f aca="false">IF(OR(L332="",N(K332)=0),"",L332/K332)</f>
        <v/>
      </c>
      <c r="N332" s="25" t="str">
        <f aca="false">IF(OR(A332="",B332=""),"",IFERROR(A332-INDEX(Inventory!$B$4:$B$503,MATCH($B332,Inventory!$A$4:$A$503,0)),""))</f>
        <v/>
      </c>
      <c r="O332" s="27" t="str">
        <f aca="false">IF($B332="","",IFERROR(INDEX(Inventory!$F$4:$F$503,MATCH($B332,Inventory!$A$4:$A$503,0)),""))</f>
        <v/>
      </c>
      <c r="P332" s="27" t="str">
        <f aca="false">IF($B332="","",IFERROR(INDEX(Inventory!$C$4:$C$503,MATCH($B332,Inventory!$A$4:$A$503,0)),""))</f>
        <v/>
      </c>
    </row>
    <row r="333" customFormat="false" ht="15" hidden="false" customHeight="false" outlineLevel="0" collapsed="false">
      <c r="A333" s="19"/>
      <c r="B333" s="10"/>
      <c r="C333" s="23" t="str">
        <f aca="false">IF($B333="","",IFERROR(INDEX(Inventory!$E$4:$E$503,MATCH($B333,Inventory!$A$4:$A$503,0)),"SKU not found"))</f>
        <v/>
      </c>
      <c r="D333" s="10"/>
      <c r="E333" s="12"/>
      <c r="F333" s="12"/>
      <c r="G333" s="12"/>
      <c r="H333" s="24" t="str">
        <f aca="false">IF(OR(B333="",D333="",E333=""),"",IFERROR(IF(AND(D333="Poshmark",E333&lt;Settings!$B$20),Settings!$B$21,(E333+IF(INDEX(Settings!$E$4:$E$11,MATCH($D333,Settings!$A$4:$A$11,0))="Y",N(F333),0))*(INDEX(Settings!$B$4:$B$11,MATCH($D333,Settings!$A$4:$A$11,0))+INDEX(Settings!$D$4:$D$11,MATCH($D333,Settings!$A$4:$A$11,0)))+INDEX(Settings!$C$4:$C$11,MATCH($D333,Settings!$A$4:$A$11,0))),0))</f>
        <v/>
      </c>
      <c r="I333" s="12"/>
      <c r="J333" s="12"/>
      <c r="K333" s="24" t="str">
        <f aca="false">IF($B333="","",IFERROR(INDEX(Inventory!$J$4:$J$503,MATCH($B333,Inventory!$A$4:$A$503,0)),0))</f>
        <v/>
      </c>
      <c r="L333" s="24" t="str">
        <f aca="false">IF(OR(B333="",E333=""),"",E333+N(F333)-N(G333)-N(H333)-N(J333)-N(K333))</f>
        <v/>
      </c>
      <c r="M333" s="28" t="str">
        <f aca="false">IF(OR(L333="",N(K333)=0),"",L333/K333)</f>
        <v/>
      </c>
      <c r="N333" s="25" t="str">
        <f aca="false">IF(OR(A333="",B333=""),"",IFERROR(A333-INDEX(Inventory!$B$4:$B$503,MATCH($B333,Inventory!$A$4:$A$503,0)),""))</f>
        <v/>
      </c>
      <c r="O333" s="27" t="str">
        <f aca="false">IF($B333="","",IFERROR(INDEX(Inventory!$F$4:$F$503,MATCH($B333,Inventory!$A$4:$A$503,0)),""))</f>
        <v/>
      </c>
      <c r="P333" s="27" t="str">
        <f aca="false">IF($B333="","",IFERROR(INDEX(Inventory!$C$4:$C$503,MATCH($B333,Inventory!$A$4:$A$503,0)),""))</f>
        <v/>
      </c>
    </row>
    <row r="334" customFormat="false" ht="15" hidden="false" customHeight="false" outlineLevel="0" collapsed="false">
      <c r="A334" s="19"/>
      <c r="B334" s="10"/>
      <c r="C334" s="23" t="str">
        <f aca="false">IF($B334="","",IFERROR(INDEX(Inventory!$E$4:$E$503,MATCH($B334,Inventory!$A$4:$A$503,0)),"SKU not found"))</f>
        <v/>
      </c>
      <c r="D334" s="10"/>
      <c r="E334" s="12"/>
      <c r="F334" s="12"/>
      <c r="G334" s="12"/>
      <c r="H334" s="24" t="str">
        <f aca="false">IF(OR(B334="",D334="",E334=""),"",IFERROR(IF(AND(D334="Poshmark",E334&lt;Settings!$B$20),Settings!$B$21,(E334+IF(INDEX(Settings!$E$4:$E$11,MATCH($D334,Settings!$A$4:$A$11,0))="Y",N(F334),0))*(INDEX(Settings!$B$4:$B$11,MATCH($D334,Settings!$A$4:$A$11,0))+INDEX(Settings!$D$4:$D$11,MATCH($D334,Settings!$A$4:$A$11,0)))+INDEX(Settings!$C$4:$C$11,MATCH($D334,Settings!$A$4:$A$11,0))),0))</f>
        <v/>
      </c>
      <c r="I334" s="12"/>
      <c r="J334" s="12"/>
      <c r="K334" s="24" t="str">
        <f aca="false">IF($B334="","",IFERROR(INDEX(Inventory!$J$4:$J$503,MATCH($B334,Inventory!$A$4:$A$503,0)),0))</f>
        <v/>
      </c>
      <c r="L334" s="24" t="str">
        <f aca="false">IF(OR(B334="",E334=""),"",E334+N(F334)-N(G334)-N(H334)-N(J334)-N(K334))</f>
        <v/>
      </c>
      <c r="M334" s="28" t="str">
        <f aca="false">IF(OR(L334="",N(K334)=0),"",L334/K334)</f>
        <v/>
      </c>
      <c r="N334" s="25" t="str">
        <f aca="false">IF(OR(A334="",B334=""),"",IFERROR(A334-INDEX(Inventory!$B$4:$B$503,MATCH($B334,Inventory!$A$4:$A$503,0)),""))</f>
        <v/>
      </c>
      <c r="O334" s="27" t="str">
        <f aca="false">IF($B334="","",IFERROR(INDEX(Inventory!$F$4:$F$503,MATCH($B334,Inventory!$A$4:$A$503,0)),""))</f>
        <v/>
      </c>
      <c r="P334" s="27" t="str">
        <f aca="false">IF($B334="","",IFERROR(INDEX(Inventory!$C$4:$C$503,MATCH($B334,Inventory!$A$4:$A$503,0)),""))</f>
        <v/>
      </c>
    </row>
    <row r="335" customFormat="false" ht="15" hidden="false" customHeight="false" outlineLevel="0" collapsed="false">
      <c r="A335" s="19"/>
      <c r="B335" s="10"/>
      <c r="C335" s="23" t="str">
        <f aca="false">IF($B335="","",IFERROR(INDEX(Inventory!$E$4:$E$503,MATCH($B335,Inventory!$A$4:$A$503,0)),"SKU not found"))</f>
        <v/>
      </c>
      <c r="D335" s="10"/>
      <c r="E335" s="12"/>
      <c r="F335" s="12"/>
      <c r="G335" s="12"/>
      <c r="H335" s="24" t="str">
        <f aca="false">IF(OR(B335="",D335="",E335=""),"",IFERROR(IF(AND(D335="Poshmark",E335&lt;Settings!$B$20),Settings!$B$21,(E335+IF(INDEX(Settings!$E$4:$E$11,MATCH($D335,Settings!$A$4:$A$11,0))="Y",N(F335),0))*(INDEX(Settings!$B$4:$B$11,MATCH($D335,Settings!$A$4:$A$11,0))+INDEX(Settings!$D$4:$D$11,MATCH($D335,Settings!$A$4:$A$11,0)))+INDEX(Settings!$C$4:$C$11,MATCH($D335,Settings!$A$4:$A$11,0))),0))</f>
        <v/>
      </c>
      <c r="I335" s="12"/>
      <c r="J335" s="12"/>
      <c r="K335" s="24" t="str">
        <f aca="false">IF($B335="","",IFERROR(INDEX(Inventory!$J$4:$J$503,MATCH($B335,Inventory!$A$4:$A$503,0)),0))</f>
        <v/>
      </c>
      <c r="L335" s="24" t="str">
        <f aca="false">IF(OR(B335="",E335=""),"",E335+N(F335)-N(G335)-N(H335)-N(J335)-N(K335))</f>
        <v/>
      </c>
      <c r="M335" s="28" t="str">
        <f aca="false">IF(OR(L335="",N(K335)=0),"",L335/K335)</f>
        <v/>
      </c>
      <c r="N335" s="25" t="str">
        <f aca="false">IF(OR(A335="",B335=""),"",IFERROR(A335-INDEX(Inventory!$B$4:$B$503,MATCH($B335,Inventory!$A$4:$A$503,0)),""))</f>
        <v/>
      </c>
      <c r="O335" s="27" t="str">
        <f aca="false">IF($B335="","",IFERROR(INDEX(Inventory!$F$4:$F$503,MATCH($B335,Inventory!$A$4:$A$503,0)),""))</f>
        <v/>
      </c>
      <c r="P335" s="27" t="str">
        <f aca="false">IF($B335="","",IFERROR(INDEX(Inventory!$C$4:$C$503,MATCH($B335,Inventory!$A$4:$A$503,0)),""))</f>
        <v/>
      </c>
    </row>
    <row r="336" customFormat="false" ht="15" hidden="false" customHeight="false" outlineLevel="0" collapsed="false">
      <c r="A336" s="19"/>
      <c r="B336" s="10"/>
      <c r="C336" s="23" t="str">
        <f aca="false">IF($B336="","",IFERROR(INDEX(Inventory!$E$4:$E$503,MATCH($B336,Inventory!$A$4:$A$503,0)),"SKU not found"))</f>
        <v/>
      </c>
      <c r="D336" s="10"/>
      <c r="E336" s="12"/>
      <c r="F336" s="12"/>
      <c r="G336" s="12"/>
      <c r="H336" s="24" t="str">
        <f aca="false">IF(OR(B336="",D336="",E336=""),"",IFERROR(IF(AND(D336="Poshmark",E336&lt;Settings!$B$20),Settings!$B$21,(E336+IF(INDEX(Settings!$E$4:$E$11,MATCH($D336,Settings!$A$4:$A$11,0))="Y",N(F336),0))*(INDEX(Settings!$B$4:$B$11,MATCH($D336,Settings!$A$4:$A$11,0))+INDEX(Settings!$D$4:$D$11,MATCH($D336,Settings!$A$4:$A$11,0)))+INDEX(Settings!$C$4:$C$11,MATCH($D336,Settings!$A$4:$A$11,0))),0))</f>
        <v/>
      </c>
      <c r="I336" s="12"/>
      <c r="J336" s="12"/>
      <c r="K336" s="24" t="str">
        <f aca="false">IF($B336="","",IFERROR(INDEX(Inventory!$J$4:$J$503,MATCH($B336,Inventory!$A$4:$A$503,0)),0))</f>
        <v/>
      </c>
      <c r="L336" s="24" t="str">
        <f aca="false">IF(OR(B336="",E336=""),"",E336+N(F336)-N(G336)-N(H336)-N(J336)-N(K336))</f>
        <v/>
      </c>
      <c r="M336" s="28" t="str">
        <f aca="false">IF(OR(L336="",N(K336)=0),"",L336/K336)</f>
        <v/>
      </c>
      <c r="N336" s="25" t="str">
        <f aca="false">IF(OR(A336="",B336=""),"",IFERROR(A336-INDEX(Inventory!$B$4:$B$503,MATCH($B336,Inventory!$A$4:$A$503,0)),""))</f>
        <v/>
      </c>
      <c r="O336" s="27" t="str">
        <f aca="false">IF($B336="","",IFERROR(INDEX(Inventory!$F$4:$F$503,MATCH($B336,Inventory!$A$4:$A$503,0)),""))</f>
        <v/>
      </c>
      <c r="P336" s="27" t="str">
        <f aca="false">IF($B336="","",IFERROR(INDEX(Inventory!$C$4:$C$503,MATCH($B336,Inventory!$A$4:$A$503,0)),""))</f>
        <v/>
      </c>
    </row>
    <row r="337" customFormat="false" ht="15" hidden="false" customHeight="false" outlineLevel="0" collapsed="false">
      <c r="A337" s="19"/>
      <c r="B337" s="10"/>
      <c r="C337" s="23" t="str">
        <f aca="false">IF($B337="","",IFERROR(INDEX(Inventory!$E$4:$E$503,MATCH($B337,Inventory!$A$4:$A$503,0)),"SKU not found"))</f>
        <v/>
      </c>
      <c r="D337" s="10"/>
      <c r="E337" s="12"/>
      <c r="F337" s="12"/>
      <c r="G337" s="12"/>
      <c r="H337" s="24" t="str">
        <f aca="false">IF(OR(B337="",D337="",E337=""),"",IFERROR(IF(AND(D337="Poshmark",E337&lt;Settings!$B$20),Settings!$B$21,(E337+IF(INDEX(Settings!$E$4:$E$11,MATCH($D337,Settings!$A$4:$A$11,0))="Y",N(F337),0))*(INDEX(Settings!$B$4:$B$11,MATCH($D337,Settings!$A$4:$A$11,0))+INDEX(Settings!$D$4:$D$11,MATCH($D337,Settings!$A$4:$A$11,0)))+INDEX(Settings!$C$4:$C$11,MATCH($D337,Settings!$A$4:$A$11,0))),0))</f>
        <v/>
      </c>
      <c r="I337" s="12"/>
      <c r="J337" s="12"/>
      <c r="K337" s="24" t="str">
        <f aca="false">IF($B337="","",IFERROR(INDEX(Inventory!$J$4:$J$503,MATCH($B337,Inventory!$A$4:$A$503,0)),0))</f>
        <v/>
      </c>
      <c r="L337" s="24" t="str">
        <f aca="false">IF(OR(B337="",E337=""),"",E337+N(F337)-N(G337)-N(H337)-N(J337)-N(K337))</f>
        <v/>
      </c>
      <c r="M337" s="28" t="str">
        <f aca="false">IF(OR(L337="",N(K337)=0),"",L337/K337)</f>
        <v/>
      </c>
      <c r="N337" s="25" t="str">
        <f aca="false">IF(OR(A337="",B337=""),"",IFERROR(A337-INDEX(Inventory!$B$4:$B$503,MATCH($B337,Inventory!$A$4:$A$503,0)),""))</f>
        <v/>
      </c>
      <c r="O337" s="27" t="str">
        <f aca="false">IF($B337="","",IFERROR(INDEX(Inventory!$F$4:$F$503,MATCH($B337,Inventory!$A$4:$A$503,0)),""))</f>
        <v/>
      </c>
      <c r="P337" s="27" t="str">
        <f aca="false">IF($B337="","",IFERROR(INDEX(Inventory!$C$4:$C$503,MATCH($B337,Inventory!$A$4:$A$503,0)),""))</f>
        <v/>
      </c>
    </row>
    <row r="338" customFormat="false" ht="15" hidden="false" customHeight="false" outlineLevel="0" collapsed="false">
      <c r="A338" s="19"/>
      <c r="B338" s="10"/>
      <c r="C338" s="23" t="str">
        <f aca="false">IF($B338="","",IFERROR(INDEX(Inventory!$E$4:$E$503,MATCH($B338,Inventory!$A$4:$A$503,0)),"SKU not found"))</f>
        <v/>
      </c>
      <c r="D338" s="10"/>
      <c r="E338" s="12"/>
      <c r="F338" s="12"/>
      <c r="G338" s="12"/>
      <c r="H338" s="24" t="str">
        <f aca="false">IF(OR(B338="",D338="",E338=""),"",IFERROR(IF(AND(D338="Poshmark",E338&lt;Settings!$B$20),Settings!$B$21,(E338+IF(INDEX(Settings!$E$4:$E$11,MATCH($D338,Settings!$A$4:$A$11,0))="Y",N(F338),0))*(INDEX(Settings!$B$4:$B$11,MATCH($D338,Settings!$A$4:$A$11,0))+INDEX(Settings!$D$4:$D$11,MATCH($D338,Settings!$A$4:$A$11,0)))+INDEX(Settings!$C$4:$C$11,MATCH($D338,Settings!$A$4:$A$11,0))),0))</f>
        <v/>
      </c>
      <c r="I338" s="12"/>
      <c r="J338" s="12"/>
      <c r="K338" s="24" t="str">
        <f aca="false">IF($B338="","",IFERROR(INDEX(Inventory!$J$4:$J$503,MATCH($B338,Inventory!$A$4:$A$503,0)),0))</f>
        <v/>
      </c>
      <c r="L338" s="24" t="str">
        <f aca="false">IF(OR(B338="",E338=""),"",E338+N(F338)-N(G338)-N(H338)-N(J338)-N(K338))</f>
        <v/>
      </c>
      <c r="M338" s="28" t="str">
        <f aca="false">IF(OR(L338="",N(K338)=0),"",L338/K338)</f>
        <v/>
      </c>
      <c r="N338" s="25" t="str">
        <f aca="false">IF(OR(A338="",B338=""),"",IFERROR(A338-INDEX(Inventory!$B$4:$B$503,MATCH($B338,Inventory!$A$4:$A$503,0)),""))</f>
        <v/>
      </c>
      <c r="O338" s="27" t="str">
        <f aca="false">IF($B338="","",IFERROR(INDEX(Inventory!$F$4:$F$503,MATCH($B338,Inventory!$A$4:$A$503,0)),""))</f>
        <v/>
      </c>
      <c r="P338" s="27" t="str">
        <f aca="false">IF($B338="","",IFERROR(INDEX(Inventory!$C$4:$C$503,MATCH($B338,Inventory!$A$4:$A$503,0)),""))</f>
        <v/>
      </c>
    </row>
    <row r="339" customFormat="false" ht="15" hidden="false" customHeight="false" outlineLevel="0" collapsed="false">
      <c r="A339" s="19"/>
      <c r="B339" s="10"/>
      <c r="C339" s="23" t="str">
        <f aca="false">IF($B339="","",IFERROR(INDEX(Inventory!$E$4:$E$503,MATCH($B339,Inventory!$A$4:$A$503,0)),"SKU not found"))</f>
        <v/>
      </c>
      <c r="D339" s="10"/>
      <c r="E339" s="12"/>
      <c r="F339" s="12"/>
      <c r="G339" s="12"/>
      <c r="H339" s="24" t="str">
        <f aca="false">IF(OR(B339="",D339="",E339=""),"",IFERROR(IF(AND(D339="Poshmark",E339&lt;Settings!$B$20),Settings!$B$21,(E339+IF(INDEX(Settings!$E$4:$E$11,MATCH($D339,Settings!$A$4:$A$11,0))="Y",N(F339),0))*(INDEX(Settings!$B$4:$B$11,MATCH($D339,Settings!$A$4:$A$11,0))+INDEX(Settings!$D$4:$D$11,MATCH($D339,Settings!$A$4:$A$11,0)))+INDEX(Settings!$C$4:$C$11,MATCH($D339,Settings!$A$4:$A$11,0))),0))</f>
        <v/>
      </c>
      <c r="I339" s="12"/>
      <c r="J339" s="12"/>
      <c r="K339" s="24" t="str">
        <f aca="false">IF($B339="","",IFERROR(INDEX(Inventory!$J$4:$J$503,MATCH($B339,Inventory!$A$4:$A$503,0)),0))</f>
        <v/>
      </c>
      <c r="L339" s="24" t="str">
        <f aca="false">IF(OR(B339="",E339=""),"",E339+N(F339)-N(G339)-N(H339)-N(J339)-N(K339))</f>
        <v/>
      </c>
      <c r="M339" s="28" t="str">
        <f aca="false">IF(OR(L339="",N(K339)=0),"",L339/K339)</f>
        <v/>
      </c>
      <c r="N339" s="25" t="str">
        <f aca="false">IF(OR(A339="",B339=""),"",IFERROR(A339-INDEX(Inventory!$B$4:$B$503,MATCH($B339,Inventory!$A$4:$A$503,0)),""))</f>
        <v/>
      </c>
      <c r="O339" s="27" t="str">
        <f aca="false">IF($B339="","",IFERROR(INDEX(Inventory!$F$4:$F$503,MATCH($B339,Inventory!$A$4:$A$503,0)),""))</f>
        <v/>
      </c>
      <c r="P339" s="27" t="str">
        <f aca="false">IF($B339="","",IFERROR(INDEX(Inventory!$C$4:$C$503,MATCH($B339,Inventory!$A$4:$A$503,0)),""))</f>
        <v/>
      </c>
    </row>
    <row r="340" customFormat="false" ht="15" hidden="false" customHeight="false" outlineLevel="0" collapsed="false">
      <c r="A340" s="19"/>
      <c r="B340" s="10"/>
      <c r="C340" s="23" t="str">
        <f aca="false">IF($B340="","",IFERROR(INDEX(Inventory!$E$4:$E$503,MATCH($B340,Inventory!$A$4:$A$503,0)),"SKU not found"))</f>
        <v/>
      </c>
      <c r="D340" s="10"/>
      <c r="E340" s="12"/>
      <c r="F340" s="12"/>
      <c r="G340" s="12"/>
      <c r="H340" s="24" t="str">
        <f aca="false">IF(OR(B340="",D340="",E340=""),"",IFERROR(IF(AND(D340="Poshmark",E340&lt;Settings!$B$20),Settings!$B$21,(E340+IF(INDEX(Settings!$E$4:$E$11,MATCH($D340,Settings!$A$4:$A$11,0))="Y",N(F340),0))*(INDEX(Settings!$B$4:$B$11,MATCH($D340,Settings!$A$4:$A$11,0))+INDEX(Settings!$D$4:$D$11,MATCH($D340,Settings!$A$4:$A$11,0)))+INDEX(Settings!$C$4:$C$11,MATCH($D340,Settings!$A$4:$A$11,0))),0))</f>
        <v/>
      </c>
      <c r="I340" s="12"/>
      <c r="J340" s="12"/>
      <c r="K340" s="24" t="str">
        <f aca="false">IF($B340="","",IFERROR(INDEX(Inventory!$J$4:$J$503,MATCH($B340,Inventory!$A$4:$A$503,0)),0))</f>
        <v/>
      </c>
      <c r="L340" s="24" t="str">
        <f aca="false">IF(OR(B340="",E340=""),"",E340+N(F340)-N(G340)-N(H340)-N(J340)-N(K340))</f>
        <v/>
      </c>
      <c r="M340" s="28" t="str">
        <f aca="false">IF(OR(L340="",N(K340)=0),"",L340/K340)</f>
        <v/>
      </c>
      <c r="N340" s="25" t="str">
        <f aca="false">IF(OR(A340="",B340=""),"",IFERROR(A340-INDEX(Inventory!$B$4:$B$503,MATCH($B340,Inventory!$A$4:$A$503,0)),""))</f>
        <v/>
      </c>
      <c r="O340" s="27" t="str">
        <f aca="false">IF($B340="","",IFERROR(INDEX(Inventory!$F$4:$F$503,MATCH($B340,Inventory!$A$4:$A$503,0)),""))</f>
        <v/>
      </c>
      <c r="P340" s="27" t="str">
        <f aca="false">IF($B340="","",IFERROR(INDEX(Inventory!$C$4:$C$503,MATCH($B340,Inventory!$A$4:$A$503,0)),""))</f>
        <v/>
      </c>
    </row>
    <row r="341" customFormat="false" ht="15" hidden="false" customHeight="false" outlineLevel="0" collapsed="false">
      <c r="A341" s="19"/>
      <c r="B341" s="10"/>
      <c r="C341" s="23" t="str">
        <f aca="false">IF($B341="","",IFERROR(INDEX(Inventory!$E$4:$E$503,MATCH($B341,Inventory!$A$4:$A$503,0)),"SKU not found"))</f>
        <v/>
      </c>
      <c r="D341" s="10"/>
      <c r="E341" s="12"/>
      <c r="F341" s="12"/>
      <c r="G341" s="12"/>
      <c r="H341" s="24" t="str">
        <f aca="false">IF(OR(B341="",D341="",E341=""),"",IFERROR(IF(AND(D341="Poshmark",E341&lt;Settings!$B$20),Settings!$B$21,(E341+IF(INDEX(Settings!$E$4:$E$11,MATCH($D341,Settings!$A$4:$A$11,0))="Y",N(F341),0))*(INDEX(Settings!$B$4:$B$11,MATCH($D341,Settings!$A$4:$A$11,0))+INDEX(Settings!$D$4:$D$11,MATCH($D341,Settings!$A$4:$A$11,0)))+INDEX(Settings!$C$4:$C$11,MATCH($D341,Settings!$A$4:$A$11,0))),0))</f>
        <v/>
      </c>
      <c r="I341" s="12"/>
      <c r="J341" s="12"/>
      <c r="K341" s="24" t="str">
        <f aca="false">IF($B341="","",IFERROR(INDEX(Inventory!$J$4:$J$503,MATCH($B341,Inventory!$A$4:$A$503,0)),0))</f>
        <v/>
      </c>
      <c r="L341" s="24" t="str">
        <f aca="false">IF(OR(B341="",E341=""),"",E341+N(F341)-N(G341)-N(H341)-N(J341)-N(K341))</f>
        <v/>
      </c>
      <c r="M341" s="28" t="str">
        <f aca="false">IF(OR(L341="",N(K341)=0),"",L341/K341)</f>
        <v/>
      </c>
      <c r="N341" s="25" t="str">
        <f aca="false">IF(OR(A341="",B341=""),"",IFERROR(A341-INDEX(Inventory!$B$4:$B$503,MATCH($B341,Inventory!$A$4:$A$503,0)),""))</f>
        <v/>
      </c>
      <c r="O341" s="27" t="str">
        <f aca="false">IF($B341="","",IFERROR(INDEX(Inventory!$F$4:$F$503,MATCH($B341,Inventory!$A$4:$A$503,0)),""))</f>
        <v/>
      </c>
      <c r="P341" s="27" t="str">
        <f aca="false">IF($B341="","",IFERROR(INDEX(Inventory!$C$4:$C$503,MATCH($B341,Inventory!$A$4:$A$503,0)),""))</f>
        <v/>
      </c>
    </row>
    <row r="342" customFormat="false" ht="15" hidden="false" customHeight="false" outlineLevel="0" collapsed="false">
      <c r="A342" s="19"/>
      <c r="B342" s="10"/>
      <c r="C342" s="23" t="str">
        <f aca="false">IF($B342="","",IFERROR(INDEX(Inventory!$E$4:$E$503,MATCH($B342,Inventory!$A$4:$A$503,0)),"SKU not found"))</f>
        <v/>
      </c>
      <c r="D342" s="10"/>
      <c r="E342" s="12"/>
      <c r="F342" s="12"/>
      <c r="G342" s="12"/>
      <c r="H342" s="24" t="str">
        <f aca="false">IF(OR(B342="",D342="",E342=""),"",IFERROR(IF(AND(D342="Poshmark",E342&lt;Settings!$B$20),Settings!$B$21,(E342+IF(INDEX(Settings!$E$4:$E$11,MATCH($D342,Settings!$A$4:$A$11,0))="Y",N(F342),0))*(INDEX(Settings!$B$4:$B$11,MATCH($D342,Settings!$A$4:$A$11,0))+INDEX(Settings!$D$4:$D$11,MATCH($D342,Settings!$A$4:$A$11,0)))+INDEX(Settings!$C$4:$C$11,MATCH($D342,Settings!$A$4:$A$11,0))),0))</f>
        <v/>
      </c>
      <c r="I342" s="12"/>
      <c r="J342" s="12"/>
      <c r="K342" s="24" t="str">
        <f aca="false">IF($B342="","",IFERROR(INDEX(Inventory!$J$4:$J$503,MATCH($B342,Inventory!$A$4:$A$503,0)),0))</f>
        <v/>
      </c>
      <c r="L342" s="24" t="str">
        <f aca="false">IF(OR(B342="",E342=""),"",E342+N(F342)-N(G342)-N(H342)-N(J342)-N(K342))</f>
        <v/>
      </c>
      <c r="M342" s="28" t="str">
        <f aca="false">IF(OR(L342="",N(K342)=0),"",L342/K342)</f>
        <v/>
      </c>
      <c r="N342" s="25" t="str">
        <f aca="false">IF(OR(A342="",B342=""),"",IFERROR(A342-INDEX(Inventory!$B$4:$B$503,MATCH($B342,Inventory!$A$4:$A$503,0)),""))</f>
        <v/>
      </c>
      <c r="O342" s="27" t="str">
        <f aca="false">IF($B342="","",IFERROR(INDEX(Inventory!$F$4:$F$503,MATCH($B342,Inventory!$A$4:$A$503,0)),""))</f>
        <v/>
      </c>
      <c r="P342" s="27" t="str">
        <f aca="false">IF($B342="","",IFERROR(INDEX(Inventory!$C$4:$C$503,MATCH($B342,Inventory!$A$4:$A$503,0)),""))</f>
        <v/>
      </c>
    </row>
    <row r="343" customFormat="false" ht="15" hidden="false" customHeight="false" outlineLevel="0" collapsed="false">
      <c r="A343" s="19"/>
      <c r="B343" s="10"/>
      <c r="C343" s="23" t="str">
        <f aca="false">IF($B343="","",IFERROR(INDEX(Inventory!$E$4:$E$503,MATCH($B343,Inventory!$A$4:$A$503,0)),"SKU not found"))</f>
        <v/>
      </c>
      <c r="D343" s="10"/>
      <c r="E343" s="12"/>
      <c r="F343" s="12"/>
      <c r="G343" s="12"/>
      <c r="H343" s="24" t="str">
        <f aca="false">IF(OR(B343="",D343="",E343=""),"",IFERROR(IF(AND(D343="Poshmark",E343&lt;Settings!$B$20),Settings!$B$21,(E343+IF(INDEX(Settings!$E$4:$E$11,MATCH($D343,Settings!$A$4:$A$11,0))="Y",N(F343),0))*(INDEX(Settings!$B$4:$B$11,MATCH($D343,Settings!$A$4:$A$11,0))+INDEX(Settings!$D$4:$D$11,MATCH($D343,Settings!$A$4:$A$11,0)))+INDEX(Settings!$C$4:$C$11,MATCH($D343,Settings!$A$4:$A$11,0))),0))</f>
        <v/>
      </c>
      <c r="I343" s="12"/>
      <c r="J343" s="12"/>
      <c r="K343" s="24" t="str">
        <f aca="false">IF($B343="","",IFERROR(INDEX(Inventory!$J$4:$J$503,MATCH($B343,Inventory!$A$4:$A$503,0)),0))</f>
        <v/>
      </c>
      <c r="L343" s="24" t="str">
        <f aca="false">IF(OR(B343="",E343=""),"",E343+N(F343)-N(G343)-N(H343)-N(J343)-N(K343))</f>
        <v/>
      </c>
      <c r="M343" s="28" t="str">
        <f aca="false">IF(OR(L343="",N(K343)=0),"",L343/K343)</f>
        <v/>
      </c>
      <c r="N343" s="25" t="str">
        <f aca="false">IF(OR(A343="",B343=""),"",IFERROR(A343-INDEX(Inventory!$B$4:$B$503,MATCH($B343,Inventory!$A$4:$A$503,0)),""))</f>
        <v/>
      </c>
      <c r="O343" s="27" t="str">
        <f aca="false">IF($B343="","",IFERROR(INDEX(Inventory!$F$4:$F$503,MATCH($B343,Inventory!$A$4:$A$503,0)),""))</f>
        <v/>
      </c>
      <c r="P343" s="27" t="str">
        <f aca="false">IF($B343="","",IFERROR(INDEX(Inventory!$C$4:$C$503,MATCH($B343,Inventory!$A$4:$A$503,0)),""))</f>
        <v/>
      </c>
    </row>
    <row r="344" customFormat="false" ht="15" hidden="false" customHeight="false" outlineLevel="0" collapsed="false">
      <c r="A344" s="19"/>
      <c r="B344" s="10"/>
      <c r="C344" s="23" t="str">
        <f aca="false">IF($B344="","",IFERROR(INDEX(Inventory!$E$4:$E$503,MATCH($B344,Inventory!$A$4:$A$503,0)),"SKU not found"))</f>
        <v/>
      </c>
      <c r="D344" s="10"/>
      <c r="E344" s="12"/>
      <c r="F344" s="12"/>
      <c r="G344" s="12"/>
      <c r="H344" s="24" t="str">
        <f aca="false">IF(OR(B344="",D344="",E344=""),"",IFERROR(IF(AND(D344="Poshmark",E344&lt;Settings!$B$20),Settings!$B$21,(E344+IF(INDEX(Settings!$E$4:$E$11,MATCH($D344,Settings!$A$4:$A$11,0))="Y",N(F344),0))*(INDEX(Settings!$B$4:$B$11,MATCH($D344,Settings!$A$4:$A$11,0))+INDEX(Settings!$D$4:$D$11,MATCH($D344,Settings!$A$4:$A$11,0)))+INDEX(Settings!$C$4:$C$11,MATCH($D344,Settings!$A$4:$A$11,0))),0))</f>
        <v/>
      </c>
      <c r="I344" s="12"/>
      <c r="J344" s="12"/>
      <c r="K344" s="24" t="str">
        <f aca="false">IF($B344="","",IFERROR(INDEX(Inventory!$J$4:$J$503,MATCH($B344,Inventory!$A$4:$A$503,0)),0))</f>
        <v/>
      </c>
      <c r="L344" s="24" t="str">
        <f aca="false">IF(OR(B344="",E344=""),"",E344+N(F344)-N(G344)-N(H344)-N(J344)-N(K344))</f>
        <v/>
      </c>
      <c r="M344" s="28" t="str">
        <f aca="false">IF(OR(L344="",N(K344)=0),"",L344/K344)</f>
        <v/>
      </c>
      <c r="N344" s="25" t="str">
        <f aca="false">IF(OR(A344="",B344=""),"",IFERROR(A344-INDEX(Inventory!$B$4:$B$503,MATCH($B344,Inventory!$A$4:$A$503,0)),""))</f>
        <v/>
      </c>
      <c r="O344" s="27" t="str">
        <f aca="false">IF($B344="","",IFERROR(INDEX(Inventory!$F$4:$F$503,MATCH($B344,Inventory!$A$4:$A$503,0)),""))</f>
        <v/>
      </c>
      <c r="P344" s="27" t="str">
        <f aca="false">IF($B344="","",IFERROR(INDEX(Inventory!$C$4:$C$503,MATCH($B344,Inventory!$A$4:$A$503,0)),""))</f>
        <v/>
      </c>
    </row>
    <row r="345" customFormat="false" ht="15" hidden="false" customHeight="false" outlineLevel="0" collapsed="false">
      <c r="A345" s="19"/>
      <c r="B345" s="10"/>
      <c r="C345" s="23" t="str">
        <f aca="false">IF($B345="","",IFERROR(INDEX(Inventory!$E$4:$E$503,MATCH($B345,Inventory!$A$4:$A$503,0)),"SKU not found"))</f>
        <v/>
      </c>
      <c r="D345" s="10"/>
      <c r="E345" s="12"/>
      <c r="F345" s="12"/>
      <c r="G345" s="12"/>
      <c r="H345" s="24" t="str">
        <f aca="false">IF(OR(B345="",D345="",E345=""),"",IFERROR(IF(AND(D345="Poshmark",E345&lt;Settings!$B$20),Settings!$B$21,(E345+IF(INDEX(Settings!$E$4:$E$11,MATCH($D345,Settings!$A$4:$A$11,0))="Y",N(F345),0))*(INDEX(Settings!$B$4:$B$11,MATCH($D345,Settings!$A$4:$A$11,0))+INDEX(Settings!$D$4:$D$11,MATCH($D345,Settings!$A$4:$A$11,0)))+INDEX(Settings!$C$4:$C$11,MATCH($D345,Settings!$A$4:$A$11,0))),0))</f>
        <v/>
      </c>
      <c r="I345" s="12"/>
      <c r="J345" s="12"/>
      <c r="K345" s="24" t="str">
        <f aca="false">IF($B345="","",IFERROR(INDEX(Inventory!$J$4:$J$503,MATCH($B345,Inventory!$A$4:$A$503,0)),0))</f>
        <v/>
      </c>
      <c r="L345" s="24" t="str">
        <f aca="false">IF(OR(B345="",E345=""),"",E345+N(F345)-N(G345)-N(H345)-N(J345)-N(K345))</f>
        <v/>
      </c>
      <c r="M345" s="28" t="str">
        <f aca="false">IF(OR(L345="",N(K345)=0),"",L345/K345)</f>
        <v/>
      </c>
      <c r="N345" s="25" t="str">
        <f aca="false">IF(OR(A345="",B345=""),"",IFERROR(A345-INDEX(Inventory!$B$4:$B$503,MATCH($B345,Inventory!$A$4:$A$503,0)),""))</f>
        <v/>
      </c>
      <c r="O345" s="27" t="str">
        <f aca="false">IF($B345="","",IFERROR(INDEX(Inventory!$F$4:$F$503,MATCH($B345,Inventory!$A$4:$A$503,0)),""))</f>
        <v/>
      </c>
      <c r="P345" s="27" t="str">
        <f aca="false">IF($B345="","",IFERROR(INDEX(Inventory!$C$4:$C$503,MATCH($B345,Inventory!$A$4:$A$503,0)),""))</f>
        <v/>
      </c>
    </row>
    <row r="346" customFormat="false" ht="15" hidden="false" customHeight="false" outlineLevel="0" collapsed="false">
      <c r="A346" s="19"/>
      <c r="B346" s="10"/>
      <c r="C346" s="23" t="str">
        <f aca="false">IF($B346="","",IFERROR(INDEX(Inventory!$E$4:$E$503,MATCH($B346,Inventory!$A$4:$A$503,0)),"SKU not found"))</f>
        <v/>
      </c>
      <c r="D346" s="10"/>
      <c r="E346" s="12"/>
      <c r="F346" s="12"/>
      <c r="G346" s="12"/>
      <c r="H346" s="24" t="str">
        <f aca="false">IF(OR(B346="",D346="",E346=""),"",IFERROR(IF(AND(D346="Poshmark",E346&lt;Settings!$B$20),Settings!$B$21,(E346+IF(INDEX(Settings!$E$4:$E$11,MATCH($D346,Settings!$A$4:$A$11,0))="Y",N(F346),0))*(INDEX(Settings!$B$4:$B$11,MATCH($D346,Settings!$A$4:$A$11,0))+INDEX(Settings!$D$4:$D$11,MATCH($D346,Settings!$A$4:$A$11,0)))+INDEX(Settings!$C$4:$C$11,MATCH($D346,Settings!$A$4:$A$11,0))),0))</f>
        <v/>
      </c>
      <c r="I346" s="12"/>
      <c r="J346" s="12"/>
      <c r="K346" s="24" t="str">
        <f aca="false">IF($B346="","",IFERROR(INDEX(Inventory!$J$4:$J$503,MATCH($B346,Inventory!$A$4:$A$503,0)),0))</f>
        <v/>
      </c>
      <c r="L346" s="24" t="str">
        <f aca="false">IF(OR(B346="",E346=""),"",E346+N(F346)-N(G346)-N(H346)-N(J346)-N(K346))</f>
        <v/>
      </c>
      <c r="M346" s="28" t="str">
        <f aca="false">IF(OR(L346="",N(K346)=0),"",L346/K346)</f>
        <v/>
      </c>
      <c r="N346" s="25" t="str">
        <f aca="false">IF(OR(A346="",B346=""),"",IFERROR(A346-INDEX(Inventory!$B$4:$B$503,MATCH($B346,Inventory!$A$4:$A$503,0)),""))</f>
        <v/>
      </c>
      <c r="O346" s="27" t="str">
        <f aca="false">IF($B346="","",IFERROR(INDEX(Inventory!$F$4:$F$503,MATCH($B346,Inventory!$A$4:$A$503,0)),""))</f>
        <v/>
      </c>
      <c r="P346" s="27" t="str">
        <f aca="false">IF($B346="","",IFERROR(INDEX(Inventory!$C$4:$C$503,MATCH($B346,Inventory!$A$4:$A$503,0)),""))</f>
        <v/>
      </c>
    </row>
    <row r="347" customFormat="false" ht="15" hidden="false" customHeight="false" outlineLevel="0" collapsed="false">
      <c r="A347" s="19"/>
      <c r="B347" s="10"/>
      <c r="C347" s="23" t="str">
        <f aca="false">IF($B347="","",IFERROR(INDEX(Inventory!$E$4:$E$503,MATCH($B347,Inventory!$A$4:$A$503,0)),"SKU not found"))</f>
        <v/>
      </c>
      <c r="D347" s="10"/>
      <c r="E347" s="12"/>
      <c r="F347" s="12"/>
      <c r="G347" s="12"/>
      <c r="H347" s="24" t="str">
        <f aca="false">IF(OR(B347="",D347="",E347=""),"",IFERROR(IF(AND(D347="Poshmark",E347&lt;Settings!$B$20),Settings!$B$21,(E347+IF(INDEX(Settings!$E$4:$E$11,MATCH($D347,Settings!$A$4:$A$11,0))="Y",N(F347),0))*(INDEX(Settings!$B$4:$B$11,MATCH($D347,Settings!$A$4:$A$11,0))+INDEX(Settings!$D$4:$D$11,MATCH($D347,Settings!$A$4:$A$11,0)))+INDEX(Settings!$C$4:$C$11,MATCH($D347,Settings!$A$4:$A$11,0))),0))</f>
        <v/>
      </c>
      <c r="I347" s="12"/>
      <c r="J347" s="12"/>
      <c r="K347" s="24" t="str">
        <f aca="false">IF($B347="","",IFERROR(INDEX(Inventory!$J$4:$J$503,MATCH($B347,Inventory!$A$4:$A$503,0)),0))</f>
        <v/>
      </c>
      <c r="L347" s="24" t="str">
        <f aca="false">IF(OR(B347="",E347=""),"",E347+N(F347)-N(G347)-N(H347)-N(J347)-N(K347))</f>
        <v/>
      </c>
      <c r="M347" s="28" t="str">
        <f aca="false">IF(OR(L347="",N(K347)=0),"",L347/K347)</f>
        <v/>
      </c>
      <c r="N347" s="25" t="str">
        <f aca="false">IF(OR(A347="",B347=""),"",IFERROR(A347-INDEX(Inventory!$B$4:$B$503,MATCH($B347,Inventory!$A$4:$A$503,0)),""))</f>
        <v/>
      </c>
      <c r="O347" s="27" t="str">
        <f aca="false">IF($B347="","",IFERROR(INDEX(Inventory!$F$4:$F$503,MATCH($B347,Inventory!$A$4:$A$503,0)),""))</f>
        <v/>
      </c>
      <c r="P347" s="27" t="str">
        <f aca="false">IF($B347="","",IFERROR(INDEX(Inventory!$C$4:$C$503,MATCH($B347,Inventory!$A$4:$A$503,0)),""))</f>
        <v/>
      </c>
    </row>
    <row r="348" customFormat="false" ht="15" hidden="false" customHeight="false" outlineLevel="0" collapsed="false">
      <c r="A348" s="19"/>
      <c r="B348" s="10"/>
      <c r="C348" s="23" t="str">
        <f aca="false">IF($B348="","",IFERROR(INDEX(Inventory!$E$4:$E$503,MATCH($B348,Inventory!$A$4:$A$503,0)),"SKU not found"))</f>
        <v/>
      </c>
      <c r="D348" s="10"/>
      <c r="E348" s="12"/>
      <c r="F348" s="12"/>
      <c r="G348" s="12"/>
      <c r="H348" s="24" t="str">
        <f aca="false">IF(OR(B348="",D348="",E348=""),"",IFERROR(IF(AND(D348="Poshmark",E348&lt;Settings!$B$20),Settings!$B$21,(E348+IF(INDEX(Settings!$E$4:$E$11,MATCH($D348,Settings!$A$4:$A$11,0))="Y",N(F348),0))*(INDEX(Settings!$B$4:$B$11,MATCH($D348,Settings!$A$4:$A$11,0))+INDEX(Settings!$D$4:$D$11,MATCH($D348,Settings!$A$4:$A$11,0)))+INDEX(Settings!$C$4:$C$11,MATCH($D348,Settings!$A$4:$A$11,0))),0))</f>
        <v/>
      </c>
      <c r="I348" s="12"/>
      <c r="J348" s="12"/>
      <c r="K348" s="24" t="str">
        <f aca="false">IF($B348="","",IFERROR(INDEX(Inventory!$J$4:$J$503,MATCH($B348,Inventory!$A$4:$A$503,0)),0))</f>
        <v/>
      </c>
      <c r="L348" s="24" t="str">
        <f aca="false">IF(OR(B348="",E348=""),"",E348+N(F348)-N(G348)-N(H348)-N(J348)-N(K348))</f>
        <v/>
      </c>
      <c r="M348" s="28" t="str">
        <f aca="false">IF(OR(L348="",N(K348)=0),"",L348/K348)</f>
        <v/>
      </c>
      <c r="N348" s="25" t="str">
        <f aca="false">IF(OR(A348="",B348=""),"",IFERROR(A348-INDEX(Inventory!$B$4:$B$503,MATCH($B348,Inventory!$A$4:$A$503,0)),""))</f>
        <v/>
      </c>
      <c r="O348" s="27" t="str">
        <f aca="false">IF($B348="","",IFERROR(INDEX(Inventory!$F$4:$F$503,MATCH($B348,Inventory!$A$4:$A$503,0)),""))</f>
        <v/>
      </c>
      <c r="P348" s="27" t="str">
        <f aca="false">IF($B348="","",IFERROR(INDEX(Inventory!$C$4:$C$503,MATCH($B348,Inventory!$A$4:$A$503,0)),""))</f>
        <v/>
      </c>
    </row>
    <row r="349" customFormat="false" ht="15" hidden="false" customHeight="false" outlineLevel="0" collapsed="false">
      <c r="A349" s="19"/>
      <c r="B349" s="10"/>
      <c r="C349" s="23" t="str">
        <f aca="false">IF($B349="","",IFERROR(INDEX(Inventory!$E$4:$E$503,MATCH($B349,Inventory!$A$4:$A$503,0)),"SKU not found"))</f>
        <v/>
      </c>
      <c r="D349" s="10"/>
      <c r="E349" s="12"/>
      <c r="F349" s="12"/>
      <c r="G349" s="12"/>
      <c r="H349" s="24" t="str">
        <f aca="false">IF(OR(B349="",D349="",E349=""),"",IFERROR(IF(AND(D349="Poshmark",E349&lt;Settings!$B$20),Settings!$B$21,(E349+IF(INDEX(Settings!$E$4:$E$11,MATCH($D349,Settings!$A$4:$A$11,0))="Y",N(F349),0))*(INDEX(Settings!$B$4:$B$11,MATCH($D349,Settings!$A$4:$A$11,0))+INDEX(Settings!$D$4:$D$11,MATCH($D349,Settings!$A$4:$A$11,0)))+INDEX(Settings!$C$4:$C$11,MATCH($D349,Settings!$A$4:$A$11,0))),0))</f>
        <v/>
      </c>
      <c r="I349" s="12"/>
      <c r="J349" s="12"/>
      <c r="K349" s="24" t="str">
        <f aca="false">IF($B349="","",IFERROR(INDEX(Inventory!$J$4:$J$503,MATCH($B349,Inventory!$A$4:$A$503,0)),0))</f>
        <v/>
      </c>
      <c r="L349" s="24" t="str">
        <f aca="false">IF(OR(B349="",E349=""),"",E349+N(F349)-N(G349)-N(H349)-N(J349)-N(K349))</f>
        <v/>
      </c>
      <c r="M349" s="28" t="str">
        <f aca="false">IF(OR(L349="",N(K349)=0),"",L349/K349)</f>
        <v/>
      </c>
      <c r="N349" s="25" t="str">
        <f aca="false">IF(OR(A349="",B349=""),"",IFERROR(A349-INDEX(Inventory!$B$4:$B$503,MATCH($B349,Inventory!$A$4:$A$503,0)),""))</f>
        <v/>
      </c>
      <c r="O349" s="27" t="str">
        <f aca="false">IF($B349="","",IFERROR(INDEX(Inventory!$F$4:$F$503,MATCH($B349,Inventory!$A$4:$A$503,0)),""))</f>
        <v/>
      </c>
      <c r="P349" s="27" t="str">
        <f aca="false">IF($B349="","",IFERROR(INDEX(Inventory!$C$4:$C$503,MATCH($B349,Inventory!$A$4:$A$503,0)),""))</f>
        <v/>
      </c>
    </row>
    <row r="350" customFormat="false" ht="15" hidden="false" customHeight="false" outlineLevel="0" collapsed="false">
      <c r="A350" s="19"/>
      <c r="B350" s="10"/>
      <c r="C350" s="23" t="str">
        <f aca="false">IF($B350="","",IFERROR(INDEX(Inventory!$E$4:$E$503,MATCH($B350,Inventory!$A$4:$A$503,0)),"SKU not found"))</f>
        <v/>
      </c>
      <c r="D350" s="10"/>
      <c r="E350" s="12"/>
      <c r="F350" s="12"/>
      <c r="G350" s="12"/>
      <c r="H350" s="24" t="str">
        <f aca="false">IF(OR(B350="",D350="",E350=""),"",IFERROR(IF(AND(D350="Poshmark",E350&lt;Settings!$B$20),Settings!$B$21,(E350+IF(INDEX(Settings!$E$4:$E$11,MATCH($D350,Settings!$A$4:$A$11,0))="Y",N(F350),0))*(INDEX(Settings!$B$4:$B$11,MATCH($D350,Settings!$A$4:$A$11,0))+INDEX(Settings!$D$4:$D$11,MATCH($D350,Settings!$A$4:$A$11,0)))+INDEX(Settings!$C$4:$C$11,MATCH($D350,Settings!$A$4:$A$11,0))),0))</f>
        <v/>
      </c>
      <c r="I350" s="12"/>
      <c r="J350" s="12"/>
      <c r="K350" s="24" t="str">
        <f aca="false">IF($B350="","",IFERROR(INDEX(Inventory!$J$4:$J$503,MATCH($B350,Inventory!$A$4:$A$503,0)),0))</f>
        <v/>
      </c>
      <c r="L350" s="24" t="str">
        <f aca="false">IF(OR(B350="",E350=""),"",E350+N(F350)-N(G350)-N(H350)-N(J350)-N(K350))</f>
        <v/>
      </c>
      <c r="M350" s="28" t="str">
        <f aca="false">IF(OR(L350="",N(K350)=0),"",L350/K350)</f>
        <v/>
      </c>
      <c r="N350" s="25" t="str">
        <f aca="false">IF(OR(A350="",B350=""),"",IFERROR(A350-INDEX(Inventory!$B$4:$B$503,MATCH($B350,Inventory!$A$4:$A$503,0)),""))</f>
        <v/>
      </c>
      <c r="O350" s="27" t="str">
        <f aca="false">IF($B350="","",IFERROR(INDEX(Inventory!$F$4:$F$503,MATCH($B350,Inventory!$A$4:$A$503,0)),""))</f>
        <v/>
      </c>
      <c r="P350" s="27" t="str">
        <f aca="false">IF($B350="","",IFERROR(INDEX(Inventory!$C$4:$C$503,MATCH($B350,Inventory!$A$4:$A$503,0)),""))</f>
        <v/>
      </c>
    </row>
    <row r="351" customFormat="false" ht="15" hidden="false" customHeight="false" outlineLevel="0" collapsed="false">
      <c r="A351" s="19"/>
      <c r="B351" s="10"/>
      <c r="C351" s="23" t="str">
        <f aca="false">IF($B351="","",IFERROR(INDEX(Inventory!$E$4:$E$503,MATCH($B351,Inventory!$A$4:$A$503,0)),"SKU not found"))</f>
        <v/>
      </c>
      <c r="D351" s="10"/>
      <c r="E351" s="12"/>
      <c r="F351" s="12"/>
      <c r="G351" s="12"/>
      <c r="H351" s="24" t="str">
        <f aca="false">IF(OR(B351="",D351="",E351=""),"",IFERROR(IF(AND(D351="Poshmark",E351&lt;Settings!$B$20),Settings!$B$21,(E351+IF(INDEX(Settings!$E$4:$E$11,MATCH($D351,Settings!$A$4:$A$11,0))="Y",N(F351),0))*(INDEX(Settings!$B$4:$B$11,MATCH($D351,Settings!$A$4:$A$11,0))+INDEX(Settings!$D$4:$D$11,MATCH($D351,Settings!$A$4:$A$11,0)))+INDEX(Settings!$C$4:$C$11,MATCH($D351,Settings!$A$4:$A$11,0))),0))</f>
        <v/>
      </c>
      <c r="I351" s="12"/>
      <c r="J351" s="12"/>
      <c r="K351" s="24" t="str">
        <f aca="false">IF($B351="","",IFERROR(INDEX(Inventory!$J$4:$J$503,MATCH($B351,Inventory!$A$4:$A$503,0)),0))</f>
        <v/>
      </c>
      <c r="L351" s="24" t="str">
        <f aca="false">IF(OR(B351="",E351=""),"",E351+N(F351)-N(G351)-N(H351)-N(J351)-N(K351))</f>
        <v/>
      </c>
      <c r="M351" s="28" t="str">
        <f aca="false">IF(OR(L351="",N(K351)=0),"",L351/K351)</f>
        <v/>
      </c>
      <c r="N351" s="25" t="str">
        <f aca="false">IF(OR(A351="",B351=""),"",IFERROR(A351-INDEX(Inventory!$B$4:$B$503,MATCH($B351,Inventory!$A$4:$A$503,0)),""))</f>
        <v/>
      </c>
      <c r="O351" s="27" t="str">
        <f aca="false">IF($B351="","",IFERROR(INDEX(Inventory!$F$4:$F$503,MATCH($B351,Inventory!$A$4:$A$503,0)),""))</f>
        <v/>
      </c>
      <c r="P351" s="27" t="str">
        <f aca="false">IF($B351="","",IFERROR(INDEX(Inventory!$C$4:$C$503,MATCH($B351,Inventory!$A$4:$A$503,0)),""))</f>
        <v/>
      </c>
    </row>
    <row r="352" customFormat="false" ht="15" hidden="false" customHeight="false" outlineLevel="0" collapsed="false">
      <c r="A352" s="19"/>
      <c r="B352" s="10"/>
      <c r="C352" s="23" t="str">
        <f aca="false">IF($B352="","",IFERROR(INDEX(Inventory!$E$4:$E$503,MATCH($B352,Inventory!$A$4:$A$503,0)),"SKU not found"))</f>
        <v/>
      </c>
      <c r="D352" s="10"/>
      <c r="E352" s="12"/>
      <c r="F352" s="12"/>
      <c r="G352" s="12"/>
      <c r="H352" s="24" t="str">
        <f aca="false">IF(OR(B352="",D352="",E352=""),"",IFERROR(IF(AND(D352="Poshmark",E352&lt;Settings!$B$20),Settings!$B$21,(E352+IF(INDEX(Settings!$E$4:$E$11,MATCH($D352,Settings!$A$4:$A$11,0))="Y",N(F352),0))*(INDEX(Settings!$B$4:$B$11,MATCH($D352,Settings!$A$4:$A$11,0))+INDEX(Settings!$D$4:$D$11,MATCH($D352,Settings!$A$4:$A$11,0)))+INDEX(Settings!$C$4:$C$11,MATCH($D352,Settings!$A$4:$A$11,0))),0))</f>
        <v/>
      </c>
      <c r="I352" s="12"/>
      <c r="J352" s="12"/>
      <c r="K352" s="24" t="str">
        <f aca="false">IF($B352="","",IFERROR(INDEX(Inventory!$J$4:$J$503,MATCH($B352,Inventory!$A$4:$A$503,0)),0))</f>
        <v/>
      </c>
      <c r="L352" s="24" t="str">
        <f aca="false">IF(OR(B352="",E352=""),"",E352+N(F352)-N(G352)-N(H352)-N(J352)-N(K352))</f>
        <v/>
      </c>
      <c r="M352" s="28" t="str">
        <f aca="false">IF(OR(L352="",N(K352)=0),"",L352/K352)</f>
        <v/>
      </c>
      <c r="N352" s="25" t="str">
        <f aca="false">IF(OR(A352="",B352=""),"",IFERROR(A352-INDEX(Inventory!$B$4:$B$503,MATCH($B352,Inventory!$A$4:$A$503,0)),""))</f>
        <v/>
      </c>
      <c r="O352" s="27" t="str">
        <f aca="false">IF($B352="","",IFERROR(INDEX(Inventory!$F$4:$F$503,MATCH($B352,Inventory!$A$4:$A$503,0)),""))</f>
        <v/>
      </c>
      <c r="P352" s="27" t="str">
        <f aca="false">IF($B352="","",IFERROR(INDEX(Inventory!$C$4:$C$503,MATCH($B352,Inventory!$A$4:$A$503,0)),""))</f>
        <v/>
      </c>
    </row>
    <row r="353" customFormat="false" ht="15" hidden="false" customHeight="false" outlineLevel="0" collapsed="false">
      <c r="A353" s="19"/>
      <c r="B353" s="10"/>
      <c r="C353" s="23" t="str">
        <f aca="false">IF($B353="","",IFERROR(INDEX(Inventory!$E$4:$E$503,MATCH($B353,Inventory!$A$4:$A$503,0)),"SKU not found"))</f>
        <v/>
      </c>
      <c r="D353" s="10"/>
      <c r="E353" s="12"/>
      <c r="F353" s="12"/>
      <c r="G353" s="12"/>
      <c r="H353" s="24" t="str">
        <f aca="false">IF(OR(B353="",D353="",E353=""),"",IFERROR(IF(AND(D353="Poshmark",E353&lt;Settings!$B$20),Settings!$B$21,(E353+IF(INDEX(Settings!$E$4:$E$11,MATCH($D353,Settings!$A$4:$A$11,0))="Y",N(F353),0))*(INDEX(Settings!$B$4:$B$11,MATCH($D353,Settings!$A$4:$A$11,0))+INDEX(Settings!$D$4:$D$11,MATCH($D353,Settings!$A$4:$A$11,0)))+INDEX(Settings!$C$4:$C$11,MATCH($D353,Settings!$A$4:$A$11,0))),0))</f>
        <v/>
      </c>
      <c r="I353" s="12"/>
      <c r="J353" s="12"/>
      <c r="K353" s="24" t="str">
        <f aca="false">IF($B353="","",IFERROR(INDEX(Inventory!$J$4:$J$503,MATCH($B353,Inventory!$A$4:$A$503,0)),0))</f>
        <v/>
      </c>
      <c r="L353" s="24" t="str">
        <f aca="false">IF(OR(B353="",E353=""),"",E353+N(F353)-N(G353)-N(H353)-N(J353)-N(K353))</f>
        <v/>
      </c>
      <c r="M353" s="28" t="str">
        <f aca="false">IF(OR(L353="",N(K353)=0),"",L353/K353)</f>
        <v/>
      </c>
      <c r="N353" s="25" t="str">
        <f aca="false">IF(OR(A353="",B353=""),"",IFERROR(A353-INDEX(Inventory!$B$4:$B$503,MATCH($B353,Inventory!$A$4:$A$503,0)),""))</f>
        <v/>
      </c>
      <c r="O353" s="27" t="str">
        <f aca="false">IF($B353="","",IFERROR(INDEX(Inventory!$F$4:$F$503,MATCH($B353,Inventory!$A$4:$A$503,0)),""))</f>
        <v/>
      </c>
      <c r="P353" s="27" t="str">
        <f aca="false">IF($B353="","",IFERROR(INDEX(Inventory!$C$4:$C$503,MATCH($B353,Inventory!$A$4:$A$503,0)),""))</f>
        <v/>
      </c>
    </row>
    <row r="354" customFormat="false" ht="15" hidden="false" customHeight="false" outlineLevel="0" collapsed="false">
      <c r="A354" s="19"/>
      <c r="B354" s="10"/>
      <c r="C354" s="23" t="str">
        <f aca="false">IF($B354="","",IFERROR(INDEX(Inventory!$E$4:$E$503,MATCH($B354,Inventory!$A$4:$A$503,0)),"SKU not found"))</f>
        <v/>
      </c>
      <c r="D354" s="10"/>
      <c r="E354" s="12"/>
      <c r="F354" s="12"/>
      <c r="G354" s="12"/>
      <c r="H354" s="24" t="str">
        <f aca="false">IF(OR(B354="",D354="",E354=""),"",IFERROR(IF(AND(D354="Poshmark",E354&lt;Settings!$B$20),Settings!$B$21,(E354+IF(INDEX(Settings!$E$4:$E$11,MATCH($D354,Settings!$A$4:$A$11,0))="Y",N(F354),0))*(INDEX(Settings!$B$4:$B$11,MATCH($D354,Settings!$A$4:$A$11,0))+INDEX(Settings!$D$4:$D$11,MATCH($D354,Settings!$A$4:$A$11,0)))+INDEX(Settings!$C$4:$C$11,MATCH($D354,Settings!$A$4:$A$11,0))),0))</f>
        <v/>
      </c>
      <c r="I354" s="12"/>
      <c r="J354" s="12"/>
      <c r="K354" s="24" t="str">
        <f aca="false">IF($B354="","",IFERROR(INDEX(Inventory!$J$4:$J$503,MATCH($B354,Inventory!$A$4:$A$503,0)),0))</f>
        <v/>
      </c>
      <c r="L354" s="24" t="str">
        <f aca="false">IF(OR(B354="",E354=""),"",E354+N(F354)-N(G354)-N(H354)-N(J354)-N(K354))</f>
        <v/>
      </c>
      <c r="M354" s="28" t="str">
        <f aca="false">IF(OR(L354="",N(K354)=0),"",L354/K354)</f>
        <v/>
      </c>
      <c r="N354" s="25" t="str">
        <f aca="false">IF(OR(A354="",B354=""),"",IFERROR(A354-INDEX(Inventory!$B$4:$B$503,MATCH($B354,Inventory!$A$4:$A$503,0)),""))</f>
        <v/>
      </c>
      <c r="O354" s="27" t="str">
        <f aca="false">IF($B354="","",IFERROR(INDEX(Inventory!$F$4:$F$503,MATCH($B354,Inventory!$A$4:$A$503,0)),""))</f>
        <v/>
      </c>
      <c r="P354" s="27" t="str">
        <f aca="false">IF($B354="","",IFERROR(INDEX(Inventory!$C$4:$C$503,MATCH($B354,Inventory!$A$4:$A$503,0)),""))</f>
        <v/>
      </c>
    </row>
    <row r="355" customFormat="false" ht="15" hidden="false" customHeight="false" outlineLevel="0" collapsed="false">
      <c r="A355" s="19"/>
      <c r="B355" s="10"/>
      <c r="C355" s="23" t="str">
        <f aca="false">IF($B355="","",IFERROR(INDEX(Inventory!$E$4:$E$503,MATCH($B355,Inventory!$A$4:$A$503,0)),"SKU not found"))</f>
        <v/>
      </c>
      <c r="D355" s="10"/>
      <c r="E355" s="12"/>
      <c r="F355" s="12"/>
      <c r="G355" s="12"/>
      <c r="H355" s="24" t="str">
        <f aca="false">IF(OR(B355="",D355="",E355=""),"",IFERROR(IF(AND(D355="Poshmark",E355&lt;Settings!$B$20),Settings!$B$21,(E355+IF(INDEX(Settings!$E$4:$E$11,MATCH($D355,Settings!$A$4:$A$11,0))="Y",N(F355),0))*(INDEX(Settings!$B$4:$B$11,MATCH($D355,Settings!$A$4:$A$11,0))+INDEX(Settings!$D$4:$D$11,MATCH($D355,Settings!$A$4:$A$11,0)))+INDEX(Settings!$C$4:$C$11,MATCH($D355,Settings!$A$4:$A$11,0))),0))</f>
        <v/>
      </c>
      <c r="I355" s="12"/>
      <c r="J355" s="12"/>
      <c r="K355" s="24" t="str">
        <f aca="false">IF($B355="","",IFERROR(INDEX(Inventory!$J$4:$J$503,MATCH($B355,Inventory!$A$4:$A$503,0)),0))</f>
        <v/>
      </c>
      <c r="L355" s="24" t="str">
        <f aca="false">IF(OR(B355="",E355=""),"",E355+N(F355)-N(G355)-N(H355)-N(J355)-N(K355))</f>
        <v/>
      </c>
      <c r="M355" s="28" t="str">
        <f aca="false">IF(OR(L355="",N(K355)=0),"",L355/K355)</f>
        <v/>
      </c>
      <c r="N355" s="25" t="str">
        <f aca="false">IF(OR(A355="",B355=""),"",IFERROR(A355-INDEX(Inventory!$B$4:$B$503,MATCH($B355,Inventory!$A$4:$A$503,0)),""))</f>
        <v/>
      </c>
      <c r="O355" s="27" t="str">
        <f aca="false">IF($B355="","",IFERROR(INDEX(Inventory!$F$4:$F$503,MATCH($B355,Inventory!$A$4:$A$503,0)),""))</f>
        <v/>
      </c>
      <c r="P355" s="27" t="str">
        <f aca="false">IF($B355="","",IFERROR(INDEX(Inventory!$C$4:$C$503,MATCH($B355,Inventory!$A$4:$A$503,0)),""))</f>
        <v/>
      </c>
    </row>
    <row r="356" customFormat="false" ht="15" hidden="false" customHeight="false" outlineLevel="0" collapsed="false">
      <c r="A356" s="19"/>
      <c r="B356" s="10"/>
      <c r="C356" s="23" t="str">
        <f aca="false">IF($B356="","",IFERROR(INDEX(Inventory!$E$4:$E$503,MATCH($B356,Inventory!$A$4:$A$503,0)),"SKU not found"))</f>
        <v/>
      </c>
      <c r="D356" s="10"/>
      <c r="E356" s="12"/>
      <c r="F356" s="12"/>
      <c r="G356" s="12"/>
      <c r="H356" s="24" t="str">
        <f aca="false">IF(OR(B356="",D356="",E356=""),"",IFERROR(IF(AND(D356="Poshmark",E356&lt;Settings!$B$20),Settings!$B$21,(E356+IF(INDEX(Settings!$E$4:$E$11,MATCH($D356,Settings!$A$4:$A$11,0))="Y",N(F356),0))*(INDEX(Settings!$B$4:$B$11,MATCH($D356,Settings!$A$4:$A$11,0))+INDEX(Settings!$D$4:$D$11,MATCH($D356,Settings!$A$4:$A$11,0)))+INDEX(Settings!$C$4:$C$11,MATCH($D356,Settings!$A$4:$A$11,0))),0))</f>
        <v/>
      </c>
      <c r="I356" s="12"/>
      <c r="J356" s="12"/>
      <c r="K356" s="24" t="str">
        <f aca="false">IF($B356="","",IFERROR(INDEX(Inventory!$J$4:$J$503,MATCH($B356,Inventory!$A$4:$A$503,0)),0))</f>
        <v/>
      </c>
      <c r="L356" s="24" t="str">
        <f aca="false">IF(OR(B356="",E356=""),"",E356+N(F356)-N(G356)-N(H356)-N(J356)-N(K356))</f>
        <v/>
      </c>
      <c r="M356" s="28" t="str">
        <f aca="false">IF(OR(L356="",N(K356)=0),"",L356/K356)</f>
        <v/>
      </c>
      <c r="N356" s="25" t="str">
        <f aca="false">IF(OR(A356="",B356=""),"",IFERROR(A356-INDEX(Inventory!$B$4:$B$503,MATCH($B356,Inventory!$A$4:$A$503,0)),""))</f>
        <v/>
      </c>
      <c r="O356" s="27" t="str">
        <f aca="false">IF($B356="","",IFERROR(INDEX(Inventory!$F$4:$F$503,MATCH($B356,Inventory!$A$4:$A$503,0)),""))</f>
        <v/>
      </c>
      <c r="P356" s="27" t="str">
        <f aca="false">IF($B356="","",IFERROR(INDEX(Inventory!$C$4:$C$503,MATCH($B356,Inventory!$A$4:$A$503,0)),""))</f>
        <v/>
      </c>
    </row>
    <row r="357" customFormat="false" ht="15" hidden="false" customHeight="false" outlineLevel="0" collapsed="false">
      <c r="A357" s="19"/>
      <c r="B357" s="10"/>
      <c r="C357" s="23" t="str">
        <f aca="false">IF($B357="","",IFERROR(INDEX(Inventory!$E$4:$E$503,MATCH($B357,Inventory!$A$4:$A$503,0)),"SKU not found"))</f>
        <v/>
      </c>
      <c r="D357" s="10"/>
      <c r="E357" s="12"/>
      <c r="F357" s="12"/>
      <c r="G357" s="12"/>
      <c r="H357" s="24" t="str">
        <f aca="false">IF(OR(B357="",D357="",E357=""),"",IFERROR(IF(AND(D357="Poshmark",E357&lt;Settings!$B$20),Settings!$B$21,(E357+IF(INDEX(Settings!$E$4:$E$11,MATCH($D357,Settings!$A$4:$A$11,0))="Y",N(F357),0))*(INDEX(Settings!$B$4:$B$11,MATCH($D357,Settings!$A$4:$A$11,0))+INDEX(Settings!$D$4:$D$11,MATCH($D357,Settings!$A$4:$A$11,0)))+INDEX(Settings!$C$4:$C$11,MATCH($D357,Settings!$A$4:$A$11,0))),0))</f>
        <v/>
      </c>
      <c r="I357" s="12"/>
      <c r="J357" s="12"/>
      <c r="K357" s="24" t="str">
        <f aca="false">IF($B357="","",IFERROR(INDEX(Inventory!$J$4:$J$503,MATCH($B357,Inventory!$A$4:$A$503,0)),0))</f>
        <v/>
      </c>
      <c r="L357" s="24" t="str">
        <f aca="false">IF(OR(B357="",E357=""),"",E357+N(F357)-N(G357)-N(H357)-N(J357)-N(K357))</f>
        <v/>
      </c>
      <c r="M357" s="28" t="str">
        <f aca="false">IF(OR(L357="",N(K357)=0),"",L357/K357)</f>
        <v/>
      </c>
      <c r="N357" s="25" t="str">
        <f aca="false">IF(OR(A357="",B357=""),"",IFERROR(A357-INDEX(Inventory!$B$4:$B$503,MATCH($B357,Inventory!$A$4:$A$503,0)),""))</f>
        <v/>
      </c>
      <c r="O357" s="27" t="str">
        <f aca="false">IF($B357="","",IFERROR(INDEX(Inventory!$F$4:$F$503,MATCH($B357,Inventory!$A$4:$A$503,0)),""))</f>
        <v/>
      </c>
      <c r="P357" s="27" t="str">
        <f aca="false">IF($B357="","",IFERROR(INDEX(Inventory!$C$4:$C$503,MATCH($B357,Inventory!$A$4:$A$503,0)),""))</f>
        <v/>
      </c>
    </row>
    <row r="358" customFormat="false" ht="15" hidden="false" customHeight="false" outlineLevel="0" collapsed="false">
      <c r="A358" s="19"/>
      <c r="B358" s="10"/>
      <c r="C358" s="23" t="str">
        <f aca="false">IF($B358="","",IFERROR(INDEX(Inventory!$E$4:$E$503,MATCH($B358,Inventory!$A$4:$A$503,0)),"SKU not found"))</f>
        <v/>
      </c>
      <c r="D358" s="10"/>
      <c r="E358" s="12"/>
      <c r="F358" s="12"/>
      <c r="G358" s="12"/>
      <c r="H358" s="24" t="str">
        <f aca="false">IF(OR(B358="",D358="",E358=""),"",IFERROR(IF(AND(D358="Poshmark",E358&lt;Settings!$B$20),Settings!$B$21,(E358+IF(INDEX(Settings!$E$4:$E$11,MATCH($D358,Settings!$A$4:$A$11,0))="Y",N(F358),0))*(INDEX(Settings!$B$4:$B$11,MATCH($D358,Settings!$A$4:$A$11,0))+INDEX(Settings!$D$4:$D$11,MATCH($D358,Settings!$A$4:$A$11,0)))+INDEX(Settings!$C$4:$C$11,MATCH($D358,Settings!$A$4:$A$11,0))),0))</f>
        <v/>
      </c>
      <c r="I358" s="12"/>
      <c r="J358" s="12"/>
      <c r="K358" s="24" t="str">
        <f aca="false">IF($B358="","",IFERROR(INDEX(Inventory!$J$4:$J$503,MATCH($B358,Inventory!$A$4:$A$503,0)),0))</f>
        <v/>
      </c>
      <c r="L358" s="24" t="str">
        <f aca="false">IF(OR(B358="",E358=""),"",E358+N(F358)-N(G358)-N(H358)-N(J358)-N(K358))</f>
        <v/>
      </c>
      <c r="M358" s="28" t="str">
        <f aca="false">IF(OR(L358="",N(K358)=0),"",L358/K358)</f>
        <v/>
      </c>
      <c r="N358" s="25" t="str">
        <f aca="false">IF(OR(A358="",B358=""),"",IFERROR(A358-INDEX(Inventory!$B$4:$B$503,MATCH($B358,Inventory!$A$4:$A$503,0)),""))</f>
        <v/>
      </c>
      <c r="O358" s="27" t="str">
        <f aca="false">IF($B358="","",IFERROR(INDEX(Inventory!$F$4:$F$503,MATCH($B358,Inventory!$A$4:$A$503,0)),""))</f>
        <v/>
      </c>
      <c r="P358" s="27" t="str">
        <f aca="false">IF($B358="","",IFERROR(INDEX(Inventory!$C$4:$C$503,MATCH($B358,Inventory!$A$4:$A$503,0)),""))</f>
        <v/>
      </c>
    </row>
    <row r="359" customFormat="false" ht="15" hidden="false" customHeight="false" outlineLevel="0" collapsed="false">
      <c r="A359" s="19"/>
      <c r="B359" s="10"/>
      <c r="C359" s="23" t="str">
        <f aca="false">IF($B359="","",IFERROR(INDEX(Inventory!$E$4:$E$503,MATCH($B359,Inventory!$A$4:$A$503,0)),"SKU not found"))</f>
        <v/>
      </c>
      <c r="D359" s="10"/>
      <c r="E359" s="12"/>
      <c r="F359" s="12"/>
      <c r="G359" s="12"/>
      <c r="H359" s="24" t="str">
        <f aca="false">IF(OR(B359="",D359="",E359=""),"",IFERROR(IF(AND(D359="Poshmark",E359&lt;Settings!$B$20),Settings!$B$21,(E359+IF(INDEX(Settings!$E$4:$E$11,MATCH($D359,Settings!$A$4:$A$11,0))="Y",N(F359),0))*(INDEX(Settings!$B$4:$B$11,MATCH($D359,Settings!$A$4:$A$11,0))+INDEX(Settings!$D$4:$D$11,MATCH($D359,Settings!$A$4:$A$11,0)))+INDEX(Settings!$C$4:$C$11,MATCH($D359,Settings!$A$4:$A$11,0))),0))</f>
        <v/>
      </c>
      <c r="I359" s="12"/>
      <c r="J359" s="12"/>
      <c r="K359" s="24" t="str">
        <f aca="false">IF($B359="","",IFERROR(INDEX(Inventory!$J$4:$J$503,MATCH($B359,Inventory!$A$4:$A$503,0)),0))</f>
        <v/>
      </c>
      <c r="L359" s="24" t="str">
        <f aca="false">IF(OR(B359="",E359=""),"",E359+N(F359)-N(G359)-N(H359)-N(J359)-N(K359))</f>
        <v/>
      </c>
      <c r="M359" s="28" t="str">
        <f aca="false">IF(OR(L359="",N(K359)=0),"",L359/K359)</f>
        <v/>
      </c>
      <c r="N359" s="25" t="str">
        <f aca="false">IF(OR(A359="",B359=""),"",IFERROR(A359-INDEX(Inventory!$B$4:$B$503,MATCH($B359,Inventory!$A$4:$A$503,0)),""))</f>
        <v/>
      </c>
      <c r="O359" s="27" t="str">
        <f aca="false">IF($B359="","",IFERROR(INDEX(Inventory!$F$4:$F$503,MATCH($B359,Inventory!$A$4:$A$503,0)),""))</f>
        <v/>
      </c>
      <c r="P359" s="27" t="str">
        <f aca="false">IF($B359="","",IFERROR(INDEX(Inventory!$C$4:$C$503,MATCH($B359,Inventory!$A$4:$A$503,0)),""))</f>
        <v/>
      </c>
    </row>
    <row r="360" customFormat="false" ht="15" hidden="false" customHeight="false" outlineLevel="0" collapsed="false">
      <c r="A360" s="19"/>
      <c r="B360" s="10"/>
      <c r="C360" s="23" t="str">
        <f aca="false">IF($B360="","",IFERROR(INDEX(Inventory!$E$4:$E$503,MATCH($B360,Inventory!$A$4:$A$503,0)),"SKU not found"))</f>
        <v/>
      </c>
      <c r="D360" s="10"/>
      <c r="E360" s="12"/>
      <c r="F360" s="12"/>
      <c r="G360" s="12"/>
      <c r="H360" s="24" t="str">
        <f aca="false">IF(OR(B360="",D360="",E360=""),"",IFERROR(IF(AND(D360="Poshmark",E360&lt;Settings!$B$20),Settings!$B$21,(E360+IF(INDEX(Settings!$E$4:$E$11,MATCH($D360,Settings!$A$4:$A$11,0))="Y",N(F360),0))*(INDEX(Settings!$B$4:$B$11,MATCH($D360,Settings!$A$4:$A$11,0))+INDEX(Settings!$D$4:$D$11,MATCH($D360,Settings!$A$4:$A$11,0)))+INDEX(Settings!$C$4:$C$11,MATCH($D360,Settings!$A$4:$A$11,0))),0))</f>
        <v/>
      </c>
      <c r="I360" s="12"/>
      <c r="J360" s="12"/>
      <c r="K360" s="24" t="str">
        <f aca="false">IF($B360="","",IFERROR(INDEX(Inventory!$J$4:$J$503,MATCH($B360,Inventory!$A$4:$A$503,0)),0))</f>
        <v/>
      </c>
      <c r="L360" s="24" t="str">
        <f aca="false">IF(OR(B360="",E360=""),"",E360+N(F360)-N(G360)-N(H360)-N(J360)-N(K360))</f>
        <v/>
      </c>
      <c r="M360" s="28" t="str">
        <f aca="false">IF(OR(L360="",N(K360)=0),"",L360/K360)</f>
        <v/>
      </c>
      <c r="N360" s="25" t="str">
        <f aca="false">IF(OR(A360="",B360=""),"",IFERROR(A360-INDEX(Inventory!$B$4:$B$503,MATCH($B360,Inventory!$A$4:$A$503,0)),""))</f>
        <v/>
      </c>
      <c r="O360" s="27" t="str">
        <f aca="false">IF($B360="","",IFERROR(INDEX(Inventory!$F$4:$F$503,MATCH($B360,Inventory!$A$4:$A$503,0)),""))</f>
        <v/>
      </c>
      <c r="P360" s="27" t="str">
        <f aca="false">IF($B360="","",IFERROR(INDEX(Inventory!$C$4:$C$503,MATCH($B360,Inventory!$A$4:$A$503,0)),""))</f>
        <v/>
      </c>
    </row>
    <row r="361" customFormat="false" ht="15" hidden="false" customHeight="false" outlineLevel="0" collapsed="false">
      <c r="A361" s="19"/>
      <c r="B361" s="10"/>
      <c r="C361" s="23" t="str">
        <f aca="false">IF($B361="","",IFERROR(INDEX(Inventory!$E$4:$E$503,MATCH($B361,Inventory!$A$4:$A$503,0)),"SKU not found"))</f>
        <v/>
      </c>
      <c r="D361" s="10"/>
      <c r="E361" s="12"/>
      <c r="F361" s="12"/>
      <c r="G361" s="12"/>
      <c r="H361" s="24" t="str">
        <f aca="false">IF(OR(B361="",D361="",E361=""),"",IFERROR(IF(AND(D361="Poshmark",E361&lt;Settings!$B$20),Settings!$B$21,(E361+IF(INDEX(Settings!$E$4:$E$11,MATCH($D361,Settings!$A$4:$A$11,0))="Y",N(F361),0))*(INDEX(Settings!$B$4:$B$11,MATCH($D361,Settings!$A$4:$A$11,0))+INDEX(Settings!$D$4:$D$11,MATCH($D361,Settings!$A$4:$A$11,0)))+INDEX(Settings!$C$4:$C$11,MATCH($D361,Settings!$A$4:$A$11,0))),0))</f>
        <v/>
      </c>
      <c r="I361" s="12"/>
      <c r="J361" s="12"/>
      <c r="K361" s="24" t="str">
        <f aca="false">IF($B361="","",IFERROR(INDEX(Inventory!$J$4:$J$503,MATCH($B361,Inventory!$A$4:$A$503,0)),0))</f>
        <v/>
      </c>
      <c r="L361" s="24" t="str">
        <f aca="false">IF(OR(B361="",E361=""),"",E361+N(F361)-N(G361)-N(H361)-N(J361)-N(K361))</f>
        <v/>
      </c>
      <c r="M361" s="28" t="str">
        <f aca="false">IF(OR(L361="",N(K361)=0),"",L361/K361)</f>
        <v/>
      </c>
      <c r="N361" s="25" t="str">
        <f aca="false">IF(OR(A361="",B361=""),"",IFERROR(A361-INDEX(Inventory!$B$4:$B$503,MATCH($B361,Inventory!$A$4:$A$503,0)),""))</f>
        <v/>
      </c>
      <c r="O361" s="27" t="str">
        <f aca="false">IF($B361="","",IFERROR(INDEX(Inventory!$F$4:$F$503,MATCH($B361,Inventory!$A$4:$A$503,0)),""))</f>
        <v/>
      </c>
      <c r="P361" s="27" t="str">
        <f aca="false">IF($B361="","",IFERROR(INDEX(Inventory!$C$4:$C$503,MATCH($B361,Inventory!$A$4:$A$503,0)),""))</f>
        <v/>
      </c>
    </row>
    <row r="362" customFormat="false" ht="15" hidden="false" customHeight="false" outlineLevel="0" collapsed="false">
      <c r="A362" s="19"/>
      <c r="B362" s="10"/>
      <c r="C362" s="23" t="str">
        <f aca="false">IF($B362="","",IFERROR(INDEX(Inventory!$E$4:$E$503,MATCH($B362,Inventory!$A$4:$A$503,0)),"SKU not found"))</f>
        <v/>
      </c>
      <c r="D362" s="10"/>
      <c r="E362" s="12"/>
      <c r="F362" s="12"/>
      <c r="G362" s="12"/>
      <c r="H362" s="24" t="str">
        <f aca="false">IF(OR(B362="",D362="",E362=""),"",IFERROR(IF(AND(D362="Poshmark",E362&lt;Settings!$B$20),Settings!$B$21,(E362+IF(INDEX(Settings!$E$4:$E$11,MATCH($D362,Settings!$A$4:$A$11,0))="Y",N(F362),0))*(INDEX(Settings!$B$4:$B$11,MATCH($D362,Settings!$A$4:$A$11,0))+INDEX(Settings!$D$4:$D$11,MATCH($D362,Settings!$A$4:$A$11,0)))+INDEX(Settings!$C$4:$C$11,MATCH($D362,Settings!$A$4:$A$11,0))),0))</f>
        <v/>
      </c>
      <c r="I362" s="12"/>
      <c r="J362" s="12"/>
      <c r="K362" s="24" t="str">
        <f aca="false">IF($B362="","",IFERROR(INDEX(Inventory!$J$4:$J$503,MATCH($B362,Inventory!$A$4:$A$503,0)),0))</f>
        <v/>
      </c>
      <c r="L362" s="24" t="str">
        <f aca="false">IF(OR(B362="",E362=""),"",E362+N(F362)-N(G362)-N(H362)-N(J362)-N(K362))</f>
        <v/>
      </c>
      <c r="M362" s="28" t="str">
        <f aca="false">IF(OR(L362="",N(K362)=0),"",L362/K362)</f>
        <v/>
      </c>
      <c r="N362" s="25" t="str">
        <f aca="false">IF(OR(A362="",B362=""),"",IFERROR(A362-INDEX(Inventory!$B$4:$B$503,MATCH($B362,Inventory!$A$4:$A$503,0)),""))</f>
        <v/>
      </c>
      <c r="O362" s="27" t="str">
        <f aca="false">IF($B362="","",IFERROR(INDEX(Inventory!$F$4:$F$503,MATCH($B362,Inventory!$A$4:$A$503,0)),""))</f>
        <v/>
      </c>
      <c r="P362" s="27" t="str">
        <f aca="false">IF($B362="","",IFERROR(INDEX(Inventory!$C$4:$C$503,MATCH($B362,Inventory!$A$4:$A$503,0)),""))</f>
        <v/>
      </c>
    </row>
    <row r="363" customFormat="false" ht="15" hidden="false" customHeight="false" outlineLevel="0" collapsed="false">
      <c r="A363" s="19"/>
      <c r="B363" s="10"/>
      <c r="C363" s="23" t="str">
        <f aca="false">IF($B363="","",IFERROR(INDEX(Inventory!$E$4:$E$503,MATCH($B363,Inventory!$A$4:$A$503,0)),"SKU not found"))</f>
        <v/>
      </c>
      <c r="D363" s="10"/>
      <c r="E363" s="12"/>
      <c r="F363" s="12"/>
      <c r="G363" s="12"/>
      <c r="H363" s="24" t="str">
        <f aca="false">IF(OR(B363="",D363="",E363=""),"",IFERROR(IF(AND(D363="Poshmark",E363&lt;Settings!$B$20),Settings!$B$21,(E363+IF(INDEX(Settings!$E$4:$E$11,MATCH($D363,Settings!$A$4:$A$11,0))="Y",N(F363),0))*(INDEX(Settings!$B$4:$B$11,MATCH($D363,Settings!$A$4:$A$11,0))+INDEX(Settings!$D$4:$D$11,MATCH($D363,Settings!$A$4:$A$11,0)))+INDEX(Settings!$C$4:$C$11,MATCH($D363,Settings!$A$4:$A$11,0))),0))</f>
        <v/>
      </c>
      <c r="I363" s="12"/>
      <c r="J363" s="12"/>
      <c r="K363" s="24" t="str">
        <f aca="false">IF($B363="","",IFERROR(INDEX(Inventory!$J$4:$J$503,MATCH($B363,Inventory!$A$4:$A$503,0)),0))</f>
        <v/>
      </c>
      <c r="L363" s="24" t="str">
        <f aca="false">IF(OR(B363="",E363=""),"",E363+N(F363)-N(G363)-N(H363)-N(J363)-N(K363))</f>
        <v/>
      </c>
      <c r="M363" s="28" t="str">
        <f aca="false">IF(OR(L363="",N(K363)=0),"",L363/K363)</f>
        <v/>
      </c>
      <c r="N363" s="25" t="str">
        <f aca="false">IF(OR(A363="",B363=""),"",IFERROR(A363-INDEX(Inventory!$B$4:$B$503,MATCH($B363,Inventory!$A$4:$A$503,0)),""))</f>
        <v/>
      </c>
      <c r="O363" s="27" t="str">
        <f aca="false">IF($B363="","",IFERROR(INDEX(Inventory!$F$4:$F$503,MATCH($B363,Inventory!$A$4:$A$503,0)),""))</f>
        <v/>
      </c>
      <c r="P363" s="27" t="str">
        <f aca="false">IF($B363="","",IFERROR(INDEX(Inventory!$C$4:$C$503,MATCH($B363,Inventory!$A$4:$A$503,0)),""))</f>
        <v/>
      </c>
    </row>
    <row r="364" customFormat="false" ht="15" hidden="false" customHeight="false" outlineLevel="0" collapsed="false">
      <c r="A364" s="19"/>
      <c r="B364" s="10"/>
      <c r="C364" s="23" t="str">
        <f aca="false">IF($B364="","",IFERROR(INDEX(Inventory!$E$4:$E$503,MATCH($B364,Inventory!$A$4:$A$503,0)),"SKU not found"))</f>
        <v/>
      </c>
      <c r="D364" s="10"/>
      <c r="E364" s="12"/>
      <c r="F364" s="12"/>
      <c r="G364" s="12"/>
      <c r="H364" s="24" t="str">
        <f aca="false">IF(OR(B364="",D364="",E364=""),"",IFERROR(IF(AND(D364="Poshmark",E364&lt;Settings!$B$20),Settings!$B$21,(E364+IF(INDEX(Settings!$E$4:$E$11,MATCH($D364,Settings!$A$4:$A$11,0))="Y",N(F364),0))*(INDEX(Settings!$B$4:$B$11,MATCH($D364,Settings!$A$4:$A$11,0))+INDEX(Settings!$D$4:$D$11,MATCH($D364,Settings!$A$4:$A$11,0)))+INDEX(Settings!$C$4:$C$11,MATCH($D364,Settings!$A$4:$A$11,0))),0))</f>
        <v/>
      </c>
      <c r="I364" s="12"/>
      <c r="J364" s="12"/>
      <c r="K364" s="24" t="str">
        <f aca="false">IF($B364="","",IFERROR(INDEX(Inventory!$J$4:$J$503,MATCH($B364,Inventory!$A$4:$A$503,0)),0))</f>
        <v/>
      </c>
      <c r="L364" s="24" t="str">
        <f aca="false">IF(OR(B364="",E364=""),"",E364+N(F364)-N(G364)-N(H364)-N(J364)-N(K364))</f>
        <v/>
      </c>
      <c r="M364" s="28" t="str">
        <f aca="false">IF(OR(L364="",N(K364)=0),"",L364/K364)</f>
        <v/>
      </c>
      <c r="N364" s="25" t="str">
        <f aca="false">IF(OR(A364="",B364=""),"",IFERROR(A364-INDEX(Inventory!$B$4:$B$503,MATCH($B364,Inventory!$A$4:$A$503,0)),""))</f>
        <v/>
      </c>
      <c r="O364" s="27" t="str">
        <f aca="false">IF($B364="","",IFERROR(INDEX(Inventory!$F$4:$F$503,MATCH($B364,Inventory!$A$4:$A$503,0)),""))</f>
        <v/>
      </c>
      <c r="P364" s="27" t="str">
        <f aca="false">IF($B364="","",IFERROR(INDEX(Inventory!$C$4:$C$503,MATCH($B364,Inventory!$A$4:$A$503,0)),""))</f>
        <v/>
      </c>
    </row>
    <row r="365" customFormat="false" ht="15" hidden="false" customHeight="false" outlineLevel="0" collapsed="false">
      <c r="A365" s="19"/>
      <c r="B365" s="10"/>
      <c r="C365" s="23" t="str">
        <f aca="false">IF($B365="","",IFERROR(INDEX(Inventory!$E$4:$E$503,MATCH($B365,Inventory!$A$4:$A$503,0)),"SKU not found"))</f>
        <v/>
      </c>
      <c r="D365" s="10"/>
      <c r="E365" s="12"/>
      <c r="F365" s="12"/>
      <c r="G365" s="12"/>
      <c r="H365" s="24" t="str">
        <f aca="false">IF(OR(B365="",D365="",E365=""),"",IFERROR(IF(AND(D365="Poshmark",E365&lt;Settings!$B$20),Settings!$B$21,(E365+IF(INDEX(Settings!$E$4:$E$11,MATCH($D365,Settings!$A$4:$A$11,0))="Y",N(F365),0))*(INDEX(Settings!$B$4:$B$11,MATCH($D365,Settings!$A$4:$A$11,0))+INDEX(Settings!$D$4:$D$11,MATCH($D365,Settings!$A$4:$A$11,0)))+INDEX(Settings!$C$4:$C$11,MATCH($D365,Settings!$A$4:$A$11,0))),0))</f>
        <v/>
      </c>
      <c r="I365" s="12"/>
      <c r="J365" s="12"/>
      <c r="K365" s="24" t="str">
        <f aca="false">IF($B365="","",IFERROR(INDEX(Inventory!$J$4:$J$503,MATCH($B365,Inventory!$A$4:$A$503,0)),0))</f>
        <v/>
      </c>
      <c r="L365" s="24" t="str">
        <f aca="false">IF(OR(B365="",E365=""),"",E365+N(F365)-N(G365)-N(H365)-N(J365)-N(K365))</f>
        <v/>
      </c>
      <c r="M365" s="28" t="str">
        <f aca="false">IF(OR(L365="",N(K365)=0),"",L365/K365)</f>
        <v/>
      </c>
      <c r="N365" s="25" t="str">
        <f aca="false">IF(OR(A365="",B365=""),"",IFERROR(A365-INDEX(Inventory!$B$4:$B$503,MATCH($B365,Inventory!$A$4:$A$503,0)),""))</f>
        <v/>
      </c>
      <c r="O365" s="27" t="str">
        <f aca="false">IF($B365="","",IFERROR(INDEX(Inventory!$F$4:$F$503,MATCH($B365,Inventory!$A$4:$A$503,0)),""))</f>
        <v/>
      </c>
      <c r="P365" s="27" t="str">
        <f aca="false">IF($B365="","",IFERROR(INDEX(Inventory!$C$4:$C$503,MATCH($B365,Inventory!$A$4:$A$503,0)),""))</f>
        <v/>
      </c>
    </row>
    <row r="366" customFormat="false" ht="15" hidden="false" customHeight="false" outlineLevel="0" collapsed="false">
      <c r="A366" s="19"/>
      <c r="B366" s="10"/>
      <c r="C366" s="23" t="str">
        <f aca="false">IF($B366="","",IFERROR(INDEX(Inventory!$E$4:$E$503,MATCH($B366,Inventory!$A$4:$A$503,0)),"SKU not found"))</f>
        <v/>
      </c>
      <c r="D366" s="10"/>
      <c r="E366" s="12"/>
      <c r="F366" s="12"/>
      <c r="G366" s="12"/>
      <c r="H366" s="24" t="str">
        <f aca="false">IF(OR(B366="",D366="",E366=""),"",IFERROR(IF(AND(D366="Poshmark",E366&lt;Settings!$B$20),Settings!$B$21,(E366+IF(INDEX(Settings!$E$4:$E$11,MATCH($D366,Settings!$A$4:$A$11,0))="Y",N(F366),0))*(INDEX(Settings!$B$4:$B$11,MATCH($D366,Settings!$A$4:$A$11,0))+INDEX(Settings!$D$4:$D$11,MATCH($D366,Settings!$A$4:$A$11,0)))+INDEX(Settings!$C$4:$C$11,MATCH($D366,Settings!$A$4:$A$11,0))),0))</f>
        <v/>
      </c>
      <c r="I366" s="12"/>
      <c r="J366" s="12"/>
      <c r="K366" s="24" t="str">
        <f aca="false">IF($B366="","",IFERROR(INDEX(Inventory!$J$4:$J$503,MATCH($B366,Inventory!$A$4:$A$503,0)),0))</f>
        <v/>
      </c>
      <c r="L366" s="24" t="str">
        <f aca="false">IF(OR(B366="",E366=""),"",E366+N(F366)-N(G366)-N(H366)-N(J366)-N(K366))</f>
        <v/>
      </c>
      <c r="M366" s="28" t="str">
        <f aca="false">IF(OR(L366="",N(K366)=0),"",L366/K366)</f>
        <v/>
      </c>
      <c r="N366" s="25" t="str">
        <f aca="false">IF(OR(A366="",B366=""),"",IFERROR(A366-INDEX(Inventory!$B$4:$B$503,MATCH($B366,Inventory!$A$4:$A$503,0)),""))</f>
        <v/>
      </c>
      <c r="O366" s="27" t="str">
        <f aca="false">IF($B366="","",IFERROR(INDEX(Inventory!$F$4:$F$503,MATCH($B366,Inventory!$A$4:$A$503,0)),""))</f>
        <v/>
      </c>
      <c r="P366" s="27" t="str">
        <f aca="false">IF($B366="","",IFERROR(INDEX(Inventory!$C$4:$C$503,MATCH($B366,Inventory!$A$4:$A$503,0)),""))</f>
        <v/>
      </c>
    </row>
    <row r="367" customFormat="false" ht="15" hidden="false" customHeight="false" outlineLevel="0" collapsed="false">
      <c r="A367" s="19"/>
      <c r="B367" s="10"/>
      <c r="C367" s="23" t="str">
        <f aca="false">IF($B367="","",IFERROR(INDEX(Inventory!$E$4:$E$503,MATCH($B367,Inventory!$A$4:$A$503,0)),"SKU not found"))</f>
        <v/>
      </c>
      <c r="D367" s="10"/>
      <c r="E367" s="12"/>
      <c r="F367" s="12"/>
      <c r="G367" s="12"/>
      <c r="H367" s="24" t="str">
        <f aca="false">IF(OR(B367="",D367="",E367=""),"",IFERROR(IF(AND(D367="Poshmark",E367&lt;Settings!$B$20),Settings!$B$21,(E367+IF(INDEX(Settings!$E$4:$E$11,MATCH($D367,Settings!$A$4:$A$11,0))="Y",N(F367),0))*(INDEX(Settings!$B$4:$B$11,MATCH($D367,Settings!$A$4:$A$11,0))+INDEX(Settings!$D$4:$D$11,MATCH($D367,Settings!$A$4:$A$11,0)))+INDEX(Settings!$C$4:$C$11,MATCH($D367,Settings!$A$4:$A$11,0))),0))</f>
        <v/>
      </c>
      <c r="I367" s="12"/>
      <c r="J367" s="12"/>
      <c r="K367" s="24" t="str">
        <f aca="false">IF($B367="","",IFERROR(INDEX(Inventory!$J$4:$J$503,MATCH($B367,Inventory!$A$4:$A$503,0)),0))</f>
        <v/>
      </c>
      <c r="L367" s="24" t="str">
        <f aca="false">IF(OR(B367="",E367=""),"",E367+N(F367)-N(G367)-N(H367)-N(J367)-N(K367))</f>
        <v/>
      </c>
      <c r="M367" s="28" t="str">
        <f aca="false">IF(OR(L367="",N(K367)=0),"",L367/K367)</f>
        <v/>
      </c>
      <c r="N367" s="25" t="str">
        <f aca="false">IF(OR(A367="",B367=""),"",IFERROR(A367-INDEX(Inventory!$B$4:$B$503,MATCH($B367,Inventory!$A$4:$A$503,0)),""))</f>
        <v/>
      </c>
      <c r="O367" s="27" t="str">
        <f aca="false">IF($B367="","",IFERROR(INDEX(Inventory!$F$4:$F$503,MATCH($B367,Inventory!$A$4:$A$503,0)),""))</f>
        <v/>
      </c>
      <c r="P367" s="27" t="str">
        <f aca="false">IF($B367="","",IFERROR(INDEX(Inventory!$C$4:$C$503,MATCH($B367,Inventory!$A$4:$A$503,0)),""))</f>
        <v/>
      </c>
    </row>
    <row r="368" customFormat="false" ht="15" hidden="false" customHeight="false" outlineLevel="0" collapsed="false">
      <c r="A368" s="19"/>
      <c r="B368" s="10"/>
      <c r="C368" s="23" t="str">
        <f aca="false">IF($B368="","",IFERROR(INDEX(Inventory!$E$4:$E$503,MATCH($B368,Inventory!$A$4:$A$503,0)),"SKU not found"))</f>
        <v/>
      </c>
      <c r="D368" s="10"/>
      <c r="E368" s="12"/>
      <c r="F368" s="12"/>
      <c r="G368" s="12"/>
      <c r="H368" s="24" t="str">
        <f aca="false">IF(OR(B368="",D368="",E368=""),"",IFERROR(IF(AND(D368="Poshmark",E368&lt;Settings!$B$20),Settings!$B$21,(E368+IF(INDEX(Settings!$E$4:$E$11,MATCH($D368,Settings!$A$4:$A$11,0))="Y",N(F368),0))*(INDEX(Settings!$B$4:$B$11,MATCH($D368,Settings!$A$4:$A$11,0))+INDEX(Settings!$D$4:$D$11,MATCH($D368,Settings!$A$4:$A$11,0)))+INDEX(Settings!$C$4:$C$11,MATCH($D368,Settings!$A$4:$A$11,0))),0))</f>
        <v/>
      </c>
      <c r="I368" s="12"/>
      <c r="J368" s="12"/>
      <c r="K368" s="24" t="str">
        <f aca="false">IF($B368="","",IFERROR(INDEX(Inventory!$J$4:$J$503,MATCH($B368,Inventory!$A$4:$A$503,0)),0))</f>
        <v/>
      </c>
      <c r="L368" s="24" t="str">
        <f aca="false">IF(OR(B368="",E368=""),"",E368+N(F368)-N(G368)-N(H368)-N(J368)-N(K368))</f>
        <v/>
      </c>
      <c r="M368" s="28" t="str">
        <f aca="false">IF(OR(L368="",N(K368)=0),"",L368/K368)</f>
        <v/>
      </c>
      <c r="N368" s="25" t="str">
        <f aca="false">IF(OR(A368="",B368=""),"",IFERROR(A368-INDEX(Inventory!$B$4:$B$503,MATCH($B368,Inventory!$A$4:$A$503,0)),""))</f>
        <v/>
      </c>
      <c r="O368" s="27" t="str">
        <f aca="false">IF($B368="","",IFERROR(INDEX(Inventory!$F$4:$F$503,MATCH($B368,Inventory!$A$4:$A$503,0)),""))</f>
        <v/>
      </c>
      <c r="P368" s="27" t="str">
        <f aca="false">IF($B368="","",IFERROR(INDEX(Inventory!$C$4:$C$503,MATCH($B368,Inventory!$A$4:$A$503,0)),""))</f>
        <v/>
      </c>
    </row>
    <row r="369" customFormat="false" ht="15" hidden="false" customHeight="false" outlineLevel="0" collapsed="false">
      <c r="A369" s="19"/>
      <c r="B369" s="10"/>
      <c r="C369" s="23" t="str">
        <f aca="false">IF($B369="","",IFERROR(INDEX(Inventory!$E$4:$E$503,MATCH($B369,Inventory!$A$4:$A$503,0)),"SKU not found"))</f>
        <v/>
      </c>
      <c r="D369" s="10"/>
      <c r="E369" s="12"/>
      <c r="F369" s="12"/>
      <c r="G369" s="12"/>
      <c r="H369" s="24" t="str">
        <f aca="false">IF(OR(B369="",D369="",E369=""),"",IFERROR(IF(AND(D369="Poshmark",E369&lt;Settings!$B$20),Settings!$B$21,(E369+IF(INDEX(Settings!$E$4:$E$11,MATCH($D369,Settings!$A$4:$A$11,0))="Y",N(F369),0))*(INDEX(Settings!$B$4:$B$11,MATCH($D369,Settings!$A$4:$A$11,0))+INDEX(Settings!$D$4:$D$11,MATCH($D369,Settings!$A$4:$A$11,0)))+INDEX(Settings!$C$4:$C$11,MATCH($D369,Settings!$A$4:$A$11,0))),0))</f>
        <v/>
      </c>
      <c r="I369" s="12"/>
      <c r="J369" s="12"/>
      <c r="K369" s="24" t="str">
        <f aca="false">IF($B369="","",IFERROR(INDEX(Inventory!$J$4:$J$503,MATCH($B369,Inventory!$A$4:$A$503,0)),0))</f>
        <v/>
      </c>
      <c r="L369" s="24" t="str">
        <f aca="false">IF(OR(B369="",E369=""),"",E369+N(F369)-N(G369)-N(H369)-N(J369)-N(K369))</f>
        <v/>
      </c>
      <c r="M369" s="28" t="str">
        <f aca="false">IF(OR(L369="",N(K369)=0),"",L369/K369)</f>
        <v/>
      </c>
      <c r="N369" s="25" t="str">
        <f aca="false">IF(OR(A369="",B369=""),"",IFERROR(A369-INDEX(Inventory!$B$4:$B$503,MATCH($B369,Inventory!$A$4:$A$503,0)),""))</f>
        <v/>
      </c>
      <c r="O369" s="27" t="str">
        <f aca="false">IF($B369="","",IFERROR(INDEX(Inventory!$F$4:$F$503,MATCH($B369,Inventory!$A$4:$A$503,0)),""))</f>
        <v/>
      </c>
      <c r="P369" s="27" t="str">
        <f aca="false">IF($B369="","",IFERROR(INDEX(Inventory!$C$4:$C$503,MATCH($B369,Inventory!$A$4:$A$503,0)),""))</f>
        <v/>
      </c>
    </row>
    <row r="370" customFormat="false" ht="15" hidden="false" customHeight="false" outlineLevel="0" collapsed="false">
      <c r="A370" s="19"/>
      <c r="B370" s="10"/>
      <c r="C370" s="23" t="str">
        <f aca="false">IF($B370="","",IFERROR(INDEX(Inventory!$E$4:$E$503,MATCH($B370,Inventory!$A$4:$A$503,0)),"SKU not found"))</f>
        <v/>
      </c>
      <c r="D370" s="10"/>
      <c r="E370" s="12"/>
      <c r="F370" s="12"/>
      <c r="G370" s="12"/>
      <c r="H370" s="24" t="str">
        <f aca="false">IF(OR(B370="",D370="",E370=""),"",IFERROR(IF(AND(D370="Poshmark",E370&lt;Settings!$B$20),Settings!$B$21,(E370+IF(INDEX(Settings!$E$4:$E$11,MATCH($D370,Settings!$A$4:$A$11,0))="Y",N(F370),0))*(INDEX(Settings!$B$4:$B$11,MATCH($D370,Settings!$A$4:$A$11,0))+INDEX(Settings!$D$4:$D$11,MATCH($D370,Settings!$A$4:$A$11,0)))+INDEX(Settings!$C$4:$C$11,MATCH($D370,Settings!$A$4:$A$11,0))),0))</f>
        <v/>
      </c>
      <c r="I370" s="12"/>
      <c r="J370" s="12"/>
      <c r="K370" s="24" t="str">
        <f aca="false">IF($B370="","",IFERROR(INDEX(Inventory!$J$4:$J$503,MATCH($B370,Inventory!$A$4:$A$503,0)),0))</f>
        <v/>
      </c>
      <c r="L370" s="24" t="str">
        <f aca="false">IF(OR(B370="",E370=""),"",E370+N(F370)-N(G370)-N(H370)-N(J370)-N(K370))</f>
        <v/>
      </c>
      <c r="M370" s="28" t="str">
        <f aca="false">IF(OR(L370="",N(K370)=0),"",L370/K370)</f>
        <v/>
      </c>
      <c r="N370" s="25" t="str">
        <f aca="false">IF(OR(A370="",B370=""),"",IFERROR(A370-INDEX(Inventory!$B$4:$B$503,MATCH($B370,Inventory!$A$4:$A$503,0)),""))</f>
        <v/>
      </c>
      <c r="O370" s="27" t="str">
        <f aca="false">IF($B370="","",IFERROR(INDEX(Inventory!$F$4:$F$503,MATCH($B370,Inventory!$A$4:$A$503,0)),""))</f>
        <v/>
      </c>
      <c r="P370" s="27" t="str">
        <f aca="false">IF($B370="","",IFERROR(INDEX(Inventory!$C$4:$C$503,MATCH($B370,Inventory!$A$4:$A$503,0)),""))</f>
        <v/>
      </c>
    </row>
    <row r="371" customFormat="false" ht="15" hidden="false" customHeight="false" outlineLevel="0" collapsed="false">
      <c r="A371" s="19"/>
      <c r="B371" s="10"/>
      <c r="C371" s="23" t="str">
        <f aca="false">IF($B371="","",IFERROR(INDEX(Inventory!$E$4:$E$503,MATCH($B371,Inventory!$A$4:$A$503,0)),"SKU not found"))</f>
        <v/>
      </c>
      <c r="D371" s="10"/>
      <c r="E371" s="12"/>
      <c r="F371" s="12"/>
      <c r="G371" s="12"/>
      <c r="H371" s="24" t="str">
        <f aca="false">IF(OR(B371="",D371="",E371=""),"",IFERROR(IF(AND(D371="Poshmark",E371&lt;Settings!$B$20),Settings!$B$21,(E371+IF(INDEX(Settings!$E$4:$E$11,MATCH($D371,Settings!$A$4:$A$11,0))="Y",N(F371),0))*(INDEX(Settings!$B$4:$B$11,MATCH($D371,Settings!$A$4:$A$11,0))+INDEX(Settings!$D$4:$D$11,MATCH($D371,Settings!$A$4:$A$11,0)))+INDEX(Settings!$C$4:$C$11,MATCH($D371,Settings!$A$4:$A$11,0))),0))</f>
        <v/>
      </c>
      <c r="I371" s="12"/>
      <c r="J371" s="12"/>
      <c r="K371" s="24" t="str">
        <f aca="false">IF($B371="","",IFERROR(INDEX(Inventory!$J$4:$J$503,MATCH($B371,Inventory!$A$4:$A$503,0)),0))</f>
        <v/>
      </c>
      <c r="L371" s="24" t="str">
        <f aca="false">IF(OR(B371="",E371=""),"",E371+N(F371)-N(G371)-N(H371)-N(J371)-N(K371))</f>
        <v/>
      </c>
      <c r="M371" s="28" t="str">
        <f aca="false">IF(OR(L371="",N(K371)=0),"",L371/K371)</f>
        <v/>
      </c>
      <c r="N371" s="25" t="str">
        <f aca="false">IF(OR(A371="",B371=""),"",IFERROR(A371-INDEX(Inventory!$B$4:$B$503,MATCH($B371,Inventory!$A$4:$A$503,0)),""))</f>
        <v/>
      </c>
      <c r="O371" s="27" t="str">
        <f aca="false">IF($B371="","",IFERROR(INDEX(Inventory!$F$4:$F$503,MATCH($B371,Inventory!$A$4:$A$503,0)),""))</f>
        <v/>
      </c>
      <c r="P371" s="27" t="str">
        <f aca="false">IF($B371="","",IFERROR(INDEX(Inventory!$C$4:$C$503,MATCH($B371,Inventory!$A$4:$A$503,0)),""))</f>
        <v/>
      </c>
    </row>
    <row r="372" customFormat="false" ht="15" hidden="false" customHeight="false" outlineLevel="0" collapsed="false">
      <c r="A372" s="19"/>
      <c r="B372" s="10"/>
      <c r="C372" s="23" t="str">
        <f aca="false">IF($B372="","",IFERROR(INDEX(Inventory!$E$4:$E$503,MATCH($B372,Inventory!$A$4:$A$503,0)),"SKU not found"))</f>
        <v/>
      </c>
      <c r="D372" s="10"/>
      <c r="E372" s="12"/>
      <c r="F372" s="12"/>
      <c r="G372" s="12"/>
      <c r="H372" s="24" t="str">
        <f aca="false">IF(OR(B372="",D372="",E372=""),"",IFERROR(IF(AND(D372="Poshmark",E372&lt;Settings!$B$20),Settings!$B$21,(E372+IF(INDEX(Settings!$E$4:$E$11,MATCH($D372,Settings!$A$4:$A$11,0))="Y",N(F372),0))*(INDEX(Settings!$B$4:$B$11,MATCH($D372,Settings!$A$4:$A$11,0))+INDEX(Settings!$D$4:$D$11,MATCH($D372,Settings!$A$4:$A$11,0)))+INDEX(Settings!$C$4:$C$11,MATCH($D372,Settings!$A$4:$A$11,0))),0))</f>
        <v/>
      </c>
      <c r="I372" s="12"/>
      <c r="J372" s="12"/>
      <c r="K372" s="24" t="str">
        <f aca="false">IF($B372="","",IFERROR(INDEX(Inventory!$J$4:$J$503,MATCH($B372,Inventory!$A$4:$A$503,0)),0))</f>
        <v/>
      </c>
      <c r="L372" s="24" t="str">
        <f aca="false">IF(OR(B372="",E372=""),"",E372+N(F372)-N(G372)-N(H372)-N(J372)-N(K372))</f>
        <v/>
      </c>
      <c r="M372" s="28" t="str">
        <f aca="false">IF(OR(L372="",N(K372)=0),"",L372/K372)</f>
        <v/>
      </c>
      <c r="N372" s="25" t="str">
        <f aca="false">IF(OR(A372="",B372=""),"",IFERROR(A372-INDEX(Inventory!$B$4:$B$503,MATCH($B372,Inventory!$A$4:$A$503,0)),""))</f>
        <v/>
      </c>
      <c r="O372" s="27" t="str">
        <f aca="false">IF($B372="","",IFERROR(INDEX(Inventory!$F$4:$F$503,MATCH($B372,Inventory!$A$4:$A$503,0)),""))</f>
        <v/>
      </c>
      <c r="P372" s="27" t="str">
        <f aca="false">IF($B372="","",IFERROR(INDEX(Inventory!$C$4:$C$503,MATCH($B372,Inventory!$A$4:$A$503,0)),""))</f>
        <v/>
      </c>
    </row>
    <row r="373" customFormat="false" ht="15" hidden="false" customHeight="false" outlineLevel="0" collapsed="false">
      <c r="A373" s="19"/>
      <c r="B373" s="10"/>
      <c r="C373" s="23" t="str">
        <f aca="false">IF($B373="","",IFERROR(INDEX(Inventory!$E$4:$E$503,MATCH($B373,Inventory!$A$4:$A$503,0)),"SKU not found"))</f>
        <v/>
      </c>
      <c r="D373" s="10"/>
      <c r="E373" s="12"/>
      <c r="F373" s="12"/>
      <c r="G373" s="12"/>
      <c r="H373" s="24" t="str">
        <f aca="false">IF(OR(B373="",D373="",E373=""),"",IFERROR(IF(AND(D373="Poshmark",E373&lt;Settings!$B$20),Settings!$B$21,(E373+IF(INDEX(Settings!$E$4:$E$11,MATCH($D373,Settings!$A$4:$A$11,0))="Y",N(F373),0))*(INDEX(Settings!$B$4:$B$11,MATCH($D373,Settings!$A$4:$A$11,0))+INDEX(Settings!$D$4:$D$11,MATCH($D373,Settings!$A$4:$A$11,0)))+INDEX(Settings!$C$4:$C$11,MATCH($D373,Settings!$A$4:$A$11,0))),0))</f>
        <v/>
      </c>
      <c r="I373" s="12"/>
      <c r="J373" s="12"/>
      <c r="K373" s="24" t="str">
        <f aca="false">IF($B373="","",IFERROR(INDEX(Inventory!$J$4:$J$503,MATCH($B373,Inventory!$A$4:$A$503,0)),0))</f>
        <v/>
      </c>
      <c r="L373" s="24" t="str">
        <f aca="false">IF(OR(B373="",E373=""),"",E373+N(F373)-N(G373)-N(H373)-N(J373)-N(K373))</f>
        <v/>
      </c>
      <c r="M373" s="28" t="str">
        <f aca="false">IF(OR(L373="",N(K373)=0),"",L373/K373)</f>
        <v/>
      </c>
      <c r="N373" s="25" t="str">
        <f aca="false">IF(OR(A373="",B373=""),"",IFERROR(A373-INDEX(Inventory!$B$4:$B$503,MATCH($B373,Inventory!$A$4:$A$503,0)),""))</f>
        <v/>
      </c>
      <c r="O373" s="27" t="str">
        <f aca="false">IF($B373="","",IFERROR(INDEX(Inventory!$F$4:$F$503,MATCH($B373,Inventory!$A$4:$A$503,0)),""))</f>
        <v/>
      </c>
      <c r="P373" s="27" t="str">
        <f aca="false">IF($B373="","",IFERROR(INDEX(Inventory!$C$4:$C$503,MATCH($B373,Inventory!$A$4:$A$503,0)),""))</f>
        <v/>
      </c>
    </row>
    <row r="374" customFormat="false" ht="15" hidden="false" customHeight="false" outlineLevel="0" collapsed="false">
      <c r="A374" s="19"/>
      <c r="B374" s="10"/>
      <c r="C374" s="23" t="str">
        <f aca="false">IF($B374="","",IFERROR(INDEX(Inventory!$E$4:$E$503,MATCH($B374,Inventory!$A$4:$A$503,0)),"SKU not found"))</f>
        <v/>
      </c>
      <c r="D374" s="10"/>
      <c r="E374" s="12"/>
      <c r="F374" s="12"/>
      <c r="G374" s="12"/>
      <c r="H374" s="24" t="str">
        <f aca="false">IF(OR(B374="",D374="",E374=""),"",IFERROR(IF(AND(D374="Poshmark",E374&lt;Settings!$B$20),Settings!$B$21,(E374+IF(INDEX(Settings!$E$4:$E$11,MATCH($D374,Settings!$A$4:$A$11,0))="Y",N(F374),0))*(INDEX(Settings!$B$4:$B$11,MATCH($D374,Settings!$A$4:$A$11,0))+INDEX(Settings!$D$4:$D$11,MATCH($D374,Settings!$A$4:$A$11,0)))+INDEX(Settings!$C$4:$C$11,MATCH($D374,Settings!$A$4:$A$11,0))),0))</f>
        <v/>
      </c>
      <c r="I374" s="12"/>
      <c r="J374" s="12"/>
      <c r="K374" s="24" t="str">
        <f aca="false">IF($B374="","",IFERROR(INDEX(Inventory!$J$4:$J$503,MATCH($B374,Inventory!$A$4:$A$503,0)),0))</f>
        <v/>
      </c>
      <c r="L374" s="24" t="str">
        <f aca="false">IF(OR(B374="",E374=""),"",E374+N(F374)-N(G374)-N(H374)-N(J374)-N(K374))</f>
        <v/>
      </c>
      <c r="M374" s="28" t="str">
        <f aca="false">IF(OR(L374="",N(K374)=0),"",L374/K374)</f>
        <v/>
      </c>
      <c r="N374" s="25" t="str">
        <f aca="false">IF(OR(A374="",B374=""),"",IFERROR(A374-INDEX(Inventory!$B$4:$B$503,MATCH($B374,Inventory!$A$4:$A$503,0)),""))</f>
        <v/>
      </c>
      <c r="O374" s="27" t="str">
        <f aca="false">IF($B374="","",IFERROR(INDEX(Inventory!$F$4:$F$503,MATCH($B374,Inventory!$A$4:$A$503,0)),""))</f>
        <v/>
      </c>
      <c r="P374" s="27" t="str">
        <f aca="false">IF($B374="","",IFERROR(INDEX(Inventory!$C$4:$C$503,MATCH($B374,Inventory!$A$4:$A$503,0)),""))</f>
        <v/>
      </c>
    </row>
    <row r="375" customFormat="false" ht="15" hidden="false" customHeight="false" outlineLevel="0" collapsed="false">
      <c r="A375" s="19"/>
      <c r="B375" s="10"/>
      <c r="C375" s="23" t="str">
        <f aca="false">IF($B375="","",IFERROR(INDEX(Inventory!$E$4:$E$503,MATCH($B375,Inventory!$A$4:$A$503,0)),"SKU not found"))</f>
        <v/>
      </c>
      <c r="D375" s="10"/>
      <c r="E375" s="12"/>
      <c r="F375" s="12"/>
      <c r="G375" s="12"/>
      <c r="H375" s="24" t="str">
        <f aca="false">IF(OR(B375="",D375="",E375=""),"",IFERROR(IF(AND(D375="Poshmark",E375&lt;Settings!$B$20),Settings!$B$21,(E375+IF(INDEX(Settings!$E$4:$E$11,MATCH($D375,Settings!$A$4:$A$11,0))="Y",N(F375),0))*(INDEX(Settings!$B$4:$B$11,MATCH($D375,Settings!$A$4:$A$11,0))+INDEX(Settings!$D$4:$D$11,MATCH($D375,Settings!$A$4:$A$11,0)))+INDEX(Settings!$C$4:$C$11,MATCH($D375,Settings!$A$4:$A$11,0))),0))</f>
        <v/>
      </c>
      <c r="I375" s="12"/>
      <c r="J375" s="12"/>
      <c r="K375" s="24" t="str">
        <f aca="false">IF($B375="","",IFERROR(INDEX(Inventory!$J$4:$J$503,MATCH($B375,Inventory!$A$4:$A$503,0)),0))</f>
        <v/>
      </c>
      <c r="L375" s="24" t="str">
        <f aca="false">IF(OR(B375="",E375=""),"",E375+N(F375)-N(G375)-N(H375)-N(J375)-N(K375))</f>
        <v/>
      </c>
      <c r="M375" s="28" t="str">
        <f aca="false">IF(OR(L375="",N(K375)=0),"",L375/K375)</f>
        <v/>
      </c>
      <c r="N375" s="25" t="str">
        <f aca="false">IF(OR(A375="",B375=""),"",IFERROR(A375-INDEX(Inventory!$B$4:$B$503,MATCH($B375,Inventory!$A$4:$A$503,0)),""))</f>
        <v/>
      </c>
      <c r="O375" s="27" t="str">
        <f aca="false">IF($B375="","",IFERROR(INDEX(Inventory!$F$4:$F$503,MATCH($B375,Inventory!$A$4:$A$503,0)),""))</f>
        <v/>
      </c>
      <c r="P375" s="27" t="str">
        <f aca="false">IF($B375="","",IFERROR(INDEX(Inventory!$C$4:$C$503,MATCH($B375,Inventory!$A$4:$A$503,0)),""))</f>
        <v/>
      </c>
    </row>
    <row r="376" customFormat="false" ht="15" hidden="false" customHeight="false" outlineLevel="0" collapsed="false">
      <c r="A376" s="19"/>
      <c r="B376" s="10"/>
      <c r="C376" s="23" t="str">
        <f aca="false">IF($B376="","",IFERROR(INDEX(Inventory!$E$4:$E$503,MATCH($B376,Inventory!$A$4:$A$503,0)),"SKU not found"))</f>
        <v/>
      </c>
      <c r="D376" s="10"/>
      <c r="E376" s="12"/>
      <c r="F376" s="12"/>
      <c r="G376" s="12"/>
      <c r="H376" s="24" t="str">
        <f aca="false">IF(OR(B376="",D376="",E376=""),"",IFERROR(IF(AND(D376="Poshmark",E376&lt;Settings!$B$20),Settings!$B$21,(E376+IF(INDEX(Settings!$E$4:$E$11,MATCH($D376,Settings!$A$4:$A$11,0))="Y",N(F376),0))*(INDEX(Settings!$B$4:$B$11,MATCH($D376,Settings!$A$4:$A$11,0))+INDEX(Settings!$D$4:$D$11,MATCH($D376,Settings!$A$4:$A$11,0)))+INDEX(Settings!$C$4:$C$11,MATCH($D376,Settings!$A$4:$A$11,0))),0))</f>
        <v/>
      </c>
      <c r="I376" s="12"/>
      <c r="J376" s="12"/>
      <c r="K376" s="24" t="str">
        <f aca="false">IF($B376="","",IFERROR(INDEX(Inventory!$J$4:$J$503,MATCH($B376,Inventory!$A$4:$A$503,0)),0))</f>
        <v/>
      </c>
      <c r="L376" s="24" t="str">
        <f aca="false">IF(OR(B376="",E376=""),"",E376+N(F376)-N(G376)-N(H376)-N(J376)-N(K376))</f>
        <v/>
      </c>
      <c r="M376" s="28" t="str">
        <f aca="false">IF(OR(L376="",N(K376)=0),"",L376/K376)</f>
        <v/>
      </c>
      <c r="N376" s="25" t="str">
        <f aca="false">IF(OR(A376="",B376=""),"",IFERROR(A376-INDEX(Inventory!$B$4:$B$503,MATCH($B376,Inventory!$A$4:$A$503,0)),""))</f>
        <v/>
      </c>
      <c r="O376" s="27" t="str">
        <f aca="false">IF($B376="","",IFERROR(INDEX(Inventory!$F$4:$F$503,MATCH($B376,Inventory!$A$4:$A$503,0)),""))</f>
        <v/>
      </c>
      <c r="P376" s="27" t="str">
        <f aca="false">IF($B376="","",IFERROR(INDEX(Inventory!$C$4:$C$503,MATCH($B376,Inventory!$A$4:$A$503,0)),""))</f>
        <v/>
      </c>
    </row>
    <row r="377" customFormat="false" ht="15" hidden="false" customHeight="false" outlineLevel="0" collapsed="false">
      <c r="A377" s="19"/>
      <c r="B377" s="10"/>
      <c r="C377" s="23" t="str">
        <f aca="false">IF($B377="","",IFERROR(INDEX(Inventory!$E$4:$E$503,MATCH($B377,Inventory!$A$4:$A$503,0)),"SKU not found"))</f>
        <v/>
      </c>
      <c r="D377" s="10"/>
      <c r="E377" s="12"/>
      <c r="F377" s="12"/>
      <c r="G377" s="12"/>
      <c r="H377" s="24" t="str">
        <f aca="false">IF(OR(B377="",D377="",E377=""),"",IFERROR(IF(AND(D377="Poshmark",E377&lt;Settings!$B$20),Settings!$B$21,(E377+IF(INDEX(Settings!$E$4:$E$11,MATCH($D377,Settings!$A$4:$A$11,0))="Y",N(F377),0))*(INDEX(Settings!$B$4:$B$11,MATCH($D377,Settings!$A$4:$A$11,0))+INDEX(Settings!$D$4:$D$11,MATCH($D377,Settings!$A$4:$A$11,0)))+INDEX(Settings!$C$4:$C$11,MATCH($D377,Settings!$A$4:$A$11,0))),0))</f>
        <v/>
      </c>
      <c r="I377" s="12"/>
      <c r="J377" s="12"/>
      <c r="K377" s="24" t="str">
        <f aca="false">IF($B377="","",IFERROR(INDEX(Inventory!$J$4:$J$503,MATCH($B377,Inventory!$A$4:$A$503,0)),0))</f>
        <v/>
      </c>
      <c r="L377" s="24" t="str">
        <f aca="false">IF(OR(B377="",E377=""),"",E377+N(F377)-N(G377)-N(H377)-N(J377)-N(K377))</f>
        <v/>
      </c>
      <c r="M377" s="28" t="str">
        <f aca="false">IF(OR(L377="",N(K377)=0),"",L377/K377)</f>
        <v/>
      </c>
      <c r="N377" s="25" t="str">
        <f aca="false">IF(OR(A377="",B377=""),"",IFERROR(A377-INDEX(Inventory!$B$4:$B$503,MATCH($B377,Inventory!$A$4:$A$503,0)),""))</f>
        <v/>
      </c>
      <c r="O377" s="27" t="str">
        <f aca="false">IF($B377="","",IFERROR(INDEX(Inventory!$F$4:$F$503,MATCH($B377,Inventory!$A$4:$A$503,0)),""))</f>
        <v/>
      </c>
      <c r="P377" s="27" t="str">
        <f aca="false">IF($B377="","",IFERROR(INDEX(Inventory!$C$4:$C$503,MATCH($B377,Inventory!$A$4:$A$503,0)),""))</f>
        <v/>
      </c>
    </row>
    <row r="378" customFormat="false" ht="15" hidden="false" customHeight="false" outlineLevel="0" collapsed="false">
      <c r="A378" s="19"/>
      <c r="B378" s="10"/>
      <c r="C378" s="23" t="str">
        <f aca="false">IF($B378="","",IFERROR(INDEX(Inventory!$E$4:$E$503,MATCH($B378,Inventory!$A$4:$A$503,0)),"SKU not found"))</f>
        <v/>
      </c>
      <c r="D378" s="10"/>
      <c r="E378" s="12"/>
      <c r="F378" s="12"/>
      <c r="G378" s="12"/>
      <c r="H378" s="24" t="str">
        <f aca="false">IF(OR(B378="",D378="",E378=""),"",IFERROR(IF(AND(D378="Poshmark",E378&lt;Settings!$B$20),Settings!$B$21,(E378+IF(INDEX(Settings!$E$4:$E$11,MATCH($D378,Settings!$A$4:$A$11,0))="Y",N(F378),0))*(INDEX(Settings!$B$4:$B$11,MATCH($D378,Settings!$A$4:$A$11,0))+INDEX(Settings!$D$4:$D$11,MATCH($D378,Settings!$A$4:$A$11,0)))+INDEX(Settings!$C$4:$C$11,MATCH($D378,Settings!$A$4:$A$11,0))),0))</f>
        <v/>
      </c>
      <c r="I378" s="12"/>
      <c r="J378" s="12"/>
      <c r="K378" s="24" t="str">
        <f aca="false">IF($B378="","",IFERROR(INDEX(Inventory!$J$4:$J$503,MATCH($B378,Inventory!$A$4:$A$503,0)),0))</f>
        <v/>
      </c>
      <c r="L378" s="24" t="str">
        <f aca="false">IF(OR(B378="",E378=""),"",E378+N(F378)-N(G378)-N(H378)-N(J378)-N(K378))</f>
        <v/>
      </c>
      <c r="M378" s="28" t="str">
        <f aca="false">IF(OR(L378="",N(K378)=0),"",L378/K378)</f>
        <v/>
      </c>
      <c r="N378" s="25" t="str">
        <f aca="false">IF(OR(A378="",B378=""),"",IFERROR(A378-INDEX(Inventory!$B$4:$B$503,MATCH($B378,Inventory!$A$4:$A$503,0)),""))</f>
        <v/>
      </c>
      <c r="O378" s="27" t="str">
        <f aca="false">IF($B378="","",IFERROR(INDEX(Inventory!$F$4:$F$503,MATCH($B378,Inventory!$A$4:$A$503,0)),""))</f>
        <v/>
      </c>
      <c r="P378" s="27" t="str">
        <f aca="false">IF($B378="","",IFERROR(INDEX(Inventory!$C$4:$C$503,MATCH($B378,Inventory!$A$4:$A$503,0)),""))</f>
        <v/>
      </c>
    </row>
    <row r="379" customFormat="false" ht="15" hidden="false" customHeight="false" outlineLevel="0" collapsed="false">
      <c r="A379" s="19"/>
      <c r="B379" s="10"/>
      <c r="C379" s="23" t="str">
        <f aca="false">IF($B379="","",IFERROR(INDEX(Inventory!$E$4:$E$503,MATCH($B379,Inventory!$A$4:$A$503,0)),"SKU not found"))</f>
        <v/>
      </c>
      <c r="D379" s="10"/>
      <c r="E379" s="12"/>
      <c r="F379" s="12"/>
      <c r="G379" s="12"/>
      <c r="H379" s="24" t="str">
        <f aca="false">IF(OR(B379="",D379="",E379=""),"",IFERROR(IF(AND(D379="Poshmark",E379&lt;Settings!$B$20),Settings!$B$21,(E379+IF(INDEX(Settings!$E$4:$E$11,MATCH($D379,Settings!$A$4:$A$11,0))="Y",N(F379),0))*(INDEX(Settings!$B$4:$B$11,MATCH($D379,Settings!$A$4:$A$11,0))+INDEX(Settings!$D$4:$D$11,MATCH($D379,Settings!$A$4:$A$11,0)))+INDEX(Settings!$C$4:$C$11,MATCH($D379,Settings!$A$4:$A$11,0))),0))</f>
        <v/>
      </c>
      <c r="I379" s="12"/>
      <c r="J379" s="12"/>
      <c r="K379" s="24" t="str">
        <f aca="false">IF($B379="","",IFERROR(INDEX(Inventory!$J$4:$J$503,MATCH($B379,Inventory!$A$4:$A$503,0)),0))</f>
        <v/>
      </c>
      <c r="L379" s="24" t="str">
        <f aca="false">IF(OR(B379="",E379=""),"",E379+N(F379)-N(G379)-N(H379)-N(J379)-N(K379))</f>
        <v/>
      </c>
      <c r="M379" s="28" t="str">
        <f aca="false">IF(OR(L379="",N(K379)=0),"",L379/K379)</f>
        <v/>
      </c>
      <c r="N379" s="25" t="str">
        <f aca="false">IF(OR(A379="",B379=""),"",IFERROR(A379-INDEX(Inventory!$B$4:$B$503,MATCH($B379,Inventory!$A$4:$A$503,0)),""))</f>
        <v/>
      </c>
      <c r="O379" s="27" t="str">
        <f aca="false">IF($B379="","",IFERROR(INDEX(Inventory!$F$4:$F$503,MATCH($B379,Inventory!$A$4:$A$503,0)),""))</f>
        <v/>
      </c>
      <c r="P379" s="27" t="str">
        <f aca="false">IF($B379="","",IFERROR(INDEX(Inventory!$C$4:$C$503,MATCH($B379,Inventory!$A$4:$A$503,0)),""))</f>
        <v/>
      </c>
    </row>
    <row r="380" customFormat="false" ht="15" hidden="false" customHeight="false" outlineLevel="0" collapsed="false">
      <c r="A380" s="19"/>
      <c r="B380" s="10"/>
      <c r="C380" s="23" t="str">
        <f aca="false">IF($B380="","",IFERROR(INDEX(Inventory!$E$4:$E$503,MATCH($B380,Inventory!$A$4:$A$503,0)),"SKU not found"))</f>
        <v/>
      </c>
      <c r="D380" s="10"/>
      <c r="E380" s="12"/>
      <c r="F380" s="12"/>
      <c r="G380" s="12"/>
      <c r="H380" s="24" t="str">
        <f aca="false">IF(OR(B380="",D380="",E380=""),"",IFERROR(IF(AND(D380="Poshmark",E380&lt;Settings!$B$20),Settings!$B$21,(E380+IF(INDEX(Settings!$E$4:$E$11,MATCH($D380,Settings!$A$4:$A$11,0))="Y",N(F380),0))*(INDEX(Settings!$B$4:$B$11,MATCH($D380,Settings!$A$4:$A$11,0))+INDEX(Settings!$D$4:$D$11,MATCH($D380,Settings!$A$4:$A$11,0)))+INDEX(Settings!$C$4:$C$11,MATCH($D380,Settings!$A$4:$A$11,0))),0))</f>
        <v/>
      </c>
      <c r="I380" s="12"/>
      <c r="J380" s="12"/>
      <c r="K380" s="24" t="str">
        <f aca="false">IF($B380="","",IFERROR(INDEX(Inventory!$J$4:$J$503,MATCH($B380,Inventory!$A$4:$A$503,0)),0))</f>
        <v/>
      </c>
      <c r="L380" s="24" t="str">
        <f aca="false">IF(OR(B380="",E380=""),"",E380+N(F380)-N(G380)-N(H380)-N(J380)-N(K380))</f>
        <v/>
      </c>
      <c r="M380" s="28" t="str">
        <f aca="false">IF(OR(L380="",N(K380)=0),"",L380/K380)</f>
        <v/>
      </c>
      <c r="N380" s="25" t="str">
        <f aca="false">IF(OR(A380="",B380=""),"",IFERROR(A380-INDEX(Inventory!$B$4:$B$503,MATCH($B380,Inventory!$A$4:$A$503,0)),""))</f>
        <v/>
      </c>
      <c r="O380" s="27" t="str">
        <f aca="false">IF($B380="","",IFERROR(INDEX(Inventory!$F$4:$F$503,MATCH($B380,Inventory!$A$4:$A$503,0)),""))</f>
        <v/>
      </c>
      <c r="P380" s="27" t="str">
        <f aca="false">IF($B380="","",IFERROR(INDEX(Inventory!$C$4:$C$503,MATCH($B380,Inventory!$A$4:$A$503,0)),""))</f>
        <v/>
      </c>
    </row>
    <row r="381" customFormat="false" ht="15" hidden="false" customHeight="false" outlineLevel="0" collapsed="false">
      <c r="A381" s="19"/>
      <c r="B381" s="10"/>
      <c r="C381" s="23" t="str">
        <f aca="false">IF($B381="","",IFERROR(INDEX(Inventory!$E$4:$E$503,MATCH($B381,Inventory!$A$4:$A$503,0)),"SKU not found"))</f>
        <v/>
      </c>
      <c r="D381" s="10"/>
      <c r="E381" s="12"/>
      <c r="F381" s="12"/>
      <c r="G381" s="12"/>
      <c r="H381" s="24" t="str">
        <f aca="false">IF(OR(B381="",D381="",E381=""),"",IFERROR(IF(AND(D381="Poshmark",E381&lt;Settings!$B$20),Settings!$B$21,(E381+IF(INDEX(Settings!$E$4:$E$11,MATCH($D381,Settings!$A$4:$A$11,0))="Y",N(F381),0))*(INDEX(Settings!$B$4:$B$11,MATCH($D381,Settings!$A$4:$A$11,0))+INDEX(Settings!$D$4:$D$11,MATCH($D381,Settings!$A$4:$A$11,0)))+INDEX(Settings!$C$4:$C$11,MATCH($D381,Settings!$A$4:$A$11,0))),0))</f>
        <v/>
      </c>
      <c r="I381" s="12"/>
      <c r="J381" s="12"/>
      <c r="K381" s="24" t="str">
        <f aca="false">IF($B381="","",IFERROR(INDEX(Inventory!$J$4:$J$503,MATCH($B381,Inventory!$A$4:$A$503,0)),0))</f>
        <v/>
      </c>
      <c r="L381" s="24" t="str">
        <f aca="false">IF(OR(B381="",E381=""),"",E381+N(F381)-N(G381)-N(H381)-N(J381)-N(K381))</f>
        <v/>
      </c>
      <c r="M381" s="28" t="str">
        <f aca="false">IF(OR(L381="",N(K381)=0),"",L381/K381)</f>
        <v/>
      </c>
      <c r="N381" s="25" t="str">
        <f aca="false">IF(OR(A381="",B381=""),"",IFERROR(A381-INDEX(Inventory!$B$4:$B$503,MATCH($B381,Inventory!$A$4:$A$503,0)),""))</f>
        <v/>
      </c>
      <c r="O381" s="27" t="str">
        <f aca="false">IF($B381="","",IFERROR(INDEX(Inventory!$F$4:$F$503,MATCH($B381,Inventory!$A$4:$A$503,0)),""))</f>
        <v/>
      </c>
      <c r="P381" s="27" t="str">
        <f aca="false">IF($B381="","",IFERROR(INDEX(Inventory!$C$4:$C$503,MATCH($B381,Inventory!$A$4:$A$503,0)),""))</f>
        <v/>
      </c>
    </row>
    <row r="382" customFormat="false" ht="15" hidden="false" customHeight="false" outlineLevel="0" collapsed="false">
      <c r="A382" s="19"/>
      <c r="B382" s="10"/>
      <c r="C382" s="23" t="str">
        <f aca="false">IF($B382="","",IFERROR(INDEX(Inventory!$E$4:$E$503,MATCH($B382,Inventory!$A$4:$A$503,0)),"SKU not found"))</f>
        <v/>
      </c>
      <c r="D382" s="10"/>
      <c r="E382" s="12"/>
      <c r="F382" s="12"/>
      <c r="G382" s="12"/>
      <c r="H382" s="24" t="str">
        <f aca="false">IF(OR(B382="",D382="",E382=""),"",IFERROR(IF(AND(D382="Poshmark",E382&lt;Settings!$B$20),Settings!$B$21,(E382+IF(INDEX(Settings!$E$4:$E$11,MATCH($D382,Settings!$A$4:$A$11,0))="Y",N(F382),0))*(INDEX(Settings!$B$4:$B$11,MATCH($D382,Settings!$A$4:$A$11,0))+INDEX(Settings!$D$4:$D$11,MATCH($D382,Settings!$A$4:$A$11,0)))+INDEX(Settings!$C$4:$C$11,MATCH($D382,Settings!$A$4:$A$11,0))),0))</f>
        <v/>
      </c>
      <c r="I382" s="12"/>
      <c r="J382" s="12"/>
      <c r="K382" s="24" t="str">
        <f aca="false">IF($B382="","",IFERROR(INDEX(Inventory!$J$4:$J$503,MATCH($B382,Inventory!$A$4:$A$503,0)),0))</f>
        <v/>
      </c>
      <c r="L382" s="24" t="str">
        <f aca="false">IF(OR(B382="",E382=""),"",E382+N(F382)-N(G382)-N(H382)-N(J382)-N(K382))</f>
        <v/>
      </c>
      <c r="M382" s="28" t="str">
        <f aca="false">IF(OR(L382="",N(K382)=0),"",L382/K382)</f>
        <v/>
      </c>
      <c r="N382" s="25" t="str">
        <f aca="false">IF(OR(A382="",B382=""),"",IFERROR(A382-INDEX(Inventory!$B$4:$B$503,MATCH($B382,Inventory!$A$4:$A$503,0)),""))</f>
        <v/>
      </c>
      <c r="O382" s="27" t="str">
        <f aca="false">IF($B382="","",IFERROR(INDEX(Inventory!$F$4:$F$503,MATCH($B382,Inventory!$A$4:$A$503,0)),""))</f>
        <v/>
      </c>
      <c r="P382" s="27" t="str">
        <f aca="false">IF($B382="","",IFERROR(INDEX(Inventory!$C$4:$C$503,MATCH($B382,Inventory!$A$4:$A$503,0)),""))</f>
        <v/>
      </c>
    </row>
    <row r="383" customFormat="false" ht="15" hidden="false" customHeight="false" outlineLevel="0" collapsed="false">
      <c r="A383" s="19"/>
      <c r="B383" s="10"/>
      <c r="C383" s="23" t="str">
        <f aca="false">IF($B383="","",IFERROR(INDEX(Inventory!$E$4:$E$503,MATCH($B383,Inventory!$A$4:$A$503,0)),"SKU not found"))</f>
        <v/>
      </c>
      <c r="D383" s="10"/>
      <c r="E383" s="12"/>
      <c r="F383" s="12"/>
      <c r="G383" s="12"/>
      <c r="H383" s="24" t="str">
        <f aca="false">IF(OR(B383="",D383="",E383=""),"",IFERROR(IF(AND(D383="Poshmark",E383&lt;Settings!$B$20),Settings!$B$21,(E383+IF(INDEX(Settings!$E$4:$E$11,MATCH($D383,Settings!$A$4:$A$11,0))="Y",N(F383),0))*(INDEX(Settings!$B$4:$B$11,MATCH($D383,Settings!$A$4:$A$11,0))+INDEX(Settings!$D$4:$D$11,MATCH($D383,Settings!$A$4:$A$11,0)))+INDEX(Settings!$C$4:$C$11,MATCH($D383,Settings!$A$4:$A$11,0))),0))</f>
        <v/>
      </c>
      <c r="I383" s="12"/>
      <c r="J383" s="12"/>
      <c r="K383" s="24" t="str">
        <f aca="false">IF($B383="","",IFERROR(INDEX(Inventory!$J$4:$J$503,MATCH($B383,Inventory!$A$4:$A$503,0)),0))</f>
        <v/>
      </c>
      <c r="L383" s="24" t="str">
        <f aca="false">IF(OR(B383="",E383=""),"",E383+N(F383)-N(G383)-N(H383)-N(J383)-N(K383))</f>
        <v/>
      </c>
      <c r="M383" s="28" t="str">
        <f aca="false">IF(OR(L383="",N(K383)=0),"",L383/K383)</f>
        <v/>
      </c>
      <c r="N383" s="25" t="str">
        <f aca="false">IF(OR(A383="",B383=""),"",IFERROR(A383-INDEX(Inventory!$B$4:$B$503,MATCH($B383,Inventory!$A$4:$A$503,0)),""))</f>
        <v/>
      </c>
      <c r="O383" s="27" t="str">
        <f aca="false">IF($B383="","",IFERROR(INDEX(Inventory!$F$4:$F$503,MATCH($B383,Inventory!$A$4:$A$503,0)),""))</f>
        <v/>
      </c>
      <c r="P383" s="27" t="str">
        <f aca="false">IF($B383="","",IFERROR(INDEX(Inventory!$C$4:$C$503,MATCH($B383,Inventory!$A$4:$A$503,0)),""))</f>
        <v/>
      </c>
    </row>
    <row r="384" customFormat="false" ht="15" hidden="false" customHeight="false" outlineLevel="0" collapsed="false">
      <c r="A384" s="19"/>
      <c r="B384" s="10"/>
      <c r="C384" s="23" t="str">
        <f aca="false">IF($B384="","",IFERROR(INDEX(Inventory!$E$4:$E$503,MATCH($B384,Inventory!$A$4:$A$503,0)),"SKU not found"))</f>
        <v/>
      </c>
      <c r="D384" s="10"/>
      <c r="E384" s="12"/>
      <c r="F384" s="12"/>
      <c r="G384" s="12"/>
      <c r="H384" s="24" t="str">
        <f aca="false">IF(OR(B384="",D384="",E384=""),"",IFERROR(IF(AND(D384="Poshmark",E384&lt;Settings!$B$20),Settings!$B$21,(E384+IF(INDEX(Settings!$E$4:$E$11,MATCH($D384,Settings!$A$4:$A$11,0))="Y",N(F384),0))*(INDEX(Settings!$B$4:$B$11,MATCH($D384,Settings!$A$4:$A$11,0))+INDEX(Settings!$D$4:$D$11,MATCH($D384,Settings!$A$4:$A$11,0)))+INDEX(Settings!$C$4:$C$11,MATCH($D384,Settings!$A$4:$A$11,0))),0))</f>
        <v/>
      </c>
      <c r="I384" s="12"/>
      <c r="J384" s="12"/>
      <c r="K384" s="24" t="str">
        <f aca="false">IF($B384="","",IFERROR(INDEX(Inventory!$J$4:$J$503,MATCH($B384,Inventory!$A$4:$A$503,0)),0))</f>
        <v/>
      </c>
      <c r="L384" s="24" t="str">
        <f aca="false">IF(OR(B384="",E384=""),"",E384+N(F384)-N(G384)-N(H384)-N(J384)-N(K384))</f>
        <v/>
      </c>
      <c r="M384" s="28" t="str">
        <f aca="false">IF(OR(L384="",N(K384)=0),"",L384/K384)</f>
        <v/>
      </c>
      <c r="N384" s="25" t="str">
        <f aca="false">IF(OR(A384="",B384=""),"",IFERROR(A384-INDEX(Inventory!$B$4:$B$503,MATCH($B384,Inventory!$A$4:$A$503,0)),""))</f>
        <v/>
      </c>
      <c r="O384" s="27" t="str">
        <f aca="false">IF($B384="","",IFERROR(INDEX(Inventory!$F$4:$F$503,MATCH($B384,Inventory!$A$4:$A$503,0)),""))</f>
        <v/>
      </c>
      <c r="P384" s="27" t="str">
        <f aca="false">IF($B384="","",IFERROR(INDEX(Inventory!$C$4:$C$503,MATCH($B384,Inventory!$A$4:$A$503,0)),""))</f>
        <v/>
      </c>
    </row>
    <row r="385" customFormat="false" ht="15" hidden="false" customHeight="false" outlineLevel="0" collapsed="false">
      <c r="A385" s="19"/>
      <c r="B385" s="10"/>
      <c r="C385" s="23" t="str">
        <f aca="false">IF($B385="","",IFERROR(INDEX(Inventory!$E$4:$E$503,MATCH($B385,Inventory!$A$4:$A$503,0)),"SKU not found"))</f>
        <v/>
      </c>
      <c r="D385" s="10"/>
      <c r="E385" s="12"/>
      <c r="F385" s="12"/>
      <c r="G385" s="12"/>
      <c r="H385" s="24" t="str">
        <f aca="false">IF(OR(B385="",D385="",E385=""),"",IFERROR(IF(AND(D385="Poshmark",E385&lt;Settings!$B$20),Settings!$B$21,(E385+IF(INDEX(Settings!$E$4:$E$11,MATCH($D385,Settings!$A$4:$A$11,0))="Y",N(F385),0))*(INDEX(Settings!$B$4:$B$11,MATCH($D385,Settings!$A$4:$A$11,0))+INDEX(Settings!$D$4:$D$11,MATCH($D385,Settings!$A$4:$A$11,0)))+INDEX(Settings!$C$4:$C$11,MATCH($D385,Settings!$A$4:$A$11,0))),0))</f>
        <v/>
      </c>
      <c r="I385" s="12"/>
      <c r="J385" s="12"/>
      <c r="K385" s="24" t="str">
        <f aca="false">IF($B385="","",IFERROR(INDEX(Inventory!$J$4:$J$503,MATCH($B385,Inventory!$A$4:$A$503,0)),0))</f>
        <v/>
      </c>
      <c r="L385" s="24" t="str">
        <f aca="false">IF(OR(B385="",E385=""),"",E385+N(F385)-N(G385)-N(H385)-N(J385)-N(K385))</f>
        <v/>
      </c>
      <c r="M385" s="28" t="str">
        <f aca="false">IF(OR(L385="",N(K385)=0),"",L385/K385)</f>
        <v/>
      </c>
      <c r="N385" s="25" t="str">
        <f aca="false">IF(OR(A385="",B385=""),"",IFERROR(A385-INDEX(Inventory!$B$4:$B$503,MATCH($B385,Inventory!$A$4:$A$503,0)),""))</f>
        <v/>
      </c>
      <c r="O385" s="27" t="str">
        <f aca="false">IF($B385="","",IFERROR(INDEX(Inventory!$F$4:$F$503,MATCH($B385,Inventory!$A$4:$A$503,0)),""))</f>
        <v/>
      </c>
      <c r="P385" s="27" t="str">
        <f aca="false">IF($B385="","",IFERROR(INDEX(Inventory!$C$4:$C$503,MATCH($B385,Inventory!$A$4:$A$503,0)),""))</f>
        <v/>
      </c>
    </row>
    <row r="386" customFormat="false" ht="15" hidden="false" customHeight="false" outlineLevel="0" collapsed="false">
      <c r="A386" s="19"/>
      <c r="B386" s="10"/>
      <c r="C386" s="23" t="str">
        <f aca="false">IF($B386="","",IFERROR(INDEX(Inventory!$E$4:$E$503,MATCH($B386,Inventory!$A$4:$A$503,0)),"SKU not found"))</f>
        <v/>
      </c>
      <c r="D386" s="10"/>
      <c r="E386" s="12"/>
      <c r="F386" s="12"/>
      <c r="G386" s="12"/>
      <c r="H386" s="24" t="str">
        <f aca="false">IF(OR(B386="",D386="",E386=""),"",IFERROR(IF(AND(D386="Poshmark",E386&lt;Settings!$B$20),Settings!$B$21,(E386+IF(INDEX(Settings!$E$4:$E$11,MATCH($D386,Settings!$A$4:$A$11,0))="Y",N(F386),0))*(INDEX(Settings!$B$4:$B$11,MATCH($D386,Settings!$A$4:$A$11,0))+INDEX(Settings!$D$4:$D$11,MATCH($D386,Settings!$A$4:$A$11,0)))+INDEX(Settings!$C$4:$C$11,MATCH($D386,Settings!$A$4:$A$11,0))),0))</f>
        <v/>
      </c>
      <c r="I386" s="12"/>
      <c r="J386" s="12"/>
      <c r="K386" s="24" t="str">
        <f aca="false">IF($B386="","",IFERROR(INDEX(Inventory!$J$4:$J$503,MATCH($B386,Inventory!$A$4:$A$503,0)),0))</f>
        <v/>
      </c>
      <c r="L386" s="24" t="str">
        <f aca="false">IF(OR(B386="",E386=""),"",E386+N(F386)-N(G386)-N(H386)-N(J386)-N(K386))</f>
        <v/>
      </c>
      <c r="M386" s="28" t="str">
        <f aca="false">IF(OR(L386="",N(K386)=0),"",L386/K386)</f>
        <v/>
      </c>
      <c r="N386" s="25" t="str">
        <f aca="false">IF(OR(A386="",B386=""),"",IFERROR(A386-INDEX(Inventory!$B$4:$B$503,MATCH($B386,Inventory!$A$4:$A$503,0)),""))</f>
        <v/>
      </c>
      <c r="O386" s="27" t="str">
        <f aca="false">IF($B386="","",IFERROR(INDEX(Inventory!$F$4:$F$503,MATCH($B386,Inventory!$A$4:$A$503,0)),""))</f>
        <v/>
      </c>
      <c r="P386" s="27" t="str">
        <f aca="false">IF($B386="","",IFERROR(INDEX(Inventory!$C$4:$C$503,MATCH($B386,Inventory!$A$4:$A$503,0)),""))</f>
        <v/>
      </c>
    </row>
    <row r="387" customFormat="false" ht="15" hidden="false" customHeight="false" outlineLevel="0" collapsed="false">
      <c r="A387" s="19"/>
      <c r="B387" s="10"/>
      <c r="C387" s="23" t="str">
        <f aca="false">IF($B387="","",IFERROR(INDEX(Inventory!$E$4:$E$503,MATCH($B387,Inventory!$A$4:$A$503,0)),"SKU not found"))</f>
        <v/>
      </c>
      <c r="D387" s="10"/>
      <c r="E387" s="12"/>
      <c r="F387" s="12"/>
      <c r="G387" s="12"/>
      <c r="H387" s="24" t="str">
        <f aca="false">IF(OR(B387="",D387="",E387=""),"",IFERROR(IF(AND(D387="Poshmark",E387&lt;Settings!$B$20),Settings!$B$21,(E387+IF(INDEX(Settings!$E$4:$E$11,MATCH($D387,Settings!$A$4:$A$11,0))="Y",N(F387),0))*(INDEX(Settings!$B$4:$B$11,MATCH($D387,Settings!$A$4:$A$11,0))+INDEX(Settings!$D$4:$D$11,MATCH($D387,Settings!$A$4:$A$11,0)))+INDEX(Settings!$C$4:$C$11,MATCH($D387,Settings!$A$4:$A$11,0))),0))</f>
        <v/>
      </c>
      <c r="I387" s="12"/>
      <c r="J387" s="12"/>
      <c r="K387" s="24" t="str">
        <f aca="false">IF($B387="","",IFERROR(INDEX(Inventory!$J$4:$J$503,MATCH($B387,Inventory!$A$4:$A$503,0)),0))</f>
        <v/>
      </c>
      <c r="L387" s="24" t="str">
        <f aca="false">IF(OR(B387="",E387=""),"",E387+N(F387)-N(G387)-N(H387)-N(J387)-N(K387))</f>
        <v/>
      </c>
      <c r="M387" s="28" t="str">
        <f aca="false">IF(OR(L387="",N(K387)=0),"",L387/K387)</f>
        <v/>
      </c>
      <c r="N387" s="25" t="str">
        <f aca="false">IF(OR(A387="",B387=""),"",IFERROR(A387-INDEX(Inventory!$B$4:$B$503,MATCH($B387,Inventory!$A$4:$A$503,0)),""))</f>
        <v/>
      </c>
      <c r="O387" s="27" t="str">
        <f aca="false">IF($B387="","",IFERROR(INDEX(Inventory!$F$4:$F$503,MATCH($B387,Inventory!$A$4:$A$503,0)),""))</f>
        <v/>
      </c>
      <c r="P387" s="27" t="str">
        <f aca="false">IF($B387="","",IFERROR(INDEX(Inventory!$C$4:$C$503,MATCH($B387,Inventory!$A$4:$A$503,0)),""))</f>
        <v/>
      </c>
    </row>
    <row r="388" customFormat="false" ht="15" hidden="false" customHeight="false" outlineLevel="0" collapsed="false">
      <c r="A388" s="19"/>
      <c r="B388" s="10"/>
      <c r="C388" s="23" t="str">
        <f aca="false">IF($B388="","",IFERROR(INDEX(Inventory!$E$4:$E$503,MATCH($B388,Inventory!$A$4:$A$503,0)),"SKU not found"))</f>
        <v/>
      </c>
      <c r="D388" s="10"/>
      <c r="E388" s="12"/>
      <c r="F388" s="12"/>
      <c r="G388" s="12"/>
      <c r="H388" s="24" t="str">
        <f aca="false">IF(OR(B388="",D388="",E388=""),"",IFERROR(IF(AND(D388="Poshmark",E388&lt;Settings!$B$20),Settings!$B$21,(E388+IF(INDEX(Settings!$E$4:$E$11,MATCH($D388,Settings!$A$4:$A$11,0))="Y",N(F388),0))*(INDEX(Settings!$B$4:$B$11,MATCH($D388,Settings!$A$4:$A$11,0))+INDEX(Settings!$D$4:$D$11,MATCH($D388,Settings!$A$4:$A$11,0)))+INDEX(Settings!$C$4:$C$11,MATCH($D388,Settings!$A$4:$A$11,0))),0))</f>
        <v/>
      </c>
      <c r="I388" s="12"/>
      <c r="J388" s="12"/>
      <c r="K388" s="24" t="str">
        <f aca="false">IF($B388="","",IFERROR(INDEX(Inventory!$J$4:$J$503,MATCH($B388,Inventory!$A$4:$A$503,0)),0))</f>
        <v/>
      </c>
      <c r="L388" s="24" t="str">
        <f aca="false">IF(OR(B388="",E388=""),"",E388+N(F388)-N(G388)-N(H388)-N(J388)-N(K388))</f>
        <v/>
      </c>
      <c r="M388" s="28" t="str">
        <f aca="false">IF(OR(L388="",N(K388)=0),"",L388/K388)</f>
        <v/>
      </c>
      <c r="N388" s="25" t="str">
        <f aca="false">IF(OR(A388="",B388=""),"",IFERROR(A388-INDEX(Inventory!$B$4:$B$503,MATCH($B388,Inventory!$A$4:$A$503,0)),""))</f>
        <v/>
      </c>
      <c r="O388" s="27" t="str">
        <f aca="false">IF($B388="","",IFERROR(INDEX(Inventory!$F$4:$F$503,MATCH($B388,Inventory!$A$4:$A$503,0)),""))</f>
        <v/>
      </c>
      <c r="P388" s="27" t="str">
        <f aca="false">IF($B388="","",IFERROR(INDEX(Inventory!$C$4:$C$503,MATCH($B388,Inventory!$A$4:$A$503,0)),""))</f>
        <v/>
      </c>
    </row>
    <row r="389" customFormat="false" ht="15" hidden="false" customHeight="false" outlineLevel="0" collapsed="false">
      <c r="A389" s="19"/>
      <c r="B389" s="10"/>
      <c r="C389" s="23" t="str">
        <f aca="false">IF($B389="","",IFERROR(INDEX(Inventory!$E$4:$E$503,MATCH($B389,Inventory!$A$4:$A$503,0)),"SKU not found"))</f>
        <v/>
      </c>
      <c r="D389" s="10"/>
      <c r="E389" s="12"/>
      <c r="F389" s="12"/>
      <c r="G389" s="12"/>
      <c r="H389" s="24" t="str">
        <f aca="false">IF(OR(B389="",D389="",E389=""),"",IFERROR(IF(AND(D389="Poshmark",E389&lt;Settings!$B$20),Settings!$B$21,(E389+IF(INDEX(Settings!$E$4:$E$11,MATCH($D389,Settings!$A$4:$A$11,0))="Y",N(F389),0))*(INDEX(Settings!$B$4:$B$11,MATCH($D389,Settings!$A$4:$A$11,0))+INDEX(Settings!$D$4:$D$11,MATCH($D389,Settings!$A$4:$A$11,0)))+INDEX(Settings!$C$4:$C$11,MATCH($D389,Settings!$A$4:$A$11,0))),0))</f>
        <v/>
      </c>
      <c r="I389" s="12"/>
      <c r="J389" s="12"/>
      <c r="K389" s="24" t="str">
        <f aca="false">IF($B389="","",IFERROR(INDEX(Inventory!$J$4:$J$503,MATCH($B389,Inventory!$A$4:$A$503,0)),0))</f>
        <v/>
      </c>
      <c r="L389" s="24" t="str">
        <f aca="false">IF(OR(B389="",E389=""),"",E389+N(F389)-N(G389)-N(H389)-N(J389)-N(K389))</f>
        <v/>
      </c>
      <c r="M389" s="28" t="str">
        <f aca="false">IF(OR(L389="",N(K389)=0),"",L389/K389)</f>
        <v/>
      </c>
      <c r="N389" s="25" t="str">
        <f aca="false">IF(OR(A389="",B389=""),"",IFERROR(A389-INDEX(Inventory!$B$4:$B$503,MATCH($B389,Inventory!$A$4:$A$503,0)),""))</f>
        <v/>
      </c>
      <c r="O389" s="27" t="str">
        <f aca="false">IF($B389="","",IFERROR(INDEX(Inventory!$F$4:$F$503,MATCH($B389,Inventory!$A$4:$A$503,0)),""))</f>
        <v/>
      </c>
      <c r="P389" s="27" t="str">
        <f aca="false">IF($B389="","",IFERROR(INDEX(Inventory!$C$4:$C$503,MATCH($B389,Inventory!$A$4:$A$503,0)),""))</f>
        <v/>
      </c>
    </row>
    <row r="390" customFormat="false" ht="15" hidden="false" customHeight="false" outlineLevel="0" collapsed="false">
      <c r="A390" s="19"/>
      <c r="B390" s="10"/>
      <c r="C390" s="23" t="str">
        <f aca="false">IF($B390="","",IFERROR(INDEX(Inventory!$E$4:$E$503,MATCH($B390,Inventory!$A$4:$A$503,0)),"SKU not found"))</f>
        <v/>
      </c>
      <c r="D390" s="10"/>
      <c r="E390" s="12"/>
      <c r="F390" s="12"/>
      <c r="G390" s="12"/>
      <c r="H390" s="24" t="str">
        <f aca="false">IF(OR(B390="",D390="",E390=""),"",IFERROR(IF(AND(D390="Poshmark",E390&lt;Settings!$B$20),Settings!$B$21,(E390+IF(INDEX(Settings!$E$4:$E$11,MATCH($D390,Settings!$A$4:$A$11,0))="Y",N(F390),0))*(INDEX(Settings!$B$4:$B$11,MATCH($D390,Settings!$A$4:$A$11,0))+INDEX(Settings!$D$4:$D$11,MATCH($D390,Settings!$A$4:$A$11,0)))+INDEX(Settings!$C$4:$C$11,MATCH($D390,Settings!$A$4:$A$11,0))),0))</f>
        <v/>
      </c>
      <c r="I390" s="12"/>
      <c r="J390" s="12"/>
      <c r="K390" s="24" t="str">
        <f aca="false">IF($B390="","",IFERROR(INDEX(Inventory!$J$4:$J$503,MATCH($B390,Inventory!$A$4:$A$503,0)),0))</f>
        <v/>
      </c>
      <c r="L390" s="24" t="str">
        <f aca="false">IF(OR(B390="",E390=""),"",E390+N(F390)-N(G390)-N(H390)-N(J390)-N(K390))</f>
        <v/>
      </c>
      <c r="M390" s="28" t="str">
        <f aca="false">IF(OR(L390="",N(K390)=0),"",L390/K390)</f>
        <v/>
      </c>
      <c r="N390" s="25" t="str">
        <f aca="false">IF(OR(A390="",B390=""),"",IFERROR(A390-INDEX(Inventory!$B$4:$B$503,MATCH($B390,Inventory!$A$4:$A$503,0)),""))</f>
        <v/>
      </c>
      <c r="O390" s="27" t="str">
        <f aca="false">IF($B390="","",IFERROR(INDEX(Inventory!$F$4:$F$503,MATCH($B390,Inventory!$A$4:$A$503,0)),""))</f>
        <v/>
      </c>
      <c r="P390" s="27" t="str">
        <f aca="false">IF($B390="","",IFERROR(INDEX(Inventory!$C$4:$C$503,MATCH($B390,Inventory!$A$4:$A$503,0)),""))</f>
        <v/>
      </c>
    </row>
    <row r="391" customFormat="false" ht="15" hidden="false" customHeight="false" outlineLevel="0" collapsed="false">
      <c r="A391" s="19"/>
      <c r="B391" s="10"/>
      <c r="C391" s="23" t="str">
        <f aca="false">IF($B391="","",IFERROR(INDEX(Inventory!$E$4:$E$503,MATCH($B391,Inventory!$A$4:$A$503,0)),"SKU not found"))</f>
        <v/>
      </c>
      <c r="D391" s="10"/>
      <c r="E391" s="12"/>
      <c r="F391" s="12"/>
      <c r="G391" s="12"/>
      <c r="H391" s="24" t="str">
        <f aca="false">IF(OR(B391="",D391="",E391=""),"",IFERROR(IF(AND(D391="Poshmark",E391&lt;Settings!$B$20),Settings!$B$21,(E391+IF(INDEX(Settings!$E$4:$E$11,MATCH($D391,Settings!$A$4:$A$11,0))="Y",N(F391),0))*(INDEX(Settings!$B$4:$B$11,MATCH($D391,Settings!$A$4:$A$11,0))+INDEX(Settings!$D$4:$D$11,MATCH($D391,Settings!$A$4:$A$11,0)))+INDEX(Settings!$C$4:$C$11,MATCH($D391,Settings!$A$4:$A$11,0))),0))</f>
        <v/>
      </c>
      <c r="I391" s="12"/>
      <c r="J391" s="12"/>
      <c r="K391" s="24" t="str">
        <f aca="false">IF($B391="","",IFERROR(INDEX(Inventory!$J$4:$J$503,MATCH($B391,Inventory!$A$4:$A$503,0)),0))</f>
        <v/>
      </c>
      <c r="L391" s="24" t="str">
        <f aca="false">IF(OR(B391="",E391=""),"",E391+N(F391)-N(G391)-N(H391)-N(J391)-N(K391))</f>
        <v/>
      </c>
      <c r="M391" s="28" t="str">
        <f aca="false">IF(OR(L391="",N(K391)=0),"",L391/K391)</f>
        <v/>
      </c>
      <c r="N391" s="25" t="str">
        <f aca="false">IF(OR(A391="",B391=""),"",IFERROR(A391-INDEX(Inventory!$B$4:$B$503,MATCH($B391,Inventory!$A$4:$A$503,0)),""))</f>
        <v/>
      </c>
      <c r="O391" s="27" t="str">
        <f aca="false">IF($B391="","",IFERROR(INDEX(Inventory!$F$4:$F$503,MATCH($B391,Inventory!$A$4:$A$503,0)),""))</f>
        <v/>
      </c>
      <c r="P391" s="27" t="str">
        <f aca="false">IF($B391="","",IFERROR(INDEX(Inventory!$C$4:$C$503,MATCH($B391,Inventory!$A$4:$A$503,0)),""))</f>
        <v/>
      </c>
    </row>
    <row r="392" customFormat="false" ht="15" hidden="false" customHeight="false" outlineLevel="0" collapsed="false">
      <c r="A392" s="19"/>
      <c r="B392" s="10"/>
      <c r="C392" s="23" t="str">
        <f aca="false">IF($B392="","",IFERROR(INDEX(Inventory!$E$4:$E$503,MATCH($B392,Inventory!$A$4:$A$503,0)),"SKU not found"))</f>
        <v/>
      </c>
      <c r="D392" s="10"/>
      <c r="E392" s="12"/>
      <c r="F392" s="12"/>
      <c r="G392" s="12"/>
      <c r="H392" s="24" t="str">
        <f aca="false">IF(OR(B392="",D392="",E392=""),"",IFERROR(IF(AND(D392="Poshmark",E392&lt;Settings!$B$20),Settings!$B$21,(E392+IF(INDEX(Settings!$E$4:$E$11,MATCH($D392,Settings!$A$4:$A$11,0))="Y",N(F392),0))*(INDEX(Settings!$B$4:$B$11,MATCH($D392,Settings!$A$4:$A$11,0))+INDEX(Settings!$D$4:$D$11,MATCH($D392,Settings!$A$4:$A$11,0)))+INDEX(Settings!$C$4:$C$11,MATCH($D392,Settings!$A$4:$A$11,0))),0))</f>
        <v/>
      </c>
      <c r="I392" s="12"/>
      <c r="J392" s="12"/>
      <c r="K392" s="24" t="str">
        <f aca="false">IF($B392="","",IFERROR(INDEX(Inventory!$J$4:$J$503,MATCH($B392,Inventory!$A$4:$A$503,0)),0))</f>
        <v/>
      </c>
      <c r="L392" s="24" t="str">
        <f aca="false">IF(OR(B392="",E392=""),"",E392+N(F392)-N(G392)-N(H392)-N(J392)-N(K392))</f>
        <v/>
      </c>
      <c r="M392" s="28" t="str">
        <f aca="false">IF(OR(L392="",N(K392)=0),"",L392/K392)</f>
        <v/>
      </c>
      <c r="N392" s="25" t="str">
        <f aca="false">IF(OR(A392="",B392=""),"",IFERROR(A392-INDEX(Inventory!$B$4:$B$503,MATCH($B392,Inventory!$A$4:$A$503,0)),""))</f>
        <v/>
      </c>
      <c r="O392" s="27" t="str">
        <f aca="false">IF($B392="","",IFERROR(INDEX(Inventory!$F$4:$F$503,MATCH($B392,Inventory!$A$4:$A$503,0)),""))</f>
        <v/>
      </c>
      <c r="P392" s="27" t="str">
        <f aca="false">IF($B392="","",IFERROR(INDEX(Inventory!$C$4:$C$503,MATCH($B392,Inventory!$A$4:$A$503,0)),""))</f>
        <v/>
      </c>
    </row>
    <row r="393" customFormat="false" ht="15" hidden="false" customHeight="false" outlineLevel="0" collapsed="false">
      <c r="A393" s="19"/>
      <c r="B393" s="10"/>
      <c r="C393" s="23" t="str">
        <f aca="false">IF($B393="","",IFERROR(INDEX(Inventory!$E$4:$E$503,MATCH($B393,Inventory!$A$4:$A$503,0)),"SKU not found"))</f>
        <v/>
      </c>
      <c r="D393" s="10"/>
      <c r="E393" s="12"/>
      <c r="F393" s="12"/>
      <c r="G393" s="12"/>
      <c r="H393" s="24" t="str">
        <f aca="false">IF(OR(B393="",D393="",E393=""),"",IFERROR(IF(AND(D393="Poshmark",E393&lt;Settings!$B$20),Settings!$B$21,(E393+IF(INDEX(Settings!$E$4:$E$11,MATCH($D393,Settings!$A$4:$A$11,0))="Y",N(F393),0))*(INDEX(Settings!$B$4:$B$11,MATCH($D393,Settings!$A$4:$A$11,0))+INDEX(Settings!$D$4:$D$11,MATCH($D393,Settings!$A$4:$A$11,0)))+INDEX(Settings!$C$4:$C$11,MATCH($D393,Settings!$A$4:$A$11,0))),0))</f>
        <v/>
      </c>
      <c r="I393" s="12"/>
      <c r="J393" s="12"/>
      <c r="K393" s="24" t="str">
        <f aca="false">IF($B393="","",IFERROR(INDEX(Inventory!$J$4:$J$503,MATCH($B393,Inventory!$A$4:$A$503,0)),0))</f>
        <v/>
      </c>
      <c r="L393" s="24" t="str">
        <f aca="false">IF(OR(B393="",E393=""),"",E393+N(F393)-N(G393)-N(H393)-N(J393)-N(K393))</f>
        <v/>
      </c>
      <c r="M393" s="28" t="str">
        <f aca="false">IF(OR(L393="",N(K393)=0),"",L393/K393)</f>
        <v/>
      </c>
      <c r="N393" s="25" t="str">
        <f aca="false">IF(OR(A393="",B393=""),"",IFERROR(A393-INDEX(Inventory!$B$4:$B$503,MATCH($B393,Inventory!$A$4:$A$503,0)),""))</f>
        <v/>
      </c>
      <c r="O393" s="27" t="str">
        <f aca="false">IF($B393="","",IFERROR(INDEX(Inventory!$F$4:$F$503,MATCH($B393,Inventory!$A$4:$A$503,0)),""))</f>
        <v/>
      </c>
      <c r="P393" s="27" t="str">
        <f aca="false">IF($B393="","",IFERROR(INDEX(Inventory!$C$4:$C$503,MATCH($B393,Inventory!$A$4:$A$503,0)),""))</f>
        <v/>
      </c>
    </row>
    <row r="394" customFormat="false" ht="15" hidden="false" customHeight="false" outlineLevel="0" collapsed="false">
      <c r="A394" s="19"/>
      <c r="B394" s="10"/>
      <c r="C394" s="23" t="str">
        <f aca="false">IF($B394="","",IFERROR(INDEX(Inventory!$E$4:$E$503,MATCH($B394,Inventory!$A$4:$A$503,0)),"SKU not found"))</f>
        <v/>
      </c>
      <c r="D394" s="10"/>
      <c r="E394" s="12"/>
      <c r="F394" s="12"/>
      <c r="G394" s="12"/>
      <c r="H394" s="24" t="str">
        <f aca="false">IF(OR(B394="",D394="",E394=""),"",IFERROR(IF(AND(D394="Poshmark",E394&lt;Settings!$B$20),Settings!$B$21,(E394+IF(INDEX(Settings!$E$4:$E$11,MATCH($D394,Settings!$A$4:$A$11,0))="Y",N(F394),0))*(INDEX(Settings!$B$4:$B$11,MATCH($D394,Settings!$A$4:$A$11,0))+INDEX(Settings!$D$4:$D$11,MATCH($D394,Settings!$A$4:$A$11,0)))+INDEX(Settings!$C$4:$C$11,MATCH($D394,Settings!$A$4:$A$11,0))),0))</f>
        <v/>
      </c>
      <c r="I394" s="12"/>
      <c r="J394" s="12"/>
      <c r="K394" s="24" t="str">
        <f aca="false">IF($B394="","",IFERROR(INDEX(Inventory!$J$4:$J$503,MATCH($B394,Inventory!$A$4:$A$503,0)),0))</f>
        <v/>
      </c>
      <c r="L394" s="24" t="str">
        <f aca="false">IF(OR(B394="",E394=""),"",E394+N(F394)-N(G394)-N(H394)-N(J394)-N(K394))</f>
        <v/>
      </c>
      <c r="M394" s="28" t="str">
        <f aca="false">IF(OR(L394="",N(K394)=0),"",L394/K394)</f>
        <v/>
      </c>
      <c r="N394" s="25" t="str">
        <f aca="false">IF(OR(A394="",B394=""),"",IFERROR(A394-INDEX(Inventory!$B$4:$B$503,MATCH($B394,Inventory!$A$4:$A$503,0)),""))</f>
        <v/>
      </c>
      <c r="O394" s="27" t="str">
        <f aca="false">IF($B394="","",IFERROR(INDEX(Inventory!$F$4:$F$503,MATCH($B394,Inventory!$A$4:$A$503,0)),""))</f>
        <v/>
      </c>
      <c r="P394" s="27" t="str">
        <f aca="false">IF($B394="","",IFERROR(INDEX(Inventory!$C$4:$C$503,MATCH($B394,Inventory!$A$4:$A$503,0)),""))</f>
        <v/>
      </c>
    </row>
    <row r="395" customFormat="false" ht="15" hidden="false" customHeight="false" outlineLevel="0" collapsed="false">
      <c r="A395" s="19"/>
      <c r="B395" s="10"/>
      <c r="C395" s="23" t="str">
        <f aca="false">IF($B395="","",IFERROR(INDEX(Inventory!$E$4:$E$503,MATCH($B395,Inventory!$A$4:$A$503,0)),"SKU not found"))</f>
        <v/>
      </c>
      <c r="D395" s="10"/>
      <c r="E395" s="12"/>
      <c r="F395" s="12"/>
      <c r="G395" s="12"/>
      <c r="H395" s="24" t="str">
        <f aca="false">IF(OR(B395="",D395="",E395=""),"",IFERROR(IF(AND(D395="Poshmark",E395&lt;Settings!$B$20),Settings!$B$21,(E395+IF(INDEX(Settings!$E$4:$E$11,MATCH($D395,Settings!$A$4:$A$11,0))="Y",N(F395),0))*(INDEX(Settings!$B$4:$B$11,MATCH($D395,Settings!$A$4:$A$11,0))+INDEX(Settings!$D$4:$D$11,MATCH($D395,Settings!$A$4:$A$11,0)))+INDEX(Settings!$C$4:$C$11,MATCH($D395,Settings!$A$4:$A$11,0))),0))</f>
        <v/>
      </c>
      <c r="I395" s="12"/>
      <c r="J395" s="12"/>
      <c r="K395" s="24" t="str">
        <f aca="false">IF($B395="","",IFERROR(INDEX(Inventory!$J$4:$J$503,MATCH($B395,Inventory!$A$4:$A$503,0)),0))</f>
        <v/>
      </c>
      <c r="L395" s="24" t="str">
        <f aca="false">IF(OR(B395="",E395=""),"",E395+N(F395)-N(G395)-N(H395)-N(J395)-N(K395))</f>
        <v/>
      </c>
      <c r="M395" s="28" t="str">
        <f aca="false">IF(OR(L395="",N(K395)=0),"",L395/K395)</f>
        <v/>
      </c>
      <c r="N395" s="25" t="str">
        <f aca="false">IF(OR(A395="",B395=""),"",IFERROR(A395-INDEX(Inventory!$B$4:$B$503,MATCH($B395,Inventory!$A$4:$A$503,0)),""))</f>
        <v/>
      </c>
      <c r="O395" s="27" t="str">
        <f aca="false">IF($B395="","",IFERROR(INDEX(Inventory!$F$4:$F$503,MATCH($B395,Inventory!$A$4:$A$503,0)),""))</f>
        <v/>
      </c>
      <c r="P395" s="27" t="str">
        <f aca="false">IF($B395="","",IFERROR(INDEX(Inventory!$C$4:$C$503,MATCH($B395,Inventory!$A$4:$A$503,0)),""))</f>
        <v/>
      </c>
    </row>
    <row r="396" customFormat="false" ht="15" hidden="false" customHeight="false" outlineLevel="0" collapsed="false">
      <c r="A396" s="19"/>
      <c r="B396" s="10"/>
      <c r="C396" s="23" t="str">
        <f aca="false">IF($B396="","",IFERROR(INDEX(Inventory!$E$4:$E$503,MATCH($B396,Inventory!$A$4:$A$503,0)),"SKU not found"))</f>
        <v/>
      </c>
      <c r="D396" s="10"/>
      <c r="E396" s="12"/>
      <c r="F396" s="12"/>
      <c r="G396" s="12"/>
      <c r="H396" s="24" t="str">
        <f aca="false">IF(OR(B396="",D396="",E396=""),"",IFERROR(IF(AND(D396="Poshmark",E396&lt;Settings!$B$20),Settings!$B$21,(E396+IF(INDEX(Settings!$E$4:$E$11,MATCH($D396,Settings!$A$4:$A$11,0))="Y",N(F396),0))*(INDEX(Settings!$B$4:$B$11,MATCH($D396,Settings!$A$4:$A$11,0))+INDEX(Settings!$D$4:$D$11,MATCH($D396,Settings!$A$4:$A$11,0)))+INDEX(Settings!$C$4:$C$11,MATCH($D396,Settings!$A$4:$A$11,0))),0))</f>
        <v/>
      </c>
      <c r="I396" s="12"/>
      <c r="J396" s="12"/>
      <c r="K396" s="24" t="str">
        <f aca="false">IF($B396="","",IFERROR(INDEX(Inventory!$J$4:$J$503,MATCH($B396,Inventory!$A$4:$A$503,0)),0))</f>
        <v/>
      </c>
      <c r="L396" s="24" t="str">
        <f aca="false">IF(OR(B396="",E396=""),"",E396+N(F396)-N(G396)-N(H396)-N(J396)-N(K396))</f>
        <v/>
      </c>
      <c r="M396" s="28" t="str">
        <f aca="false">IF(OR(L396="",N(K396)=0),"",L396/K396)</f>
        <v/>
      </c>
      <c r="N396" s="25" t="str">
        <f aca="false">IF(OR(A396="",B396=""),"",IFERROR(A396-INDEX(Inventory!$B$4:$B$503,MATCH($B396,Inventory!$A$4:$A$503,0)),""))</f>
        <v/>
      </c>
      <c r="O396" s="27" t="str">
        <f aca="false">IF($B396="","",IFERROR(INDEX(Inventory!$F$4:$F$503,MATCH($B396,Inventory!$A$4:$A$503,0)),""))</f>
        <v/>
      </c>
      <c r="P396" s="27" t="str">
        <f aca="false">IF($B396="","",IFERROR(INDEX(Inventory!$C$4:$C$503,MATCH($B396,Inventory!$A$4:$A$503,0)),""))</f>
        <v/>
      </c>
    </row>
    <row r="397" customFormat="false" ht="15" hidden="false" customHeight="false" outlineLevel="0" collapsed="false">
      <c r="A397" s="19"/>
      <c r="B397" s="10"/>
      <c r="C397" s="23" t="str">
        <f aca="false">IF($B397="","",IFERROR(INDEX(Inventory!$E$4:$E$503,MATCH($B397,Inventory!$A$4:$A$503,0)),"SKU not found"))</f>
        <v/>
      </c>
      <c r="D397" s="10"/>
      <c r="E397" s="12"/>
      <c r="F397" s="12"/>
      <c r="G397" s="12"/>
      <c r="H397" s="24" t="str">
        <f aca="false">IF(OR(B397="",D397="",E397=""),"",IFERROR(IF(AND(D397="Poshmark",E397&lt;Settings!$B$20),Settings!$B$21,(E397+IF(INDEX(Settings!$E$4:$E$11,MATCH($D397,Settings!$A$4:$A$11,0))="Y",N(F397),0))*(INDEX(Settings!$B$4:$B$11,MATCH($D397,Settings!$A$4:$A$11,0))+INDEX(Settings!$D$4:$D$11,MATCH($D397,Settings!$A$4:$A$11,0)))+INDEX(Settings!$C$4:$C$11,MATCH($D397,Settings!$A$4:$A$11,0))),0))</f>
        <v/>
      </c>
      <c r="I397" s="12"/>
      <c r="J397" s="12"/>
      <c r="K397" s="24" t="str">
        <f aca="false">IF($B397="","",IFERROR(INDEX(Inventory!$J$4:$J$503,MATCH($B397,Inventory!$A$4:$A$503,0)),0))</f>
        <v/>
      </c>
      <c r="L397" s="24" t="str">
        <f aca="false">IF(OR(B397="",E397=""),"",E397+N(F397)-N(G397)-N(H397)-N(J397)-N(K397))</f>
        <v/>
      </c>
      <c r="M397" s="28" t="str">
        <f aca="false">IF(OR(L397="",N(K397)=0),"",L397/K397)</f>
        <v/>
      </c>
      <c r="N397" s="25" t="str">
        <f aca="false">IF(OR(A397="",B397=""),"",IFERROR(A397-INDEX(Inventory!$B$4:$B$503,MATCH($B397,Inventory!$A$4:$A$503,0)),""))</f>
        <v/>
      </c>
      <c r="O397" s="27" t="str">
        <f aca="false">IF($B397="","",IFERROR(INDEX(Inventory!$F$4:$F$503,MATCH($B397,Inventory!$A$4:$A$503,0)),""))</f>
        <v/>
      </c>
      <c r="P397" s="27" t="str">
        <f aca="false">IF($B397="","",IFERROR(INDEX(Inventory!$C$4:$C$503,MATCH($B397,Inventory!$A$4:$A$503,0)),""))</f>
        <v/>
      </c>
    </row>
    <row r="398" customFormat="false" ht="15" hidden="false" customHeight="false" outlineLevel="0" collapsed="false">
      <c r="A398" s="19"/>
      <c r="B398" s="10"/>
      <c r="C398" s="23" t="str">
        <f aca="false">IF($B398="","",IFERROR(INDEX(Inventory!$E$4:$E$503,MATCH($B398,Inventory!$A$4:$A$503,0)),"SKU not found"))</f>
        <v/>
      </c>
      <c r="D398" s="10"/>
      <c r="E398" s="12"/>
      <c r="F398" s="12"/>
      <c r="G398" s="12"/>
      <c r="H398" s="24" t="str">
        <f aca="false">IF(OR(B398="",D398="",E398=""),"",IFERROR(IF(AND(D398="Poshmark",E398&lt;Settings!$B$20),Settings!$B$21,(E398+IF(INDEX(Settings!$E$4:$E$11,MATCH($D398,Settings!$A$4:$A$11,0))="Y",N(F398),0))*(INDEX(Settings!$B$4:$B$11,MATCH($D398,Settings!$A$4:$A$11,0))+INDEX(Settings!$D$4:$D$11,MATCH($D398,Settings!$A$4:$A$11,0)))+INDEX(Settings!$C$4:$C$11,MATCH($D398,Settings!$A$4:$A$11,0))),0))</f>
        <v/>
      </c>
      <c r="I398" s="12"/>
      <c r="J398" s="12"/>
      <c r="K398" s="24" t="str">
        <f aca="false">IF($B398="","",IFERROR(INDEX(Inventory!$J$4:$J$503,MATCH($B398,Inventory!$A$4:$A$503,0)),0))</f>
        <v/>
      </c>
      <c r="L398" s="24" t="str">
        <f aca="false">IF(OR(B398="",E398=""),"",E398+N(F398)-N(G398)-N(H398)-N(J398)-N(K398))</f>
        <v/>
      </c>
      <c r="M398" s="28" t="str">
        <f aca="false">IF(OR(L398="",N(K398)=0),"",L398/K398)</f>
        <v/>
      </c>
      <c r="N398" s="25" t="str">
        <f aca="false">IF(OR(A398="",B398=""),"",IFERROR(A398-INDEX(Inventory!$B$4:$B$503,MATCH($B398,Inventory!$A$4:$A$503,0)),""))</f>
        <v/>
      </c>
      <c r="O398" s="27" t="str">
        <f aca="false">IF($B398="","",IFERROR(INDEX(Inventory!$F$4:$F$503,MATCH($B398,Inventory!$A$4:$A$503,0)),""))</f>
        <v/>
      </c>
      <c r="P398" s="27" t="str">
        <f aca="false">IF($B398="","",IFERROR(INDEX(Inventory!$C$4:$C$503,MATCH($B398,Inventory!$A$4:$A$503,0)),""))</f>
        <v/>
      </c>
    </row>
    <row r="399" customFormat="false" ht="15" hidden="false" customHeight="false" outlineLevel="0" collapsed="false">
      <c r="A399" s="19"/>
      <c r="B399" s="10"/>
      <c r="C399" s="23" t="str">
        <f aca="false">IF($B399="","",IFERROR(INDEX(Inventory!$E$4:$E$503,MATCH($B399,Inventory!$A$4:$A$503,0)),"SKU not found"))</f>
        <v/>
      </c>
      <c r="D399" s="10"/>
      <c r="E399" s="12"/>
      <c r="F399" s="12"/>
      <c r="G399" s="12"/>
      <c r="H399" s="24" t="str">
        <f aca="false">IF(OR(B399="",D399="",E399=""),"",IFERROR(IF(AND(D399="Poshmark",E399&lt;Settings!$B$20),Settings!$B$21,(E399+IF(INDEX(Settings!$E$4:$E$11,MATCH($D399,Settings!$A$4:$A$11,0))="Y",N(F399),0))*(INDEX(Settings!$B$4:$B$11,MATCH($D399,Settings!$A$4:$A$11,0))+INDEX(Settings!$D$4:$D$11,MATCH($D399,Settings!$A$4:$A$11,0)))+INDEX(Settings!$C$4:$C$11,MATCH($D399,Settings!$A$4:$A$11,0))),0))</f>
        <v/>
      </c>
      <c r="I399" s="12"/>
      <c r="J399" s="12"/>
      <c r="K399" s="24" t="str">
        <f aca="false">IF($B399="","",IFERROR(INDEX(Inventory!$J$4:$J$503,MATCH($B399,Inventory!$A$4:$A$503,0)),0))</f>
        <v/>
      </c>
      <c r="L399" s="24" t="str">
        <f aca="false">IF(OR(B399="",E399=""),"",E399+N(F399)-N(G399)-N(H399)-N(J399)-N(K399))</f>
        <v/>
      </c>
      <c r="M399" s="28" t="str">
        <f aca="false">IF(OR(L399="",N(K399)=0),"",L399/K399)</f>
        <v/>
      </c>
      <c r="N399" s="25" t="str">
        <f aca="false">IF(OR(A399="",B399=""),"",IFERROR(A399-INDEX(Inventory!$B$4:$B$503,MATCH($B399,Inventory!$A$4:$A$503,0)),""))</f>
        <v/>
      </c>
      <c r="O399" s="27" t="str">
        <f aca="false">IF($B399="","",IFERROR(INDEX(Inventory!$F$4:$F$503,MATCH($B399,Inventory!$A$4:$A$503,0)),""))</f>
        <v/>
      </c>
      <c r="P399" s="27" t="str">
        <f aca="false">IF($B399="","",IFERROR(INDEX(Inventory!$C$4:$C$503,MATCH($B399,Inventory!$A$4:$A$503,0)),""))</f>
        <v/>
      </c>
    </row>
    <row r="400" customFormat="false" ht="15" hidden="false" customHeight="false" outlineLevel="0" collapsed="false">
      <c r="A400" s="19"/>
      <c r="B400" s="10"/>
      <c r="C400" s="23" t="str">
        <f aca="false">IF($B400="","",IFERROR(INDEX(Inventory!$E$4:$E$503,MATCH($B400,Inventory!$A$4:$A$503,0)),"SKU not found"))</f>
        <v/>
      </c>
      <c r="D400" s="10"/>
      <c r="E400" s="12"/>
      <c r="F400" s="12"/>
      <c r="G400" s="12"/>
      <c r="H400" s="24" t="str">
        <f aca="false">IF(OR(B400="",D400="",E400=""),"",IFERROR(IF(AND(D400="Poshmark",E400&lt;Settings!$B$20),Settings!$B$21,(E400+IF(INDEX(Settings!$E$4:$E$11,MATCH($D400,Settings!$A$4:$A$11,0))="Y",N(F400),0))*(INDEX(Settings!$B$4:$B$11,MATCH($D400,Settings!$A$4:$A$11,0))+INDEX(Settings!$D$4:$D$11,MATCH($D400,Settings!$A$4:$A$11,0)))+INDEX(Settings!$C$4:$C$11,MATCH($D400,Settings!$A$4:$A$11,0))),0))</f>
        <v/>
      </c>
      <c r="I400" s="12"/>
      <c r="J400" s="12"/>
      <c r="K400" s="24" t="str">
        <f aca="false">IF($B400="","",IFERROR(INDEX(Inventory!$J$4:$J$503,MATCH($B400,Inventory!$A$4:$A$503,0)),0))</f>
        <v/>
      </c>
      <c r="L400" s="24" t="str">
        <f aca="false">IF(OR(B400="",E400=""),"",E400+N(F400)-N(G400)-N(H400)-N(J400)-N(K400))</f>
        <v/>
      </c>
      <c r="M400" s="28" t="str">
        <f aca="false">IF(OR(L400="",N(K400)=0),"",L400/K400)</f>
        <v/>
      </c>
      <c r="N400" s="25" t="str">
        <f aca="false">IF(OR(A400="",B400=""),"",IFERROR(A400-INDEX(Inventory!$B$4:$B$503,MATCH($B400,Inventory!$A$4:$A$503,0)),""))</f>
        <v/>
      </c>
      <c r="O400" s="27" t="str">
        <f aca="false">IF($B400="","",IFERROR(INDEX(Inventory!$F$4:$F$503,MATCH($B400,Inventory!$A$4:$A$503,0)),""))</f>
        <v/>
      </c>
      <c r="P400" s="27" t="str">
        <f aca="false">IF($B400="","",IFERROR(INDEX(Inventory!$C$4:$C$503,MATCH($B400,Inventory!$A$4:$A$503,0)),""))</f>
        <v/>
      </c>
    </row>
    <row r="401" customFormat="false" ht="15" hidden="false" customHeight="false" outlineLevel="0" collapsed="false">
      <c r="A401" s="19"/>
      <c r="B401" s="10"/>
      <c r="C401" s="23" t="str">
        <f aca="false">IF($B401="","",IFERROR(INDEX(Inventory!$E$4:$E$503,MATCH($B401,Inventory!$A$4:$A$503,0)),"SKU not found"))</f>
        <v/>
      </c>
      <c r="D401" s="10"/>
      <c r="E401" s="12"/>
      <c r="F401" s="12"/>
      <c r="G401" s="12"/>
      <c r="H401" s="24" t="str">
        <f aca="false">IF(OR(B401="",D401="",E401=""),"",IFERROR(IF(AND(D401="Poshmark",E401&lt;Settings!$B$20),Settings!$B$21,(E401+IF(INDEX(Settings!$E$4:$E$11,MATCH($D401,Settings!$A$4:$A$11,0))="Y",N(F401),0))*(INDEX(Settings!$B$4:$B$11,MATCH($D401,Settings!$A$4:$A$11,0))+INDEX(Settings!$D$4:$D$11,MATCH($D401,Settings!$A$4:$A$11,0)))+INDEX(Settings!$C$4:$C$11,MATCH($D401,Settings!$A$4:$A$11,0))),0))</f>
        <v/>
      </c>
      <c r="I401" s="12"/>
      <c r="J401" s="12"/>
      <c r="K401" s="24" t="str">
        <f aca="false">IF($B401="","",IFERROR(INDEX(Inventory!$J$4:$J$503,MATCH($B401,Inventory!$A$4:$A$503,0)),0))</f>
        <v/>
      </c>
      <c r="L401" s="24" t="str">
        <f aca="false">IF(OR(B401="",E401=""),"",E401+N(F401)-N(G401)-N(H401)-N(J401)-N(K401))</f>
        <v/>
      </c>
      <c r="M401" s="28" t="str">
        <f aca="false">IF(OR(L401="",N(K401)=0),"",L401/K401)</f>
        <v/>
      </c>
      <c r="N401" s="25" t="str">
        <f aca="false">IF(OR(A401="",B401=""),"",IFERROR(A401-INDEX(Inventory!$B$4:$B$503,MATCH($B401,Inventory!$A$4:$A$503,0)),""))</f>
        <v/>
      </c>
      <c r="O401" s="27" t="str">
        <f aca="false">IF($B401="","",IFERROR(INDEX(Inventory!$F$4:$F$503,MATCH($B401,Inventory!$A$4:$A$503,0)),""))</f>
        <v/>
      </c>
      <c r="P401" s="27" t="str">
        <f aca="false">IF($B401="","",IFERROR(INDEX(Inventory!$C$4:$C$503,MATCH($B401,Inventory!$A$4:$A$503,0)),""))</f>
        <v/>
      </c>
    </row>
    <row r="402" customFormat="false" ht="15" hidden="false" customHeight="false" outlineLevel="0" collapsed="false">
      <c r="A402" s="19"/>
      <c r="B402" s="10"/>
      <c r="C402" s="23" t="str">
        <f aca="false">IF($B402="","",IFERROR(INDEX(Inventory!$E$4:$E$503,MATCH($B402,Inventory!$A$4:$A$503,0)),"SKU not found"))</f>
        <v/>
      </c>
      <c r="D402" s="10"/>
      <c r="E402" s="12"/>
      <c r="F402" s="12"/>
      <c r="G402" s="12"/>
      <c r="H402" s="24" t="str">
        <f aca="false">IF(OR(B402="",D402="",E402=""),"",IFERROR(IF(AND(D402="Poshmark",E402&lt;Settings!$B$20),Settings!$B$21,(E402+IF(INDEX(Settings!$E$4:$E$11,MATCH($D402,Settings!$A$4:$A$11,0))="Y",N(F402),0))*(INDEX(Settings!$B$4:$B$11,MATCH($D402,Settings!$A$4:$A$11,0))+INDEX(Settings!$D$4:$D$11,MATCH($D402,Settings!$A$4:$A$11,0)))+INDEX(Settings!$C$4:$C$11,MATCH($D402,Settings!$A$4:$A$11,0))),0))</f>
        <v/>
      </c>
      <c r="I402" s="12"/>
      <c r="J402" s="12"/>
      <c r="K402" s="24" t="str">
        <f aca="false">IF($B402="","",IFERROR(INDEX(Inventory!$J$4:$J$503,MATCH($B402,Inventory!$A$4:$A$503,0)),0))</f>
        <v/>
      </c>
      <c r="L402" s="24" t="str">
        <f aca="false">IF(OR(B402="",E402=""),"",E402+N(F402)-N(G402)-N(H402)-N(J402)-N(K402))</f>
        <v/>
      </c>
      <c r="M402" s="28" t="str">
        <f aca="false">IF(OR(L402="",N(K402)=0),"",L402/K402)</f>
        <v/>
      </c>
      <c r="N402" s="25" t="str">
        <f aca="false">IF(OR(A402="",B402=""),"",IFERROR(A402-INDEX(Inventory!$B$4:$B$503,MATCH($B402,Inventory!$A$4:$A$503,0)),""))</f>
        <v/>
      </c>
      <c r="O402" s="27" t="str">
        <f aca="false">IF($B402="","",IFERROR(INDEX(Inventory!$F$4:$F$503,MATCH($B402,Inventory!$A$4:$A$503,0)),""))</f>
        <v/>
      </c>
      <c r="P402" s="27" t="str">
        <f aca="false">IF($B402="","",IFERROR(INDEX(Inventory!$C$4:$C$503,MATCH($B402,Inventory!$A$4:$A$503,0)),""))</f>
        <v/>
      </c>
    </row>
    <row r="403" customFormat="false" ht="15" hidden="false" customHeight="false" outlineLevel="0" collapsed="false">
      <c r="A403" s="19"/>
      <c r="B403" s="10"/>
      <c r="C403" s="23" t="str">
        <f aca="false">IF($B403="","",IFERROR(INDEX(Inventory!$E$4:$E$503,MATCH($B403,Inventory!$A$4:$A$503,0)),"SKU not found"))</f>
        <v/>
      </c>
      <c r="D403" s="10"/>
      <c r="E403" s="12"/>
      <c r="F403" s="12"/>
      <c r="G403" s="12"/>
      <c r="H403" s="24" t="str">
        <f aca="false">IF(OR(B403="",D403="",E403=""),"",IFERROR(IF(AND(D403="Poshmark",E403&lt;Settings!$B$20),Settings!$B$21,(E403+IF(INDEX(Settings!$E$4:$E$11,MATCH($D403,Settings!$A$4:$A$11,0))="Y",N(F403),0))*(INDEX(Settings!$B$4:$B$11,MATCH($D403,Settings!$A$4:$A$11,0))+INDEX(Settings!$D$4:$D$11,MATCH($D403,Settings!$A$4:$A$11,0)))+INDEX(Settings!$C$4:$C$11,MATCH($D403,Settings!$A$4:$A$11,0))),0))</f>
        <v/>
      </c>
      <c r="I403" s="12"/>
      <c r="J403" s="12"/>
      <c r="K403" s="24" t="str">
        <f aca="false">IF($B403="","",IFERROR(INDEX(Inventory!$J$4:$J$503,MATCH($B403,Inventory!$A$4:$A$503,0)),0))</f>
        <v/>
      </c>
      <c r="L403" s="24" t="str">
        <f aca="false">IF(OR(B403="",E403=""),"",E403+N(F403)-N(G403)-N(H403)-N(J403)-N(K403))</f>
        <v/>
      </c>
      <c r="M403" s="28" t="str">
        <f aca="false">IF(OR(L403="",N(K403)=0),"",L403/K403)</f>
        <v/>
      </c>
      <c r="N403" s="25" t="str">
        <f aca="false">IF(OR(A403="",B403=""),"",IFERROR(A403-INDEX(Inventory!$B$4:$B$503,MATCH($B403,Inventory!$A$4:$A$503,0)),""))</f>
        <v/>
      </c>
      <c r="O403" s="27" t="str">
        <f aca="false">IF($B403="","",IFERROR(INDEX(Inventory!$F$4:$F$503,MATCH($B403,Inventory!$A$4:$A$503,0)),""))</f>
        <v/>
      </c>
      <c r="P403" s="27" t="str">
        <f aca="false">IF($B403="","",IFERROR(INDEX(Inventory!$C$4:$C$503,MATCH($B403,Inventory!$A$4:$A$503,0)),""))</f>
        <v/>
      </c>
    </row>
    <row r="404" customFormat="false" ht="15" hidden="false" customHeight="false" outlineLevel="0" collapsed="false">
      <c r="A404" s="19"/>
      <c r="B404" s="10"/>
      <c r="C404" s="23" t="str">
        <f aca="false">IF($B404="","",IFERROR(INDEX(Inventory!$E$4:$E$503,MATCH($B404,Inventory!$A$4:$A$503,0)),"SKU not found"))</f>
        <v/>
      </c>
      <c r="D404" s="10"/>
      <c r="E404" s="12"/>
      <c r="F404" s="12"/>
      <c r="G404" s="12"/>
      <c r="H404" s="24" t="str">
        <f aca="false">IF(OR(B404="",D404="",E404=""),"",IFERROR(IF(AND(D404="Poshmark",E404&lt;Settings!$B$20),Settings!$B$21,(E404+IF(INDEX(Settings!$E$4:$E$11,MATCH($D404,Settings!$A$4:$A$11,0))="Y",N(F404),0))*(INDEX(Settings!$B$4:$B$11,MATCH($D404,Settings!$A$4:$A$11,0))+INDEX(Settings!$D$4:$D$11,MATCH($D404,Settings!$A$4:$A$11,0)))+INDEX(Settings!$C$4:$C$11,MATCH($D404,Settings!$A$4:$A$11,0))),0))</f>
        <v/>
      </c>
      <c r="I404" s="12"/>
      <c r="J404" s="12"/>
      <c r="K404" s="24" t="str">
        <f aca="false">IF($B404="","",IFERROR(INDEX(Inventory!$J$4:$J$503,MATCH($B404,Inventory!$A$4:$A$503,0)),0))</f>
        <v/>
      </c>
      <c r="L404" s="24" t="str">
        <f aca="false">IF(OR(B404="",E404=""),"",E404+N(F404)-N(G404)-N(H404)-N(J404)-N(K404))</f>
        <v/>
      </c>
      <c r="M404" s="28" t="str">
        <f aca="false">IF(OR(L404="",N(K404)=0),"",L404/K404)</f>
        <v/>
      </c>
      <c r="N404" s="25" t="str">
        <f aca="false">IF(OR(A404="",B404=""),"",IFERROR(A404-INDEX(Inventory!$B$4:$B$503,MATCH($B404,Inventory!$A$4:$A$503,0)),""))</f>
        <v/>
      </c>
      <c r="O404" s="27" t="str">
        <f aca="false">IF($B404="","",IFERROR(INDEX(Inventory!$F$4:$F$503,MATCH($B404,Inventory!$A$4:$A$503,0)),""))</f>
        <v/>
      </c>
      <c r="P404" s="27" t="str">
        <f aca="false">IF($B404="","",IFERROR(INDEX(Inventory!$C$4:$C$503,MATCH($B404,Inventory!$A$4:$A$503,0)),""))</f>
        <v/>
      </c>
    </row>
    <row r="405" customFormat="false" ht="15" hidden="false" customHeight="false" outlineLevel="0" collapsed="false">
      <c r="A405" s="19"/>
      <c r="B405" s="10"/>
      <c r="C405" s="23" t="str">
        <f aca="false">IF($B405="","",IFERROR(INDEX(Inventory!$E$4:$E$503,MATCH($B405,Inventory!$A$4:$A$503,0)),"SKU not found"))</f>
        <v/>
      </c>
      <c r="D405" s="10"/>
      <c r="E405" s="12"/>
      <c r="F405" s="12"/>
      <c r="G405" s="12"/>
      <c r="H405" s="24" t="str">
        <f aca="false">IF(OR(B405="",D405="",E405=""),"",IFERROR(IF(AND(D405="Poshmark",E405&lt;Settings!$B$20),Settings!$B$21,(E405+IF(INDEX(Settings!$E$4:$E$11,MATCH($D405,Settings!$A$4:$A$11,0))="Y",N(F405),0))*(INDEX(Settings!$B$4:$B$11,MATCH($D405,Settings!$A$4:$A$11,0))+INDEX(Settings!$D$4:$D$11,MATCH($D405,Settings!$A$4:$A$11,0)))+INDEX(Settings!$C$4:$C$11,MATCH($D405,Settings!$A$4:$A$11,0))),0))</f>
        <v/>
      </c>
      <c r="I405" s="12"/>
      <c r="J405" s="12"/>
      <c r="K405" s="24" t="str">
        <f aca="false">IF($B405="","",IFERROR(INDEX(Inventory!$J$4:$J$503,MATCH($B405,Inventory!$A$4:$A$503,0)),0))</f>
        <v/>
      </c>
      <c r="L405" s="24" t="str">
        <f aca="false">IF(OR(B405="",E405=""),"",E405+N(F405)-N(G405)-N(H405)-N(J405)-N(K405))</f>
        <v/>
      </c>
      <c r="M405" s="28" t="str">
        <f aca="false">IF(OR(L405="",N(K405)=0),"",L405/K405)</f>
        <v/>
      </c>
      <c r="N405" s="25" t="str">
        <f aca="false">IF(OR(A405="",B405=""),"",IFERROR(A405-INDEX(Inventory!$B$4:$B$503,MATCH($B405,Inventory!$A$4:$A$503,0)),""))</f>
        <v/>
      </c>
      <c r="O405" s="27" t="str">
        <f aca="false">IF($B405="","",IFERROR(INDEX(Inventory!$F$4:$F$503,MATCH($B405,Inventory!$A$4:$A$503,0)),""))</f>
        <v/>
      </c>
      <c r="P405" s="27" t="str">
        <f aca="false">IF($B405="","",IFERROR(INDEX(Inventory!$C$4:$C$503,MATCH($B405,Inventory!$A$4:$A$503,0)),""))</f>
        <v/>
      </c>
    </row>
    <row r="406" customFormat="false" ht="15" hidden="false" customHeight="false" outlineLevel="0" collapsed="false">
      <c r="A406" s="19"/>
      <c r="B406" s="10"/>
      <c r="C406" s="23" t="str">
        <f aca="false">IF($B406="","",IFERROR(INDEX(Inventory!$E$4:$E$503,MATCH($B406,Inventory!$A$4:$A$503,0)),"SKU not found"))</f>
        <v/>
      </c>
      <c r="D406" s="10"/>
      <c r="E406" s="12"/>
      <c r="F406" s="12"/>
      <c r="G406" s="12"/>
      <c r="H406" s="24" t="str">
        <f aca="false">IF(OR(B406="",D406="",E406=""),"",IFERROR(IF(AND(D406="Poshmark",E406&lt;Settings!$B$20),Settings!$B$21,(E406+IF(INDEX(Settings!$E$4:$E$11,MATCH($D406,Settings!$A$4:$A$11,0))="Y",N(F406),0))*(INDEX(Settings!$B$4:$B$11,MATCH($D406,Settings!$A$4:$A$11,0))+INDEX(Settings!$D$4:$D$11,MATCH($D406,Settings!$A$4:$A$11,0)))+INDEX(Settings!$C$4:$C$11,MATCH($D406,Settings!$A$4:$A$11,0))),0))</f>
        <v/>
      </c>
      <c r="I406" s="12"/>
      <c r="J406" s="12"/>
      <c r="K406" s="24" t="str">
        <f aca="false">IF($B406="","",IFERROR(INDEX(Inventory!$J$4:$J$503,MATCH($B406,Inventory!$A$4:$A$503,0)),0))</f>
        <v/>
      </c>
      <c r="L406" s="24" t="str">
        <f aca="false">IF(OR(B406="",E406=""),"",E406+N(F406)-N(G406)-N(H406)-N(J406)-N(K406))</f>
        <v/>
      </c>
      <c r="M406" s="28" t="str">
        <f aca="false">IF(OR(L406="",N(K406)=0),"",L406/K406)</f>
        <v/>
      </c>
      <c r="N406" s="25" t="str">
        <f aca="false">IF(OR(A406="",B406=""),"",IFERROR(A406-INDEX(Inventory!$B$4:$B$503,MATCH($B406,Inventory!$A$4:$A$503,0)),""))</f>
        <v/>
      </c>
      <c r="O406" s="27" t="str">
        <f aca="false">IF($B406="","",IFERROR(INDEX(Inventory!$F$4:$F$503,MATCH($B406,Inventory!$A$4:$A$503,0)),""))</f>
        <v/>
      </c>
      <c r="P406" s="27" t="str">
        <f aca="false">IF($B406="","",IFERROR(INDEX(Inventory!$C$4:$C$503,MATCH($B406,Inventory!$A$4:$A$503,0)),""))</f>
        <v/>
      </c>
    </row>
    <row r="407" customFormat="false" ht="15" hidden="false" customHeight="false" outlineLevel="0" collapsed="false">
      <c r="A407" s="19"/>
      <c r="B407" s="10"/>
      <c r="C407" s="23" t="str">
        <f aca="false">IF($B407="","",IFERROR(INDEX(Inventory!$E$4:$E$503,MATCH($B407,Inventory!$A$4:$A$503,0)),"SKU not found"))</f>
        <v/>
      </c>
      <c r="D407" s="10"/>
      <c r="E407" s="12"/>
      <c r="F407" s="12"/>
      <c r="G407" s="12"/>
      <c r="H407" s="24" t="str">
        <f aca="false">IF(OR(B407="",D407="",E407=""),"",IFERROR(IF(AND(D407="Poshmark",E407&lt;Settings!$B$20),Settings!$B$21,(E407+IF(INDEX(Settings!$E$4:$E$11,MATCH($D407,Settings!$A$4:$A$11,0))="Y",N(F407),0))*(INDEX(Settings!$B$4:$B$11,MATCH($D407,Settings!$A$4:$A$11,0))+INDEX(Settings!$D$4:$D$11,MATCH($D407,Settings!$A$4:$A$11,0)))+INDEX(Settings!$C$4:$C$11,MATCH($D407,Settings!$A$4:$A$11,0))),0))</f>
        <v/>
      </c>
      <c r="I407" s="12"/>
      <c r="J407" s="12"/>
      <c r="K407" s="24" t="str">
        <f aca="false">IF($B407="","",IFERROR(INDEX(Inventory!$J$4:$J$503,MATCH($B407,Inventory!$A$4:$A$503,0)),0))</f>
        <v/>
      </c>
      <c r="L407" s="24" t="str">
        <f aca="false">IF(OR(B407="",E407=""),"",E407+N(F407)-N(G407)-N(H407)-N(J407)-N(K407))</f>
        <v/>
      </c>
      <c r="M407" s="28" t="str">
        <f aca="false">IF(OR(L407="",N(K407)=0),"",L407/K407)</f>
        <v/>
      </c>
      <c r="N407" s="25" t="str">
        <f aca="false">IF(OR(A407="",B407=""),"",IFERROR(A407-INDEX(Inventory!$B$4:$B$503,MATCH($B407,Inventory!$A$4:$A$503,0)),""))</f>
        <v/>
      </c>
      <c r="O407" s="27" t="str">
        <f aca="false">IF($B407="","",IFERROR(INDEX(Inventory!$F$4:$F$503,MATCH($B407,Inventory!$A$4:$A$503,0)),""))</f>
        <v/>
      </c>
      <c r="P407" s="27" t="str">
        <f aca="false">IF($B407="","",IFERROR(INDEX(Inventory!$C$4:$C$503,MATCH($B407,Inventory!$A$4:$A$503,0)),""))</f>
        <v/>
      </c>
    </row>
    <row r="408" customFormat="false" ht="15" hidden="false" customHeight="false" outlineLevel="0" collapsed="false">
      <c r="A408" s="19"/>
      <c r="B408" s="10"/>
      <c r="C408" s="23" t="str">
        <f aca="false">IF($B408="","",IFERROR(INDEX(Inventory!$E$4:$E$503,MATCH($B408,Inventory!$A$4:$A$503,0)),"SKU not found"))</f>
        <v/>
      </c>
      <c r="D408" s="10"/>
      <c r="E408" s="12"/>
      <c r="F408" s="12"/>
      <c r="G408" s="12"/>
      <c r="H408" s="24" t="str">
        <f aca="false">IF(OR(B408="",D408="",E408=""),"",IFERROR(IF(AND(D408="Poshmark",E408&lt;Settings!$B$20),Settings!$B$21,(E408+IF(INDEX(Settings!$E$4:$E$11,MATCH($D408,Settings!$A$4:$A$11,0))="Y",N(F408),0))*(INDEX(Settings!$B$4:$B$11,MATCH($D408,Settings!$A$4:$A$11,0))+INDEX(Settings!$D$4:$D$11,MATCH($D408,Settings!$A$4:$A$11,0)))+INDEX(Settings!$C$4:$C$11,MATCH($D408,Settings!$A$4:$A$11,0))),0))</f>
        <v/>
      </c>
      <c r="I408" s="12"/>
      <c r="J408" s="12"/>
      <c r="K408" s="24" t="str">
        <f aca="false">IF($B408="","",IFERROR(INDEX(Inventory!$J$4:$J$503,MATCH($B408,Inventory!$A$4:$A$503,0)),0))</f>
        <v/>
      </c>
      <c r="L408" s="24" t="str">
        <f aca="false">IF(OR(B408="",E408=""),"",E408+N(F408)-N(G408)-N(H408)-N(J408)-N(K408))</f>
        <v/>
      </c>
      <c r="M408" s="28" t="str">
        <f aca="false">IF(OR(L408="",N(K408)=0),"",L408/K408)</f>
        <v/>
      </c>
      <c r="N408" s="25" t="str">
        <f aca="false">IF(OR(A408="",B408=""),"",IFERROR(A408-INDEX(Inventory!$B$4:$B$503,MATCH($B408,Inventory!$A$4:$A$503,0)),""))</f>
        <v/>
      </c>
      <c r="O408" s="27" t="str">
        <f aca="false">IF($B408="","",IFERROR(INDEX(Inventory!$F$4:$F$503,MATCH($B408,Inventory!$A$4:$A$503,0)),""))</f>
        <v/>
      </c>
      <c r="P408" s="27" t="str">
        <f aca="false">IF($B408="","",IFERROR(INDEX(Inventory!$C$4:$C$503,MATCH($B408,Inventory!$A$4:$A$503,0)),""))</f>
        <v/>
      </c>
    </row>
    <row r="409" customFormat="false" ht="15" hidden="false" customHeight="false" outlineLevel="0" collapsed="false">
      <c r="A409" s="19"/>
      <c r="B409" s="10"/>
      <c r="C409" s="23" t="str">
        <f aca="false">IF($B409="","",IFERROR(INDEX(Inventory!$E$4:$E$503,MATCH($B409,Inventory!$A$4:$A$503,0)),"SKU not found"))</f>
        <v/>
      </c>
      <c r="D409" s="10"/>
      <c r="E409" s="12"/>
      <c r="F409" s="12"/>
      <c r="G409" s="12"/>
      <c r="H409" s="24" t="str">
        <f aca="false">IF(OR(B409="",D409="",E409=""),"",IFERROR(IF(AND(D409="Poshmark",E409&lt;Settings!$B$20),Settings!$B$21,(E409+IF(INDEX(Settings!$E$4:$E$11,MATCH($D409,Settings!$A$4:$A$11,0))="Y",N(F409),0))*(INDEX(Settings!$B$4:$B$11,MATCH($D409,Settings!$A$4:$A$11,0))+INDEX(Settings!$D$4:$D$11,MATCH($D409,Settings!$A$4:$A$11,0)))+INDEX(Settings!$C$4:$C$11,MATCH($D409,Settings!$A$4:$A$11,0))),0))</f>
        <v/>
      </c>
      <c r="I409" s="12"/>
      <c r="J409" s="12"/>
      <c r="K409" s="24" t="str">
        <f aca="false">IF($B409="","",IFERROR(INDEX(Inventory!$J$4:$J$503,MATCH($B409,Inventory!$A$4:$A$503,0)),0))</f>
        <v/>
      </c>
      <c r="L409" s="24" t="str">
        <f aca="false">IF(OR(B409="",E409=""),"",E409+N(F409)-N(G409)-N(H409)-N(J409)-N(K409))</f>
        <v/>
      </c>
      <c r="M409" s="28" t="str">
        <f aca="false">IF(OR(L409="",N(K409)=0),"",L409/K409)</f>
        <v/>
      </c>
      <c r="N409" s="25" t="str">
        <f aca="false">IF(OR(A409="",B409=""),"",IFERROR(A409-INDEX(Inventory!$B$4:$B$503,MATCH($B409,Inventory!$A$4:$A$503,0)),""))</f>
        <v/>
      </c>
      <c r="O409" s="27" t="str">
        <f aca="false">IF($B409="","",IFERROR(INDEX(Inventory!$F$4:$F$503,MATCH($B409,Inventory!$A$4:$A$503,0)),""))</f>
        <v/>
      </c>
      <c r="P409" s="27" t="str">
        <f aca="false">IF($B409="","",IFERROR(INDEX(Inventory!$C$4:$C$503,MATCH($B409,Inventory!$A$4:$A$503,0)),""))</f>
        <v/>
      </c>
    </row>
    <row r="410" customFormat="false" ht="15" hidden="false" customHeight="false" outlineLevel="0" collapsed="false">
      <c r="A410" s="19"/>
      <c r="B410" s="10"/>
      <c r="C410" s="23" t="str">
        <f aca="false">IF($B410="","",IFERROR(INDEX(Inventory!$E$4:$E$503,MATCH($B410,Inventory!$A$4:$A$503,0)),"SKU not found"))</f>
        <v/>
      </c>
      <c r="D410" s="10"/>
      <c r="E410" s="12"/>
      <c r="F410" s="12"/>
      <c r="G410" s="12"/>
      <c r="H410" s="24" t="str">
        <f aca="false">IF(OR(B410="",D410="",E410=""),"",IFERROR(IF(AND(D410="Poshmark",E410&lt;Settings!$B$20),Settings!$B$21,(E410+IF(INDEX(Settings!$E$4:$E$11,MATCH($D410,Settings!$A$4:$A$11,0))="Y",N(F410),0))*(INDEX(Settings!$B$4:$B$11,MATCH($D410,Settings!$A$4:$A$11,0))+INDEX(Settings!$D$4:$D$11,MATCH($D410,Settings!$A$4:$A$11,0)))+INDEX(Settings!$C$4:$C$11,MATCH($D410,Settings!$A$4:$A$11,0))),0))</f>
        <v/>
      </c>
      <c r="I410" s="12"/>
      <c r="J410" s="12"/>
      <c r="K410" s="24" t="str">
        <f aca="false">IF($B410="","",IFERROR(INDEX(Inventory!$J$4:$J$503,MATCH($B410,Inventory!$A$4:$A$503,0)),0))</f>
        <v/>
      </c>
      <c r="L410" s="24" t="str">
        <f aca="false">IF(OR(B410="",E410=""),"",E410+N(F410)-N(G410)-N(H410)-N(J410)-N(K410))</f>
        <v/>
      </c>
      <c r="M410" s="28" t="str">
        <f aca="false">IF(OR(L410="",N(K410)=0),"",L410/K410)</f>
        <v/>
      </c>
      <c r="N410" s="25" t="str">
        <f aca="false">IF(OR(A410="",B410=""),"",IFERROR(A410-INDEX(Inventory!$B$4:$B$503,MATCH($B410,Inventory!$A$4:$A$503,0)),""))</f>
        <v/>
      </c>
      <c r="O410" s="27" t="str">
        <f aca="false">IF($B410="","",IFERROR(INDEX(Inventory!$F$4:$F$503,MATCH($B410,Inventory!$A$4:$A$503,0)),""))</f>
        <v/>
      </c>
      <c r="P410" s="27" t="str">
        <f aca="false">IF($B410="","",IFERROR(INDEX(Inventory!$C$4:$C$503,MATCH($B410,Inventory!$A$4:$A$503,0)),""))</f>
        <v/>
      </c>
    </row>
    <row r="411" customFormat="false" ht="15" hidden="false" customHeight="false" outlineLevel="0" collapsed="false">
      <c r="A411" s="19"/>
      <c r="B411" s="10"/>
      <c r="C411" s="23" t="str">
        <f aca="false">IF($B411="","",IFERROR(INDEX(Inventory!$E$4:$E$503,MATCH($B411,Inventory!$A$4:$A$503,0)),"SKU not found"))</f>
        <v/>
      </c>
      <c r="D411" s="10"/>
      <c r="E411" s="12"/>
      <c r="F411" s="12"/>
      <c r="G411" s="12"/>
      <c r="H411" s="24" t="str">
        <f aca="false">IF(OR(B411="",D411="",E411=""),"",IFERROR(IF(AND(D411="Poshmark",E411&lt;Settings!$B$20),Settings!$B$21,(E411+IF(INDEX(Settings!$E$4:$E$11,MATCH($D411,Settings!$A$4:$A$11,0))="Y",N(F411),0))*(INDEX(Settings!$B$4:$B$11,MATCH($D411,Settings!$A$4:$A$11,0))+INDEX(Settings!$D$4:$D$11,MATCH($D411,Settings!$A$4:$A$11,0)))+INDEX(Settings!$C$4:$C$11,MATCH($D411,Settings!$A$4:$A$11,0))),0))</f>
        <v/>
      </c>
      <c r="I411" s="12"/>
      <c r="J411" s="12"/>
      <c r="K411" s="24" t="str">
        <f aca="false">IF($B411="","",IFERROR(INDEX(Inventory!$J$4:$J$503,MATCH($B411,Inventory!$A$4:$A$503,0)),0))</f>
        <v/>
      </c>
      <c r="L411" s="24" t="str">
        <f aca="false">IF(OR(B411="",E411=""),"",E411+N(F411)-N(G411)-N(H411)-N(J411)-N(K411))</f>
        <v/>
      </c>
      <c r="M411" s="28" t="str">
        <f aca="false">IF(OR(L411="",N(K411)=0),"",L411/K411)</f>
        <v/>
      </c>
      <c r="N411" s="25" t="str">
        <f aca="false">IF(OR(A411="",B411=""),"",IFERROR(A411-INDEX(Inventory!$B$4:$B$503,MATCH($B411,Inventory!$A$4:$A$503,0)),""))</f>
        <v/>
      </c>
      <c r="O411" s="27" t="str">
        <f aca="false">IF($B411="","",IFERROR(INDEX(Inventory!$F$4:$F$503,MATCH($B411,Inventory!$A$4:$A$503,0)),""))</f>
        <v/>
      </c>
      <c r="P411" s="27" t="str">
        <f aca="false">IF($B411="","",IFERROR(INDEX(Inventory!$C$4:$C$503,MATCH($B411,Inventory!$A$4:$A$503,0)),""))</f>
        <v/>
      </c>
    </row>
    <row r="412" customFormat="false" ht="15" hidden="false" customHeight="false" outlineLevel="0" collapsed="false">
      <c r="A412" s="19"/>
      <c r="B412" s="10"/>
      <c r="C412" s="23" t="str">
        <f aca="false">IF($B412="","",IFERROR(INDEX(Inventory!$E$4:$E$503,MATCH($B412,Inventory!$A$4:$A$503,0)),"SKU not found"))</f>
        <v/>
      </c>
      <c r="D412" s="10"/>
      <c r="E412" s="12"/>
      <c r="F412" s="12"/>
      <c r="G412" s="12"/>
      <c r="H412" s="24" t="str">
        <f aca="false">IF(OR(B412="",D412="",E412=""),"",IFERROR(IF(AND(D412="Poshmark",E412&lt;Settings!$B$20),Settings!$B$21,(E412+IF(INDEX(Settings!$E$4:$E$11,MATCH($D412,Settings!$A$4:$A$11,0))="Y",N(F412),0))*(INDEX(Settings!$B$4:$B$11,MATCH($D412,Settings!$A$4:$A$11,0))+INDEX(Settings!$D$4:$D$11,MATCH($D412,Settings!$A$4:$A$11,0)))+INDEX(Settings!$C$4:$C$11,MATCH($D412,Settings!$A$4:$A$11,0))),0))</f>
        <v/>
      </c>
      <c r="I412" s="12"/>
      <c r="J412" s="12"/>
      <c r="K412" s="24" t="str">
        <f aca="false">IF($B412="","",IFERROR(INDEX(Inventory!$J$4:$J$503,MATCH($B412,Inventory!$A$4:$A$503,0)),0))</f>
        <v/>
      </c>
      <c r="L412" s="24" t="str">
        <f aca="false">IF(OR(B412="",E412=""),"",E412+N(F412)-N(G412)-N(H412)-N(J412)-N(K412))</f>
        <v/>
      </c>
      <c r="M412" s="28" t="str">
        <f aca="false">IF(OR(L412="",N(K412)=0),"",L412/K412)</f>
        <v/>
      </c>
      <c r="N412" s="25" t="str">
        <f aca="false">IF(OR(A412="",B412=""),"",IFERROR(A412-INDEX(Inventory!$B$4:$B$503,MATCH($B412,Inventory!$A$4:$A$503,0)),""))</f>
        <v/>
      </c>
      <c r="O412" s="27" t="str">
        <f aca="false">IF($B412="","",IFERROR(INDEX(Inventory!$F$4:$F$503,MATCH($B412,Inventory!$A$4:$A$503,0)),""))</f>
        <v/>
      </c>
      <c r="P412" s="27" t="str">
        <f aca="false">IF($B412="","",IFERROR(INDEX(Inventory!$C$4:$C$503,MATCH($B412,Inventory!$A$4:$A$503,0)),""))</f>
        <v/>
      </c>
    </row>
    <row r="413" customFormat="false" ht="15" hidden="false" customHeight="false" outlineLevel="0" collapsed="false">
      <c r="A413" s="19"/>
      <c r="B413" s="10"/>
      <c r="C413" s="23" t="str">
        <f aca="false">IF($B413="","",IFERROR(INDEX(Inventory!$E$4:$E$503,MATCH($B413,Inventory!$A$4:$A$503,0)),"SKU not found"))</f>
        <v/>
      </c>
      <c r="D413" s="10"/>
      <c r="E413" s="12"/>
      <c r="F413" s="12"/>
      <c r="G413" s="12"/>
      <c r="H413" s="24" t="str">
        <f aca="false">IF(OR(B413="",D413="",E413=""),"",IFERROR(IF(AND(D413="Poshmark",E413&lt;Settings!$B$20),Settings!$B$21,(E413+IF(INDEX(Settings!$E$4:$E$11,MATCH($D413,Settings!$A$4:$A$11,0))="Y",N(F413),0))*(INDEX(Settings!$B$4:$B$11,MATCH($D413,Settings!$A$4:$A$11,0))+INDEX(Settings!$D$4:$D$11,MATCH($D413,Settings!$A$4:$A$11,0)))+INDEX(Settings!$C$4:$C$11,MATCH($D413,Settings!$A$4:$A$11,0))),0))</f>
        <v/>
      </c>
      <c r="I413" s="12"/>
      <c r="J413" s="12"/>
      <c r="K413" s="24" t="str">
        <f aca="false">IF($B413="","",IFERROR(INDEX(Inventory!$J$4:$J$503,MATCH($B413,Inventory!$A$4:$A$503,0)),0))</f>
        <v/>
      </c>
      <c r="L413" s="24" t="str">
        <f aca="false">IF(OR(B413="",E413=""),"",E413+N(F413)-N(G413)-N(H413)-N(J413)-N(K413))</f>
        <v/>
      </c>
      <c r="M413" s="28" t="str">
        <f aca="false">IF(OR(L413="",N(K413)=0),"",L413/K413)</f>
        <v/>
      </c>
      <c r="N413" s="25" t="str">
        <f aca="false">IF(OR(A413="",B413=""),"",IFERROR(A413-INDEX(Inventory!$B$4:$B$503,MATCH($B413,Inventory!$A$4:$A$503,0)),""))</f>
        <v/>
      </c>
      <c r="O413" s="27" t="str">
        <f aca="false">IF($B413="","",IFERROR(INDEX(Inventory!$F$4:$F$503,MATCH($B413,Inventory!$A$4:$A$503,0)),""))</f>
        <v/>
      </c>
      <c r="P413" s="27" t="str">
        <f aca="false">IF($B413="","",IFERROR(INDEX(Inventory!$C$4:$C$503,MATCH($B413,Inventory!$A$4:$A$503,0)),""))</f>
        <v/>
      </c>
    </row>
    <row r="414" customFormat="false" ht="15" hidden="false" customHeight="false" outlineLevel="0" collapsed="false">
      <c r="A414" s="19"/>
      <c r="B414" s="10"/>
      <c r="C414" s="23" t="str">
        <f aca="false">IF($B414="","",IFERROR(INDEX(Inventory!$E$4:$E$503,MATCH($B414,Inventory!$A$4:$A$503,0)),"SKU not found"))</f>
        <v/>
      </c>
      <c r="D414" s="10"/>
      <c r="E414" s="12"/>
      <c r="F414" s="12"/>
      <c r="G414" s="12"/>
      <c r="H414" s="24" t="str">
        <f aca="false">IF(OR(B414="",D414="",E414=""),"",IFERROR(IF(AND(D414="Poshmark",E414&lt;Settings!$B$20),Settings!$B$21,(E414+IF(INDEX(Settings!$E$4:$E$11,MATCH($D414,Settings!$A$4:$A$11,0))="Y",N(F414),0))*(INDEX(Settings!$B$4:$B$11,MATCH($D414,Settings!$A$4:$A$11,0))+INDEX(Settings!$D$4:$D$11,MATCH($D414,Settings!$A$4:$A$11,0)))+INDEX(Settings!$C$4:$C$11,MATCH($D414,Settings!$A$4:$A$11,0))),0))</f>
        <v/>
      </c>
      <c r="I414" s="12"/>
      <c r="J414" s="12"/>
      <c r="K414" s="24" t="str">
        <f aca="false">IF($B414="","",IFERROR(INDEX(Inventory!$J$4:$J$503,MATCH($B414,Inventory!$A$4:$A$503,0)),0))</f>
        <v/>
      </c>
      <c r="L414" s="24" t="str">
        <f aca="false">IF(OR(B414="",E414=""),"",E414+N(F414)-N(G414)-N(H414)-N(J414)-N(K414))</f>
        <v/>
      </c>
      <c r="M414" s="28" t="str">
        <f aca="false">IF(OR(L414="",N(K414)=0),"",L414/K414)</f>
        <v/>
      </c>
      <c r="N414" s="25" t="str">
        <f aca="false">IF(OR(A414="",B414=""),"",IFERROR(A414-INDEX(Inventory!$B$4:$B$503,MATCH($B414,Inventory!$A$4:$A$503,0)),""))</f>
        <v/>
      </c>
      <c r="O414" s="27" t="str">
        <f aca="false">IF($B414="","",IFERROR(INDEX(Inventory!$F$4:$F$503,MATCH($B414,Inventory!$A$4:$A$503,0)),""))</f>
        <v/>
      </c>
      <c r="P414" s="27" t="str">
        <f aca="false">IF($B414="","",IFERROR(INDEX(Inventory!$C$4:$C$503,MATCH($B414,Inventory!$A$4:$A$503,0)),""))</f>
        <v/>
      </c>
    </row>
    <row r="415" customFormat="false" ht="15" hidden="false" customHeight="false" outlineLevel="0" collapsed="false">
      <c r="A415" s="19"/>
      <c r="B415" s="10"/>
      <c r="C415" s="23" t="str">
        <f aca="false">IF($B415="","",IFERROR(INDEX(Inventory!$E$4:$E$503,MATCH($B415,Inventory!$A$4:$A$503,0)),"SKU not found"))</f>
        <v/>
      </c>
      <c r="D415" s="10"/>
      <c r="E415" s="12"/>
      <c r="F415" s="12"/>
      <c r="G415" s="12"/>
      <c r="H415" s="24" t="str">
        <f aca="false">IF(OR(B415="",D415="",E415=""),"",IFERROR(IF(AND(D415="Poshmark",E415&lt;Settings!$B$20),Settings!$B$21,(E415+IF(INDEX(Settings!$E$4:$E$11,MATCH($D415,Settings!$A$4:$A$11,0))="Y",N(F415),0))*(INDEX(Settings!$B$4:$B$11,MATCH($D415,Settings!$A$4:$A$11,0))+INDEX(Settings!$D$4:$D$11,MATCH($D415,Settings!$A$4:$A$11,0)))+INDEX(Settings!$C$4:$C$11,MATCH($D415,Settings!$A$4:$A$11,0))),0))</f>
        <v/>
      </c>
      <c r="I415" s="12"/>
      <c r="J415" s="12"/>
      <c r="K415" s="24" t="str">
        <f aca="false">IF($B415="","",IFERROR(INDEX(Inventory!$J$4:$J$503,MATCH($B415,Inventory!$A$4:$A$503,0)),0))</f>
        <v/>
      </c>
      <c r="L415" s="24" t="str">
        <f aca="false">IF(OR(B415="",E415=""),"",E415+N(F415)-N(G415)-N(H415)-N(J415)-N(K415))</f>
        <v/>
      </c>
      <c r="M415" s="28" t="str">
        <f aca="false">IF(OR(L415="",N(K415)=0),"",L415/K415)</f>
        <v/>
      </c>
      <c r="N415" s="25" t="str">
        <f aca="false">IF(OR(A415="",B415=""),"",IFERROR(A415-INDEX(Inventory!$B$4:$B$503,MATCH($B415,Inventory!$A$4:$A$503,0)),""))</f>
        <v/>
      </c>
      <c r="O415" s="27" t="str">
        <f aca="false">IF($B415="","",IFERROR(INDEX(Inventory!$F$4:$F$503,MATCH($B415,Inventory!$A$4:$A$503,0)),""))</f>
        <v/>
      </c>
      <c r="P415" s="27" t="str">
        <f aca="false">IF($B415="","",IFERROR(INDEX(Inventory!$C$4:$C$503,MATCH($B415,Inventory!$A$4:$A$503,0)),""))</f>
        <v/>
      </c>
    </row>
    <row r="416" customFormat="false" ht="15" hidden="false" customHeight="false" outlineLevel="0" collapsed="false">
      <c r="A416" s="19"/>
      <c r="B416" s="10"/>
      <c r="C416" s="23" t="str">
        <f aca="false">IF($B416="","",IFERROR(INDEX(Inventory!$E$4:$E$503,MATCH($B416,Inventory!$A$4:$A$503,0)),"SKU not found"))</f>
        <v/>
      </c>
      <c r="D416" s="10"/>
      <c r="E416" s="12"/>
      <c r="F416" s="12"/>
      <c r="G416" s="12"/>
      <c r="H416" s="24" t="str">
        <f aca="false">IF(OR(B416="",D416="",E416=""),"",IFERROR(IF(AND(D416="Poshmark",E416&lt;Settings!$B$20),Settings!$B$21,(E416+IF(INDEX(Settings!$E$4:$E$11,MATCH($D416,Settings!$A$4:$A$11,0))="Y",N(F416),0))*(INDEX(Settings!$B$4:$B$11,MATCH($D416,Settings!$A$4:$A$11,0))+INDEX(Settings!$D$4:$D$11,MATCH($D416,Settings!$A$4:$A$11,0)))+INDEX(Settings!$C$4:$C$11,MATCH($D416,Settings!$A$4:$A$11,0))),0))</f>
        <v/>
      </c>
      <c r="I416" s="12"/>
      <c r="J416" s="12"/>
      <c r="K416" s="24" t="str">
        <f aca="false">IF($B416="","",IFERROR(INDEX(Inventory!$J$4:$J$503,MATCH($B416,Inventory!$A$4:$A$503,0)),0))</f>
        <v/>
      </c>
      <c r="L416" s="24" t="str">
        <f aca="false">IF(OR(B416="",E416=""),"",E416+N(F416)-N(G416)-N(H416)-N(J416)-N(K416))</f>
        <v/>
      </c>
      <c r="M416" s="28" t="str">
        <f aca="false">IF(OR(L416="",N(K416)=0),"",L416/K416)</f>
        <v/>
      </c>
      <c r="N416" s="25" t="str">
        <f aca="false">IF(OR(A416="",B416=""),"",IFERROR(A416-INDEX(Inventory!$B$4:$B$503,MATCH($B416,Inventory!$A$4:$A$503,0)),""))</f>
        <v/>
      </c>
      <c r="O416" s="27" t="str">
        <f aca="false">IF($B416="","",IFERROR(INDEX(Inventory!$F$4:$F$503,MATCH($B416,Inventory!$A$4:$A$503,0)),""))</f>
        <v/>
      </c>
      <c r="P416" s="27" t="str">
        <f aca="false">IF($B416="","",IFERROR(INDEX(Inventory!$C$4:$C$503,MATCH($B416,Inventory!$A$4:$A$503,0)),""))</f>
        <v/>
      </c>
    </row>
    <row r="417" customFormat="false" ht="15" hidden="false" customHeight="false" outlineLevel="0" collapsed="false">
      <c r="A417" s="19"/>
      <c r="B417" s="10"/>
      <c r="C417" s="23" t="str">
        <f aca="false">IF($B417="","",IFERROR(INDEX(Inventory!$E$4:$E$503,MATCH($B417,Inventory!$A$4:$A$503,0)),"SKU not found"))</f>
        <v/>
      </c>
      <c r="D417" s="10"/>
      <c r="E417" s="12"/>
      <c r="F417" s="12"/>
      <c r="G417" s="12"/>
      <c r="H417" s="24" t="str">
        <f aca="false">IF(OR(B417="",D417="",E417=""),"",IFERROR(IF(AND(D417="Poshmark",E417&lt;Settings!$B$20),Settings!$B$21,(E417+IF(INDEX(Settings!$E$4:$E$11,MATCH($D417,Settings!$A$4:$A$11,0))="Y",N(F417),0))*(INDEX(Settings!$B$4:$B$11,MATCH($D417,Settings!$A$4:$A$11,0))+INDEX(Settings!$D$4:$D$11,MATCH($D417,Settings!$A$4:$A$11,0)))+INDEX(Settings!$C$4:$C$11,MATCH($D417,Settings!$A$4:$A$11,0))),0))</f>
        <v/>
      </c>
      <c r="I417" s="12"/>
      <c r="J417" s="12"/>
      <c r="K417" s="24" t="str">
        <f aca="false">IF($B417="","",IFERROR(INDEX(Inventory!$J$4:$J$503,MATCH($B417,Inventory!$A$4:$A$503,0)),0))</f>
        <v/>
      </c>
      <c r="L417" s="24" t="str">
        <f aca="false">IF(OR(B417="",E417=""),"",E417+N(F417)-N(G417)-N(H417)-N(J417)-N(K417))</f>
        <v/>
      </c>
      <c r="M417" s="28" t="str">
        <f aca="false">IF(OR(L417="",N(K417)=0),"",L417/K417)</f>
        <v/>
      </c>
      <c r="N417" s="25" t="str">
        <f aca="false">IF(OR(A417="",B417=""),"",IFERROR(A417-INDEX(Inventory!$B$4:$B$503,MATCH($B417,Inventory!$A$4:$A$503,0)),""))</f>
        <v/>
      </c>
      <c r="O417" s="27" t="str">
        <f aca="false">IF($B417="","",IFERROR(INDEX(Inventory!$F$4:$F$503,MATCH($B417,Inventory!$A$4:$A$503,0)),""))</f>
        <v/>
      </c>
      <c r="P417" s="27" t="str">
        <f aca="false">IF($B417="","",IFERROR(INDEX(Inventory!$C$4:$C$503,MATCH($B417,Inventory!$A$4:$A$503,0)),""))</f>
        <v/>
      </c>
    </row>
    <row r="418" customFormat="false" ht="15" hidden="false" customHeight="false" outlineLevel="0" collapsed="false">
      <c r="A418" s="19"/>
      <c r="B418" s="10"/>
      <c r="C418" s="23" t="str">
        <f aca="false">IF($B418="","",IFERROR(INDEX(Inventory!$E$4:$E$503,MATCH($B418,Inventory!$A$4:$A$503,0)),"SKU not found"))</f>
        <v/>
      </c>
      <c r="D418" s="10"/>
      <c r="E418" s="12"/>
      <c r="F418" s="12"/>
      <c r="G418" s="12"/>
      <c r="H418" s="24" t="str">
        <f aca="false">IF(OR(B418="",D418="",E418=""),"",IFERROR(IF(AND(D418="Poshmark",E418&lt;Settings!$B$20),Settings!$B$21,(E418+IF(INDEX(Settings!$E$4:$E$11,MATCH($D418,Settings!$A$4:$A$11,0))="Y",N(F418),0))*(INDEX(Settings!$B$4:$B$11,MATCH($D418,Settings!$A$4:$A$11,0))+INDEX(Settings!$D$4:$D$11,MATCH($D418,Settings!$A$4:$A$11,0)))+INDEX(Settings!$C$4:$C$11,MATCH($D418,Settings!$A$4:$A$11,0))),0))</f>
        <v/>
      </c>
      <c r="I418" s="12"/>
      <c r="J418" s="12"/>
      <c r="K418" s="24" t="str">
        <f aca="false">IF($B418="","",IFERROR(INDEX(Inventory!$J$4:$J$503,MATCH($B418,Inventory!$A$4:$A$503,0)),0))</f>
        <v/>
      </c>
      <c r="L418" s="24" t="str">
        <f aca="false">IF(OR(B418="",E418=""),"",E418+N(F418)-N(G418)-N(H418)-N(J418)-N(K418))</f>
        <v/>
      </c>
      <c r="M418" s="28" t="str">
        <f aca="false">IF(OR(L418="",N(K418)=0),"",L418/K418)</f>
        <v/>
      </c>
      <c r="N418" s="25" t="str">
        <f aca="false">IF(OR(A418="",B418=""),"",IFERROR(A418-INDEX(Inventory!$B$4:$B$503,MATCH($B418,Inventory!$A$4:$A$503,0)),""))</f>
        <v/>
      </c>
      <c r="O418" s="27" t="str">
        <f aca="false">IF($B418="","",IFERROR(INDEX(Inventory!$F$4:$F$503,MATCH($B418,Inventory!$A$4:$A$503,0)),""))</f>
        <v/>
      </c>
      <c r="P418" s="27" t="str">
        <f aca="false">IF($B418="","",IFERROR(INDEX(Inventory!$C$4:$C$503,MATCH($B418,Inventory!$A$4:$A$503,0)),""))</f>
        <v/>
      </c>
    </row>
    <row r="419" customFormat="false" ht="15" hidden="false" customHeight="false" outlineLevel="0" collapsed="false">
      <c r="A419" s="19"/>
      <c r="B419" s="10"/>
      <c r="C419" s="23" t="str">
        <f aca="false">IF($B419="","",IFERROR(INDEX(Inventory!$E$4:$E$503,MATCH($B419,Inventory!$A$4:$A$503,0)),"SKU not found"))</f>
        <v/>
      </c>
      <c r="D419" s="10"/>
      <c r="E419" s="12"/>
      <c r="F419" s="12"/>
      <c r="G419" s="12"/>
      <c r="H419" s="24" t="str">
        <f aca="false">IF(OR(B419="",D419="",E419=""),"",IFERROR(IF(AND(D419="Poshmark",E419&lt;Settings!$B$20),Settings!$B$21,(E419+IF(INDEX(Settings!$E$4:$E$11,MATCH($D419,Settings!$A$4:$A$11,0))="Y",N(F419),0))*(INDEX(Settings!$B$4:$B$11,MATCH($D419,Settings!$A$4:$A$11,0))+INDEX(Settings!$D$4:$D$11,MATCH($D419,Settings!$A$4:$A$11,0)))+INDEX(Settings!$C$4:$C$11,MATCH($D419,Settings!$A$4:$A$11,0))),0))</f>
        <v/>
      </c>
      <c r="I419" s="12"/>
      <c r="J419" s="12"/>
      <c r="K419" s="24" t="str">
        <f aca="false">IF($B419="","",IFERROR(INDEX(Inventory!$J$4:$J$503,MATCH($B419,Inventory!$A$4:$A$503,0)),0))</f>
        <v/>
      </c>
      <c r="L419" s="24" t="str">
        <f aca="false">IF(OR(B419="",E419=""),"",E419+N(F419)-N(G419)-N(H419)-N(J419)-N(K419))</f>
        <v/>
      </c>
      <c r="M419" s="28" t="str">
        <f aca="false">IF(OR(L419="",N(K419)=0),"",L419/K419)</f>
        <v/>
      </c>
      <c r="N419" s="25" t="str">
        <f aca="false">IF(OR(A419="",B419=""),"",IFERROR(A419-INDEX(Inventory!$B$4:$B$503,MATCH($B419,Inventory!$A$4:$A$503,0)),""))</f>
        <v/>
      </c>
      <c r="O419" s="27" t="str">
        <f aca="false">IF($B419="","",IFERROR(INDEX(Inventory!$F$4:$F$503,MATCH($B419,Inventory!$A$4:$A$503,0)),""))</f>
        <v/>
      </c>
      <c r="P419" s="27" t="str">
        <f aca="false">IF($B419="","",IFERROR(INDEX(Inventory!$C$4:$C$503,MATCH($B419,Inventory!$A$4:$A$503,0)),""))</f>
        <v/>
      </c>
    </row>
    <row r="420" customFormat="false" ht="15" hidden="false" customHeight="false" outlineLevel="0" collapsed="false">
      <c r="A420" s="19"/>
      <c r="B420" s="10"/>
      <c r="C420" s="23" t="str">
        <f aca="false">IF($B420="","",IFERROR(INDEX(Inventory!$E$4:$E$503,MATCH($B420,Inventory!$A$4:$A$503,0)),"SKU not found"))</f>
        <v/>
      </c>
      <c r="D420" s="10"/>
      <c r="E420" s="12"/>
      <c r="F420" s="12"/>
      <c r="G420" s="12"/>
      <c r="H420" s="24" t="str">
        <f aca="false">IF(OR(B420="",D420="",E420=""),"",IFERROR(IF(AND(D420="Poshmark",E420&lt;Settings!$B$20),Settings!$B$21,(E420+IF(INDEX(Settings!$E$4:$E$11,MATCH($D420,Settings!$A$4:$A$11,0))="Y",N(F420),0))*(INDEX(Settings!$B$4:$B$11,MATCH($D420,Settings!$A$4:$A$11,0))+INDEX(Settings!$D$4:$D$11,MATCH($D420,Settings!$A$4:$A$11,0)))+INDEX(Settings!$C$4:$C$11,MATCH($D420,Settings!$A$4:$A$11,0))),0))</f>
        <v/>
      </c>
      <c r="I420" s="12"/>
      <c r="J420" s="12"/>
      <c r="K420" s="24" t="str">
        <f aca="false">IF($B420="","",IFERROR(INDEX(Inventory!$J$4:$J$503,MATCH($B420,Inventory!$A$4:$A$503,0)),0))</f>
        <v/>
      </c>
      <c r="L420" s="24" t="str">
        <f aca="false">IF(OR(B420="",E420=""),"",E420+N(F420)-N(G420)-N(H420)-N(J420)-N(K420))</f>
        <v/>
      </c>
      <c r="M420" s="28" t="str">
        <f aca="false">IF(OR(L420="",N(K420)=0),"",L420/K420)</f>
        <v/>
      </c>
      <c r="N420" s="25" t="str">
        <f aca="false">IF(OR(A420="",B420=""),"",IFERROR(A420-INDEX(Inventory!$B$4:$B$503,MATCH($B420,Inventory!$A$4:$A$503,0)),""))</f>
        <v/>
      </c>
      <c r="O420" s="27" t="str">
        <f aca="false">IF($B420="","",IFERROR(INDEX(Inventory!$F$4:$F$503,MATCH($B420,Inventory!$A$4:$A$503,0)),""))</f>
        <v/>
      </c>
      <c r="P420" s="27" t="str">
        <f aca="false">IF($B420="","",IFERROR(INDEX(Inventory!$C$4:$C$503,MATCH($B420,Inventory!$A$4:$A$503,0)),""))</f>
        <v/>
      </c>
    </row>
    <row r="421" customFormat="false" ht="15" hidden="false" customHeight="false" outlineLevel="0" collapsed="false">
      <c r="A421" s="19"/>
      <c r="B421" s="10"/>
      <c r="C421" s="23" t="str">
        <f aca="false">IF($B421="","",IFERROR(INDEX(Inventory!$E$4:$E$503,MATCH($B421,Inventory!$A$4:$A$503,0)),"SKU not found"))</f>
        <v/>
      </c>
      <c r="D421" s="10"/>
      <c r="E421" s="12"/>
      <c r="F421" s="12"/>
      <c r="G421" s="12"/>
      <c r="H421" s="24" t="str">
        <f aca="false">IF(OR(B421="",D421="",E421=""),"",IFERROR(IF(AND(D421="Poshmark",E421&lt;Settings!$B$20),Settings!$B$21,(E421+IF(INDEX(Settings!$E$4:$E$11,MATCH($D421,Settings!$A$4:$A$11,0))="Y",N(F421),0))*(INDEX(Settings!$B$4:$B$11,MATCH($D421,Settings!$A$4:$A$11,0))+INDEX(Settings!$D$4:$D$11,MATCH($D421,Settings!$A$4:$A$11,0)))+INDEX(Settings!$C$4:$C$11,MATCH($D421,Settings!$A$4:$A$11,0))),0))</f>
        <v/>
      </c>
      <c r="I421" s="12"/>
      <c r="J421" s="12"/>
      <c r="K421" s="24" t="str">
        <f aca="false">IF($B421="","",IFERROR(INDEX(Inventory!$J$4:$J$503,MATCH($B421,Inventory!$A$4:$A$503,0)),0))</f>
        <v/>
      </c>
      <c r="L421" s="24" t="str">
        <f aca="false">IF(OR(B421="",E421=""),"",E421+N(F421)-N(G421)-N(H421)-N(J421)-N(K421))</f>
        <v/>
      </c>
      <c r="M421" s="28" t="str">
        <f aca="false">IF(OR(L421="",N(K421)=0),"",L421/K421)</f>
        <v/>
      </c>
      <c r="N421" s="25" t="str">
        <f aca="false">IF(OR(A421="",B421=""),"",IFERROR(A421-INDEX(Inventory!$B$4:$B$503,MATCH($B421,Inventory!$A$4:$A$503,0)),""))</f>
        <v/>
      </c>
      <c r="O421" s="27" t="str">
        <f aca="false">IF($B421="","",IFERROR(INDEX(Inventory!$F$4:$F$503,MATCH($B421,Inventory!$A$4:$A$503,0)),""))</f>
        <v/>
      </c>
      <c r="P421" s="27" t="str">
        <f aca="false">IF($B421="","",IFERROR(INDEX(Inventory!$C$4:$C$503,MATCH($B421,Inventory!$A$4:$A$503,0)),""))</f>
        <v/>
      </c>
    </row>
    <row r="422" customFormat="false" ht="15" hidden="false" customHeight="false" outlineLevel="0" collapsed="false">
      <c r="A422" s="19"/>
      <c r="B422" s="10"/>
      <c r="C422" s="23" t="str">
        <f aca="false">IF($B422="","",IFERROR(INDEX(Inventory!$E$4:$E$503,MATCH($B422,Inventory!$A$4:$A$503,0)),"SKU not found"))</f>
        <v/>
      </c>
      <c r="D422" s="10"/>
      <c r="E422" s="12"/>
      <c r="F422" s="12"/>
      <c r="G422" s="12"/>
      <c r="H422" s="24" t="str">
        <f aca="false">IF(OR(B422="",D422="",E422=""),"",IFERROR(IF(AND(D422="Poshmark",E422&lt;Settings!$B$20),Settings!$B$21,(E422+IF(INDEX(Settings!$E$4:$E$11,MATCH($D422,Settings!$A$4:$A$11,0))="Y",N(F422),0))*(INDEX(Settings!$B$4:$B$11,MATCH($D422,Settings!$A$4:$A$11,0))+INDEX(Settings!$D$4:$D$11,MATCH($D422,Settings!$A$4:$A$11,0)))+INDEX(Settings!$C$4:$C$11,MATCH($D422,Settings!$A$4:$A$11,0))),0))</f>
        <v/>
      </c>
      <c r="I422" s="12"/>
      <c r="J422" s="12"/>
      <c r="K422" s="24" t="str">
        <f aca="false">IF($B422="","",IFERROR(INDEX(Inventory!$J$4:$J$503,MATCH($B422,Inventory!$A$4:$A$503,0)),0))</f>
        <v/>
      </c>
      <c r="L422" s="24" t="str">
        <f aca="false">IF(OR(B422="",E422=""),"",E422+N(F422)-N(G422)-N(H422)-N(J422)-N(K422))</f>
        <v/>
      </c>
      <c r="M422" s="28" t="str">
        <f aca="false">IF(OR(L422="",N(K422)=0),"",L422/K422)</f>
        <v/>
      </c>
      <c r="N422" s="25" t="str">
        <f aca="false">IF(OR(A422="",B422=""),"",IFERROR(A422-INDEX(Inventory!$B$4:$B$503,MATCH($B422,Inventory!$A$4:$A$503,0)),""))</f>
        <v/>
      </c>
      <c r="O422" s="27" t="str">
        <f aca="false">IF($B422="","",IFERROR(INDEX(Inventory!$F$4:$F$503,MATCH($B422,Inventory!$A$4:$A$503,0)),""))</f>
        <v/>
      </c>
      <c r="P422" s="27" t="str">
        <f aca="false">IF($B422="","",IFERROR(INDEX(Inventory!$C$4:$C$503,MATCH($B422,Inventory!$A$4:$A$503,0)),""))</f>
        <v/>
      </c>
    </row>
    <row r="423" customFormat="false" ht="15" hidden="false" customHeight="false" outlineLevel="0" collapsed="false">
      <c r="A423" s="19"/>
      <c r="B423" s="10"/>
      <c r="C423" s="23" t="str">
        <f aca="false">IF($B423="","",IFERROR(INDEX(Inventory!$E$4:$E$503,MATCH($B423,Inventory!$A$4:$A$503,0)),"SKU not found"))</f>
        <v/>
      </c>
      <c r="D423" s="10"/>
      <c r="E423" s="12"/>
      <c r="F423" s="12"/>
      <c r="G423" s="12"/>
      <c r="H423" s="24" t="str">
        <f aca="false">IF(OR(B423="",D423="",E423=""),"",IFERROR(IF(AND(D423="Poshmark",E423&lt;Settings!$B$20),Settings!$B$21,(E423+IF(INDEX(Settings!$E$4:$E$11,MATCH($D423,Settings!$A$4:$A$11,0))="Y",N(F423),0))*(INDEX(Settings!$B$4:$B$11,MATCH($D423,Settings!$A$4:$A$11,0))+INDEX(Settings!$D$4:$D$11,MATCH($D423,Settings!$A$4:$A$11,0)))+INDEX(Settings!$C$4:$C$11,MATCH($D423,Settings!$A$4:$A$11,0))),0))</f>
        <v/>
      </c>
      <c r="I423" s="12"/>
      <c r="J423" s="12"/>
      <c r="K423" s="24" t="str">
        <f aca="false">IF($B423="","",IFERROR(INDEX(Inventory!$J$4:$J$503,MATCH($B423,Inventory!$A$4:$A$503,0)),0))</f>
        <v/>
      </c>
      <c r="L423" s="24" t="str">
        <f aca="false">IF(OR(B423="",E423=""),"",E423+N(F423)-N(G423)-N(H423)-N(J423)-N(K423))</f>
        <v/>
      </c>
      <c r="M423" s="28" t="str">
        <f aca="false">IF(OR(L423="",N(K423)=0),"",L423/K423)</f>
        <v/>
      </c>
      <c r="N423" s="25" t="str">
        <f aca="false">IF(OR(A423="",B423=""),"",IFERROR(A423-INDEX(Inventory!$B$4:$B$503,MATCH($B423,Inventory!$A$4:$A$503,0)),""))</f>
        <v/>
      </c>
      <c r="O423" s="27" t="str">
        <f aca="false">IF($B423="","",IFERROR(INDEX(Inventory!$F$4:$F$503,MATCH($B423,Inventory!$A$4:$A$503,0)),""))</f>
        <v/>
      </c>
      <c r="P423" s="27" t="str">
        <f aca="false">IF($B423="","",IFERROR(INDEX(Inventory!$C$4:$C$503,MATCH($B423,Inventory!$A$4:$A$503,0)),""))</f>
        <v/>
      </c>
    </row>
    <row r="424" customFormat="false" ht="15" hidden="false" customHeight="false" outlineLevel="0" collapsed="false">
      <c r="A424" s="19"/>
      <c r="B424" s="10"/>
      <c r="C424" s="23" t="str">
        <f aca="false">IF($B424="","",IFERROR(INDEX(Inventory!$E$4:$E$503,MATCH($B424,Inventory!$A$4:$A$503,0)),"SKU not found"))</f>
        <v/>
      </c>
      <c r="D424" s="10"/>
      <c r="E424" s="12"/>
      <c r="F424" s="12"/>
      <c r="G424" s="12"/>
      <c r="H424" s="24" t="str">
        <f aca="false">IF(OR(B424="",D424="",E424=""),"",IFERROR(IF(AND(D424="Poshmark",E424&lt;Settings!$B$20),Settings!$B$21,(E424+IF(INDEX(Settings!$E$4:$E$11,MATCH($D424,Settings!$A$4:$A$11,0))="Y",N(F424),0))*(INDEX(Settings!$B$4:$B$11,MATCH($D424,Settings!$A$4:$A$11,0))+INDEX(Settings!$D$4:$D$11,MATCH($D424,Settings!$A$4:$A$11,0)))+INDEX(Settings!$C$4:$C$11,MATCH($D424,Settings!$A$4:$A$11,0))),0))</f>
        <v/>
      </c>
      <c r="I424" s="12"/>
      <c r="J424" s="12"/>
      <c r="K424" s="24" t="str">
        <f aca="false">IF($B424="","",IFERROR(INDEX(Inventory!$J$4:$J$503,MATCH($B424,Inventory!$A$4:$A$503,0)),0))</f>
        <v/>
      </c>
      <c r="L424" s="24" t="str">
        <f aca="false">IF(OR(B424="",E424=""),"",E424+N(F424)-N(G424)-N(H424)-N(J424)-N(K424))</f>
        <v/>
      </c>
      <c r="M424" s="28" t="str">
        <f aca="false">IF(OR(L424="",N(K424)=0),"",L424/K424)</f>
        <v/>
      </c>
      <c r="N424" s="25" t="str">
        <f aca="false">IF(OR(A424="",B424=""),"",IFERROR(A424-INDEX(Inventory!$B$4:$B$503,MATCH($B424,Inventory!$A$4:$A$503,0)),""))</f>
        <v/>
      </c>
      <c r="O424" s="27" t="str">
        <f aca="false">IF($B424="","",IFERROR(INDEX(Inventory!$F$4:$F$503,MATCH($B424,Inventory!$A$4:$A$503,0)),""))</f>
        <v/>
      </c>
      <c r="P424" s="27" t="str">
        <f aca="false">IF($B424="","",IFERROR(INDEX(Inventory!$C$4:$C$503,MATCH($B424,Inventory!$A$4:$A$503,0)),""))</f>
        <v/>
      </c>
    </row>
    <row r="425" customFormat="false" ht="15" hidden="false" customHeight="false" outlineLevel="0" collapsed="false">
      <c r="A425" s="19"/>
      <c r="B425" s="10"/>
      <c r="C425" s="23" t="str">
        <f aca="false">IF($B425="","",IFERROR(INDEX(Inventory!$E$4:$E$503,MATCH($B425,Inventory!$A$4:$A$503,0)),"SKU not found"))</f>
        <v/>
      </c>
      <c r="D425" s="10"/>
      <c r="E425" s="12"/>
      <c r="F425" s="12"/>
      <c r="G425" s="12"/>
      <c r="H425" s="24" t="str">
        <f aca="false">IF(OR(B425="",D425="",E425=""),"",IFERROR(IF(AND(D425="Poshmark",E425&lt;Settings!$B$20),Settings!$B$21,(E425+IF(INDEX(Settings!$E$4:$E$11,MATCH($D425,Settings!$A$4:$A$11,0))="Y",N(F425),0))*(INDEX(Settings!$B$4:$B$11,MATCH($D425,Settings!$A$4:$A$11,0))+INDEX(Settings!$D$4:$D$11,MATCH($D425,Settings!$A$4:$A$11,0)))+INDEX(Settings!$C$4:$C$11,MATCH($D425,Settings!$A$4:$A$11,0))),0))</f>
        <v/>
      </c>
      <c r="I425" s="12"/>
      <c r="J425" s="12"/>
      <c r="K425" s="24" t="str">
        <f aca="false">IF($B425="","",IFERROR(INDEX(Inventory!$J$4:$J$503,MATCH($B425,Inventory!$A$4:$A$503,0)),0))</f>
        <v/>
      </c>
      <c r="L425" s="24" t="str">
        <f aca="false">IF(OR(B425="",E425=""),"",E425+N(F425)-N(G425)-N(H425)-N(J425)-N(K425))</f>
        <v/>
      </c>
      <c r="M425" s="28" t="str">
        <f aca="false">IF(OR(L425="",N(K425)=0),"",L425/K425)</f>
        <v/>
      </c>
      <c r="N425" s="25" t="str">
        <f aca="false">IF(OR(A425="",B425=""),"",IFERROR(A425-INDEX(Inventory!$B$4:$B$503,MATCH($B425,Inventory!$A$4:$A$503,0)),""))</f>
        <v/>
      </c>
      <c r="O425" s="27" t="str">
        <f aca="false">IF($B425="","",IFERROR(INDEX(Inventory!$F$4:$F$503,MATCH($B425,Inventory!$A$4:$A$503,0)),""))</f>
        <v/>
      </c>
      <c r="P425" s="27" t="str">
        <f aca="false">IF($B425="","",IFERROR(INDEX(Inventory!$C$4:$C$503,MATCH($B425,Inventory!$A$4:$A$503,0)),""))</f>
        <v/>
      </c>
    </row>
    <row r="426" customFormat="false" ht="15" hidden="false" customHeight="false" outlineLevel="0" collapsed="false">
      <c r="A426" s="19"/>
      <c r="B426" s="10"/>
      <c r="C426" s="23" t="str">
        <f aca="false">IF($B426="","",IFERROR(INDEX(Inventory!$E$4:$E$503,MATCH($B426,Inventory!$A$4:$A$503,0)),"SKU not found"))</f>
        <v/>
      </c>
      <c r="D426" s="10"/>
      <c r="E426" s="12"/>
      <c r="F426" s="12"/>
      <c r="G426" s="12"/>
      <c r="H426" s="24" t="str">
        <f aca="false">IF(OR(B426="",D426="",E426=""),"",IFERROR(IF(AND(D426="Poshmark",E426&lt;Settings!$B$20),Settings!$B$21,(E426+IF(INDEX(Settings!$E$4:$E$11,MATCH($D426,Settings!$A$4:$A$11,0))="Y",N(F426),0))*(INDEX(Settings!$B$4:$B$11,MATCH($D426,Settings!$A$4:$A$11,0))+INDEX(Settings!$D$4:$D$11,MATCH($D426,Settings!$A$4:$A$11,0)))+INDEX(Settings!$C$4:$C$11,MATCH($D426,Settings!$A$4:$A$11,0))),0))</f>
        <v/>
      </c>
      <c r="I426" s="12"/>
      <c r="J426" s="12"/>
      <c r="K426" s="24" t="str">
        <f aca="false">IF($B426="","",IFERROR(INDEX(Inventory!$J$4:$J$503,MATCH($B426,Inventory!$A$4:$A$503,0)),0))</f>
        <v/>
      </c>
      <c r="L426" s="24" t="str">
        <f aca="false">IF(OR(B426="",E426=""),"",E426+N(F426)-N(G426)-N(H426)-N(J426)-N(K426))</f>
        <v/>
      </c>
      <c r="M426" s="28" t="str">
        <f aca="false">IF(OR(L426="",N(K426)=0),"",L426/K426)</f>
        <v/>
      </c>
      <c r="N426" s="25" t="str">
        <f aca="false">IF(OR(A426="",B426=""),"",IFERROR(A426-INDEX(Inventory!$B$4:$B$503,MATCH($B426,Inventory!$A$4:$A$503,0)),""))</f>
        <v/>
      </c>
      <c r="O426" s="27" t="str">
        <f aca="false">IF($B426="","",IFERROR(INDEX(Inventory!$F$4:$F$503,MATCH($B426,Inventory!$A$4:$A$503,0)),""))</f>
        <v/>
      </c>
      <c r="P426" s="27" t="str">
        <f aca="false">IF($B426="","",IFERROR(INDEX(Inventory!$C$4:$C$503,MATCH($B426,Inventory!$A$4:$A$503,0)),""))</f>
        <v/>
      </c>
    </row>
    <row r="427" customFormat="false" ht="15" hidden="false" customHeight="false" outlineLevel="0" collapsed="false">
      <c r="A427" s="19"/>
      <c r="B427" s="10"/>
      <c r="C427" s="23" t="str">
        <f aca="false">IF($B427="","",IFERROR(INDEX(Inventory!$E$4:$E$503,MATCH($B427,Inventory!$A$4:$A$503,0)),"SKU not found"))</f>
        <v/>
      </c>
      <c r="D427" s="10"/>
      <c r="E427" s="12"/>
      <c r="F427" s="12"/>
      <c r="G427" s="12"/>
      <c r="H427" s="24" t="str">
        <f aca="false">IF(OR(B427="",D427="",E427=""),"",IFERROR(IF(AND(D427="Poshmark",E427&lt;Settings!$B$20),Settings!$B$21,(E427+IF(INDEX(Settings!$E$4:$E$11,MATCH($D427,Settings!$A$4:$A$11,0))="Y",N(F427),0))*(INDEX(Settings!$B$4:$B$11,MATCH($D427,Settings!$A$4:$A$11,0))+INDEX(Settings!$D$4:$D$11,MATCH($D427,Settings!$A$4:$A$11,0)))+INDEX(Settings!$C$4:$C$11,MATCH($D427,Settings!$A$4:$A$11,0))),0))</f>
        <v/>
      </c>
      <c r="I427" s="12"/>
      <c r="J427" s="12"/>
      <c r="K427" s="24" t="str">
        <f aca="false">IF($B427="","",IFERROR(INDEX(Inventory!$J$4:$J$503,MATCH($B427,Inventory!$A$4:$A$503,0)),0))</f>
        <v/>
      </c>
      <c r="L427" s="24" t="str">
        <f aca="false">IF(OR(B427="",E427=""),"",E427+N(F427)-N(G427)-N(H427)-N(J427)-N(K427))</f>
        <v/>
      </c>
      <c r="M427" s="28" t="str">
        <f aca="false">IF(OR(L427="",N(K427)=0),"",L427/K427)</f>
        <v/>
      </c>
      <c r="N427" s="25" t="str">
        <f aca="false">IF(OR(A427="",B427=""),"",IFERROR(A427-INDEX(Inventory!$B$4:$B$503,MATCH($B427,Inventory!$A$4:$A$503,0)),""))</f>
        <v/>
      </c>
      <c r="O427" s="27" t="str">
        <f aca="false">IF($B427="","",IFERROR(INDEX(Inventory!$F$4:$F$503,MATCH($B427,Inventory!$A$4:$A$503,0)),""))</f>
        <v/>
      </c>
      <c r="P427" s="27" t="str">
        <f aca="false">IF($B427="","",IFERROR(INDEX(Inventory!$C$4:$C$503,MATCH($B427,Inventory!$A$4:$A$503,0)),""))</f>
        <v/>
      </c>
    </row>
    <row r="428" customFormat="false" ht="15" hidden="false" customHeight="false" outlineLevel="0" collapsed="false">
      <c r="A428" s="19"/>
      <c r="B428" s="10"/>
      <c r="C428" s="23" t="str">
        <f aca="false">IF($B428="","",IFERROR(INDEX(Inventory!$E$4:$E$503,MATCH($B428,Inventory!$A$4:$A$503,0)),"SKU not found"))</f>
        <v/>
      </c>
      <c r="D428" s="10"/>
      <c r="E428" s="12"/>
      <c r="F428" s="12"/>
      <c r="G428" s="12"/>
      <c r="H428" s="24" t="str">
        <f aca="false">IF(OR(B428="",D428="",E428=""),"",IFERROR(IF(AND(D428="Poshmark",E428&lt;Settings!$B$20),Settings!$B$21,(E428+IF(INDEX(Settings!$E$4:$E$11,MATCH($D428,Settings!$A$4:$A$11,0))="Y",N(F428),0))*(INDEX(Settings!$B$4:$B$11,MATCH($D428,Settings!$A$4:$A$11,0))+INDEX(Settings!$D$4:$D$11,MATCH($D428,Settings!$A$4:$A$11,0)))+INDEX(Settings!$C$4:$C$11,MATCH($D428,Settings!$A$4:$A$11,0))),0))</f>
        <v/>
      </c>
      <c r="I428" s="12"/>
      <c r="J428" s="12"/>
      <c r="K428" s="24" t="str">
        <f aca="false">IF($B428="","",IFERROR(INDEX(Inventory!$J$4:$J$503,MATCH($B428,Inventory!$A$4:$A$503,0)),0))</f>
        <v/>
      </c>
      <c r="L428" s="24" t="str">
        <f aca="false">IF(OR(B428="",E428=""),"",E428+N(F428)-N(G428)-N(H428)-N(J428)-N(K428))</f>
        <v/>
      </c>
      <c r="M428" s="28" t="str">
        <f aca="false">IF(OR(L428="",N(K428)=0),"",L428/K428)</f>
        <v/>
      </c>
      <c r="N428" s="25" t="str">
        <f aca="false">IF(OR(A428="",B428=""),"",IFERROR(A428-INDEX(Inventory!$B$4:$B$503,MATCH($B428,Inventory!$A$4:$A$503,0)),""))</f>
        <v/>
      </c>
      <c r="O428" s="27" t="str">
        <f aca="false">IF($B428="","",IFERROR(INDEX(Inventory!$F$4:$F$503,MATCH($B428,Inventory!$A$4:$A$503,0)),""))</f>
        <v/>
      </c>
      <c r="P428" s="27" t="str">
        <f aca="false">IF($B428="","",IFERROR(INDEX(Inventory!$C$4:$C$503,MATCH($B428,Inventory!$A$4:$A$503,0)),""))</f>
        <v/>
      </c>
    </row>
    <row r="429" customFormat="false" ht="15" hidden="false" customHeight="false" outlineLevel="0" collapsed="false">
      <c r="A429" s="19"/>
      <c r="B429" s="10"/>
      <c r="C429" s="23" t="str">
        <f aca="false">IF($B429="","",IFERROR(INDEX(Inventory!$E$4:$E$503,MATCH($B429,Inventory!$A$4:$A$503,0)),"SKU not found"))</f>
        <v/>
      </c>
      <c r="D429" s="10"/>
      <c r="E429" s="12"/>
      <c r="F429" s="12"/>
      <c r="G429" s="12"/>
      <c r="H429" s="24" t="str">
        <f aca="false">IF(OR(B429="",D429="",E429=""),"",IFERROR(IF(AND(D429="Poshmark",E429&lt;Settings!$B$20),Settings!$B$21,(E429+IF(INDEX(Settings!$E$4:$E$11,MATCH($D429,Settings!$A$4:$A$11,0))="Y",N(F429),0))*(INDEX(Settings!$B$4:$B$11,MATCH($D429,Settings!$A$4:$A$11,0))+INDEX(Settings!$D$4:$D$11,MATCH($D429,Settings!$A$4:$A$11,0)))+INDEX(Settings!$C$4:$C$11,MATCH($D429,Settings!$A$4:$A$11,0))),0))</f>
        <v/>
      </c>
      <c r="I429" s="12"/>
      <c r="J429" s="12"/>
      <c r="K429" s="24" t="str">
        <f aca="false">IF($B429="","",IFERROR(INDEX(Inventory!$J$4:$J$503,MATCH($B429,Inventory!$A$4:$A$503,0)),0))</f>
        <v/>
      </c>
      <c r="L429" s="24" t="str">
        <f aca="false">IF(OR(B429="",E429=""),"",E429+N(F429)-N(G429)-N(H429)-N(J429)-N(K429))</f>
        <v/>
      </c>
      <c r="M429" s="28" t="str">
        <f aca="false">IF(OR(L429="",N(K429)=0),"",L429/K429)</f>
        <v/>
      </c>
      <c r="N429" s="25" t="str">
        <f aca="false">IF(OR(A429="",B429=""),"",IFERROR(A429-INDEX(Inventory!$B$4:$B$503,MATCH($B429,Inventory!$A$4:$A$503,0)),""))</f>
        <v/>
      </c>
      <c r="O429" s="27" t="str">
        <f aca="false">IF($B429="","",IFERROR(INDEX(Inventory!$F$4:$F$503,MATCH($B429,Inventory!$A$4:$A$503,0)),""))</f>
        <v/>
      </c>
      <c r="P429" s="27" t="str">
        <f aca="false">IF($B429="","",IFERROR(INDEX(Inventory!$C$4:$C$503,MATCH($B429,Inventory!$A$4:$A$503,0)),""))</f>
        <v/>
      </c>
    </row>
    <row r="430" customFormat="false" ht="15" hidden="false" customHeight="false" outlineLevel="0" collapsed="false">
      <c r="A430" s="19"/>
      <c r="B430" s="10"/>
      <c r="C430" s="23" t="str">
        <f aca="false">IF($B430="","",IFERROR(INDEX(Inventory!$E$4:$E$503,MATCH($B430,Inventory!$A$4:$A$503,0)),"SKU not found"))</f>
        <v/>
      </c>
      <c r="D430" s="10"/>
      <c r="E430" s="12"/>
      <c r="F430" s="12"/>
      <c r="G430" s="12"/>
      <c r="H430" s="24" t="str">
        <f aca="false">IF(OR(B430="",D430="",E430=""),"",IFERROR(IF(AND(D430="Poshmark",E430&lt;Settings!$B$20),Settings!$B$21,(E430+IF(INDEX(Settings!$E$4:$E$11,MATCH($D430,Settings!$A$4:$A$11,0))="Y",N(F430),0))*(INDEX(Settings!$B$4:$B$11,MATCH($D430,Settings!$A$4:$A$11,0))+INDEX(Settings!$D$4:$D$11,MATCH($D430,Settings!$A$4:$A$11,0)))+INDEX(Settings!$C$4:$C$11,MATCH($D430,Settings!$A$4:$A$11,0))),0))</f>
        <v/>
      </c>
      <c r="I430" s="12"/>
      <c r="J430" s="12"/>
      <c r="K430" s="24" t="str">
        <f aca="false">IF($B430="","",IFERROR(INDEX(Inventory!$J$4:$J$503,MATCH($B430,Inventory!$A$4:$A$503,0)),0))</f>
        <v/>
      </c>
      <c r="L430" s="24" t="str">
        <f aca="false">IF(OR(B430="",E430=""),"",E430+N(F430)-N(G430)-N(H430)-N(J430)-N(K430))</f>
        <v/>
      </c>
      <c r="M430" s="28" t="str">
        <f aca="false">IF(OR(L430="",N(K430)=0),"",L430/K430)</f>
        <v/>
      </c>
      <c r="N430" s="25" t="str">
        <f aca="false">IF(OR(A430="",B430=""),"",IFERROR(A430-INDEX(Inventory!$B$4:$B$503,MATCH($B430,Inventory!$A$4:$A$503,0)),""))</f>
        <v/>
      </c>
      <c r="O430" s="27" t="str">
        <f aca="false">IF($B430="","",IFERROR(INDEX(Inventory!$F$4:$F$503,MATCH($B430,Inventory!$A$4:$A$503,0)),""))</f>
        <v/>
      </c>
      <c r="P430" s="27" t="str">
        <f aca="false">IF($B430="","",IFERROR(INDEX(Inventory!$C$4:$C$503,MATCH($B430,Inventory!$A$4:$A$503,0)),""))</f>
        <v/>
      </c>
    </row>
    <row r="431" customFormat="false" ht="15" hidden="false" customHeight="false" outlineLevel="0" collapsed="false">
      <c r="A431" s="19"/>
      <c r="B431" s="10"/>
      <c r="C431" s="23" t="str">
        <f aca="false">IF($B431="","",IFERROR(INDEX(Inventory!$E$4:$E$503,MATCH($B431,Inventory!$A$4:$A$503,0)),"SKU not found"))</f>
        <v/>
      </c>
      <c r="D431" s="10"/>
      <c r="E431" s="12"/>
      <c r="F431" s="12"/>
      <c r="G431" s="12"/>
      <c r="H431" s="24" t="str">
        <f aca="false">IF(OR(B431="",D431="",E431=""),"",IFERROR(IF(AND(D431="Poshmark",E431&lt;Settings!$B$20),Settings!$B$21,(E431+IF(INDEX(Settings!$E$4:$E$11,MATCH($D431,Settings!$A$4:$A$11,0))="Y",N(F431),0))*(INDEX(Settings!$B$4:$B$11,MATCH($D431,Settings!$A$4:$A$11,0))+INDEX(Settings!$D$4:$D$11,MATCH($D431,Settings!$A$4:$A$11,0)))+INDEX(Settings!$C$4:$C$11,MATCH($D431,Settings!$A$4:$A$11,0))),0))</f>
        <v/>
      </c>
      <c r="I431" s="12"/>
      <c r="J431" s="12"/>
      <c r="K431" s="24" t="str">
        <f aca="false">IF($B431="","",IFERROR(INDEX(Inventory!$J$4:$J$503,MATCH($B431,Inventory!$A$4:$A$503,0)),0))</f>
        <v/>
      </c>
      <c r="L431" s="24" t="str">
        <f aca="false">IF(OR(B431="",E431=""),"",E431+N(F431)-N(G431)-N(H431)-N(J431)-N(K431))</f>
        <v/>
      </c>
      <c r="M431" s="28" t="str">
        <f aca="false">IF(OR(L431="",N(K431)=0),"",L431/K431)</f>
        <v/>
      </c>
      <c r="N431" s="25" t="str">
        <f aca="false">IF(OR(A431="",B431=""),"",IFERROR(A431-INDEX(Inventory!$B$4:$B$503,MATCH($B431,Inventory!$A$4:$A$503,0)),""))</f>
        <v/>
      </c>
      <c r="O431" s="27" t="str">
        <f aca="false">IF($B431="","",IFERROR(INDEX(Inventory!$F$4:$F$503,MATCH($B431,Inventory!$A$4:$A$503,0)),""))</f>
        <v/>
      </c>
      <c r="P431" s="27" t="str">
        <f aca="false">IF($B431="","",IFERROR(INDEX(Inventory!$C$4:$C$503,MATCH($B431,Inventory!$A$4:$A$503,0)),""))</f>
        <v/>
      </c>
    </row>
    <row r="432" customFormat="false" ht="15" hidden="false" customHeight="false" outlineLevel="0" collapsed="false">
      <c r="A432" s="19"/>
      <c r="B432" s="10"/>
      <c r="C432" s="23" t="str">
        <f aca="false">IF($B432="","",IFERROR(INDEX(Inventory!$E$4:$E$503,MATCH($B432,Inventory!$A$4:$A$503,0)),"SKU not found"))</f>
        <v/>
      </c>
      <c r="D432" s="10"/>
      <c r="E432" s="12"/>
      <c r="F432" s="12"/>
      <c r="G432" s="12"/>
      <c r="H432" s="24" t="str">
        <f aca="false">IF(OR(B432="",D432="",E432=""),"",IFERROR(IF(AND(D432="Poshmark",E432&lt;Settings!$B$20),Settings!$B$21,(E432+IF(INDEX(Settings!$E$4:$E$11,MATCH($D432,Settings!$A$4:$A$11,0))="Y",N(F432),0))*(INDEX(Settings!$B$4:$B$11,MATCH($D432,Settings!$A$4:$A$11,0))+INDEX(Settings!$D$4:$D$11,MATCH($D432,Settings!$A$4:$A$11,0)))+INDEX(Settings!$C$4:$C$11,MATCH($D432,Settings!$A$4:$A$11,0))),0))</f>
        <v/>
      </c>
      <c r="I432" s="12"/>
      <c r="J432" s="12"/>
      <c r="K432" s="24" t="str">
        <f aca="false">IF($B432="","",IFERROR(INDEX(Inventory!$J$4:$J$503,MATCH($B432,Inventory!$A$4:$A$503,0)),0))</f>
        <v/>
      </c>
      <c r="L432" s="24" t="str">
        <f aca="false">IF(OR(B432="",E432=""),"",E432+N(F432)-N(G432)-N(H432)-N(J432)-N(K432))</f>
        <v/>
      </c>
      <c r="M432" s="28" t="str">
        <f aca="false">IF(OR(L432="",N(K432)=0),"",L432/K432)</f>
        <v/>
      </c>
      <c r="N432" s="25" t="str">
        <f aca="false">IF(OR(A432="",B432=""),"",IFERROR(A432-INDEX(Inventory!$B$4:$B$503,MATCH($B432,Inventory!$A$4:$A$503,0)),""))</f>
        <v/>
      </c>
      <c r="O432" s="27" t="str">
        <f aca="false">IF($B432="","",IFERROR(INDEX(Inventory!$F$4:$F$503,MATCH($B432,Inventory!$A$4:$A$503,0)),""))</f>
        <v/>
      </c>
      <c r="P432" s="27" t="str">
        <f aca="false">IF($B432="","",IFERROR(INDEX(Inventory!$C$4:$C$503,MATCH($B432,Inventory!$A$4:$A$503,0)),""))</f>
        <v/>
      </c>
    </row>
    <row r="433" customFormat="false" ht="15" hidden="false" customHeight="false" outlineLevel="0" collapsed="false">
      <c r="A433" s="19"/>
      <c r="B433" s="10"/>
      <c r="C433" s="23" t="str">
        <f aca="false">IF($B433="","",IFERROR(INDEX(Inventory!$E$4:$E$503,MATCH($B433,Inventory!$A$4:$A$503,0)),"SKU not found"))</f>
        <v/>
      </c>
      <c r="D433" s="10"/>
      <c r="E433" s="12"/>
      <c r="F433" s="12"/>
      <c r="G433" s="12"/>
      <c r="H433" s="24" t="str">
        <f aca="false">IF(OR(B433="",D433="",E433=""),"",IFERROR(IF(AND(D433="Poshmark",E433&lt;Settings!$B$20),Settings!$B$21,(E433+IF(INDEX(Settings!$E$4:$E$11,MATCH($D433,Settings!$A$4:$A$11,0))="Y",N(F433),0))*(INDEX(Settings!$B$4:$B$11,MATCH($D433,Settings!$A$4:$A$11,0))+INDEX(Settings!$D$4:$D$11,MATCH($D433,Settings!$A$4:$A$11,0)))+INDEX(Settings!$C$4:$C$11,MATCH($D433,Settings!$A$4:$A$11,0))),0))</f>
        <v/>
      </c>
      <c r="I433" s="12"/>
      <c r="J433" s="12"/>
      <c r="K433" s="24" t="str">
        <f aca="false">IF($B433="","",IFERROR(INDEX(Inventory!$J$4:$J$503,MATCH($B433,Inventory!$A$4:$A$503,0)),0))</f>
        <v/>
      </c>
      <c r="L433" s="24" t="str">
        <f aca="false">IF(OR(B433="",E433=""),"",E433+N(F433)-N(G433)-N(H433)-N(J433)-N(K433))</f>
        <v/>
      </c>
      <c r="M433" s="28" t="str">
        <f aca="false">IF(OR(L433="",N(K433)=0),"",L433/K433)</f>
        <v/>
      </c>
      <c r="N433" s="25" t="str">
        <f aca="false">IF(OR(A433="",B433=""),"",IFERROR(A433-INDEX(Inventory!$B$4:$B$503,MATCH($B433,Inventory!$A$4:$A$503,0)),""))</f>
        <v/>
      </c>
      <c r="O433" s="27" t="str">
        <f aca="false">IF($B433="","",IFERROR(INDEX(Inventory!$F$4:$F$503,MATCH($B433,Inventory!$A$4:$A$503,0)),""))</f>
        <v/>
      </c>
      <c r="P433" s="27" t="str">
        <f aca="false">IF($B433="","",IFERROR(INDEX(Inventory!$C$4:$C$503,MATCH($B433,Inventory!$A$4:$A$503,0)),""))</f>
        <v/>
      </c>
    </row>
    <row r="434" customFormat="false" ht="15" hidden="false" customHeight="false" outlineLevel="0" collapsed="false">
      <c r="A434" s="19"/>
      <c r="B434" s="10"/>
      <c r="C434" s="23" t="str">
        <f aca="false">IF($B434="","",IFERROR(INDEX(Inventory!$E$4:$E$503,MATCH($B434,Inventory!$A$4:$A$503,0)),"SKU not found"))</f>
        <v/>
      </c>
      <c r="D434" s="10"/>
      <c r="E434" s="12"/>
      <c r="F434" s="12"/>
      <c r="G434" s="12"/>
      <c r="H434" s="24" t="str">
        <f aca="false">IF(OR(B434="",D434="",E434=""),"",IFERROR(IF(AND(D434="Poshmark",E434&lt;Settings!$B$20),Settings!$B$21,(E434+IF(INDEX(Settings!$E$4:$E$11,MATCH($D434,Settings!$A$4:$A$11,0))="Y",N(F434),0))*(INDEX(Settings!$B$4:$B$11,MATCH($D434,Settings!$A$4:$A$11,0))+INDEX(Settings!$D$4:$D$11,MATCH($D434,Settings!$A$4:$A$11,0)))+INDEX(Settings!$C$4:$C$11,MATCH($D434,Settings!$A$4:$A$11,0))),0))</f>
        <v/>
      </c>
      <c r="I434" s="12"/>
      <c r="J434" s="12"/>
      <c r="K434" s="24" t="str">
        <f aca="false">IF($B434="","",IFERROR(INDEX(Inventory!$J$4:$J$503,MATCH($B434,Inventory!$A$4:$A$503,0)),0))</f>
        <v/>
      </c>
      <c r="L434" s="24" t="str">
        <f aca="false">IF(OR(B434="",E434=""),"",E434+N(F434)-N(G434)-N(H434)-N(J434)-N(K434))</f>
        <v/>
      </c>
      <c r="M434" s="28" t="str">
        <f aca="false">IF(OR(L434="",N(K434)=0),"",L434/K434)</f>
        <v/>
      </c>
      <c r="N434" s="25" t="str">
        <f aca="false">IF(OR(A434="",B434=""),"",IFERROR(A434-INDEX(Inventory!$B$4:$B$503,MATCH($B434,Inventory!$A$4:$A$503,0)),""))</f>
        <v/>
      </c>
      <c r="O434" s="27" t="str">
        <f aca="false">IF($B434="","",IFERROR(INDEX(Inventory!$F$4:$F$503,MATCH($B434,Inventory!$A$4:$A$503,0)),""))</f>
        <v/>
      </c>
      <c r="P434" s="27" t="str">
        <f aca="false">IF($B434="","",IFERROR(INDEX(Inventory!$C$4:$C$503,MATCH($B434,Inventory!$A$4:$A$503,0)),""))</f>
        <v/>
      </c>
    </row>
    <row r="435" customFormat="false" ht="15" hidden="false" customHeight="false" outlineLevel="0" collapsed="false">
      <c r="A435" s="19"/>
      <c r="B435" s="10"/>
      <c r="C435" s="23" t="str">
        <f aca="false">IF($B435="","",IFERROR(INDEX(Inventory!$E$4:$E$503,MATCH($B435,Inventory!$A$4:$A$503,0)),"SKU not found"))</f>
        <v/>
      </c>
      <c r="D435" s="10"/>
      <c r="E435" s="12"/>
      <c r="F435" s="12"/>
      <c r="G435" s="12"/>
      <c r="H435" s="24" t="str">
        <f aca="false">IF(OR(B435="",D435="",E435=""),"",IFERROR(IF(AND(D435="Poshmark",E435&lt;Settings!$B$20),Settings!$B$21,(E435+IF(INDEX(Settings!$E$4:$E$11,MATCH($D435,Settings!$A$4:$A$11,0))="Y",N(F435),0))*(INDEX(Settings!$B$4:$B$11,MATCH($D435,Settings!$A$4:$A$11,0))+INDEX(Settings!$D$4:$D$11,MATCH($D435,Settings!$A$4:$A$11,0)))+INDEX(Settings!$C$4:$C$11,MATCH($D435,Settings!$A$4:$A$11,0))),0))</f>
        <v/>
      </c>
      <c r="I435" s="12"/>
      <c r="J435" s="12"/>
      <c r="K435" s="24" t="str">
        <f aca="false">IF($B435="","",IFERROR(INDEX(Inventory!$J$4:$J$503,MATCH($B435,Inventory!$A$4:$A$503,0)),0))</f>
        <v/>
      </c>
      <c r="L435" s="24" t="str">
        <f aca="false">IF(OR(B435="",E435=""),"",E435+N(F435)-N(G435)-N(H435)-N(J435)-N(K435))</f>
        <v/>
      </c>
      <c r="M435" s="28" t="str">
        <f aca="false">IF(OR(L435="",N(K435)=0),"",L435/K435)</f>
        <v/>
      </c>
      <c r="N435" s="25" t="str">
        <f aca="false">IF(OR(A435="",B435=""),"",IFERROR(A435-INDEX(Inventory!$B$4:$B$503,MATCH($B435,Inventory!$A$4:$A$503,0)),""))</f>
        <v/>
      </c>
      <c r="O435" s="27" t="str">
        <f aca="false">IF($B435="","",IFERROR(INDEX(Inventory!$F$4:$F$503,MATCH($B435,Inventory!$A$4:$A$503,0)),""))</f>
        <v/>
      </c>
      <c r="P435" s="27" t="str">
        <f aca="false">IF($B435="","",IFERROR(INDEX(Inventory!$C$4:$C$503,MATCH($B435,Inventory!$A$4:$A$503,0)),""))</f>
        <v/>
      </c>
    </row>
    <row r="436" customFormat="false" ht="15" hidden="false" customHeight="false" outlineLevel="0" collapsed="false">
      <c r="A436" s="19"/>
      <c r="B436" s="10"/>
      <c r="C436" s="23" t="str">
        <f aca="false">IF($B436="","",IFERROR(INDEX(Inventory!$E$4:$E$503,MATCH($B436,Inventory!$A$4:$A$503,0)),"SKU not found"))</f>
        <v/>
      </c>
      <c r="D436" s="10"/>
      <c r="E436" s="12"/>
      <c r="F436" s="12"/>
      <c r="G436" s="12"/>
      <c r="H436" s="24" t="str">
        <f aca="false">IF(OR(B436="",D436="",E436=""),"",IFERROR(IF(AND(D436="Poshmark",E436&lt;Settings!$B$20),Settings!$B$21,(E436+IF(INDEX(Settings!$E$4:$E$11,MATCH($D436,Settings!$A$4:$A$11,0))="Y",N(F436),0))*(INDEX(Settings!$B$4:$B$11,MATCH($D436,Settings!$A$4:$A$11,0))+INDEX(Settings!$D$4:$D$11,MATCH($D436,Settings!$A$4:$A$11,0)))+INDEX(Settings!$C$4:$C$11,MATCH($D436,Settings!$A$4:$A$11,0))),0))</f>
        <v/>
      </c>
      <c r="I436" s="12"/>
      <c r="J436" s="12"/>
      <c r="K436" s="24" t="str">
        <f aca="false">IF($B436="","",IFERROR(INDEX(Inventory!$J$4:$J$503,MATCH($B436,Inventory!$A$4:$A$503,0)),0))</f>
        <v/>
      </c>
      <c r="L436" s="24" t="str">
        <f aca="false">IF(OR(B436="",E436=""),"",E436+N(F436)-N(G436)-N(H436)-N(J436)-N(K436))</f>
        <v/>
      </c>
      <c r="M436" s="28" t="str">
        <f aca="false">IF(OR(L436="",N(K436)=0),"",L436/K436)</f>
        <v/>
      </c>
      <c r="N436" s="25" t="str">
        <f aca="false">IF(OR(A436="",B436=""),"",IFERROR(A436-INDEX(Inventory!$B$4:$B$503,MATCH($B436,Inventory!$A$4:$A$503,0)),""))</f>
        <v/>
      </c>
      <c r="O436" s="27" t="str">
        <f aca="false">IF($B436="","",IFERROR(INDEX(Inventory!$F$4:$F$503,MATCH($B436,Inventory!$A$4:$A$503,0)),""))</f>
        <v/>
      </c>
      <c r="P436" s="27" t="str">
        <f aca="false">IF($B436="","",IFERROR(INDEX(Inventory!$C$4:$C$503,MATCH($B436,Inventory!$A$4:$A$503,0)),""))</f>
        <v/>
      </c>
    </row>
    <row r="437" customFormat="false" ht="15" hidden="false" customHeight="false" outlineLevel="0" collapsed="false">
      <c r="A437" s="19"/>
      <c r="B437" s="10"/>
      <c r="C437" s="23" t="str">
        <f aca="false">IF($B437="","",IFERROR(INDEX(Inventory!$E$4:$E$503,MATCH($B437,Inventory!$A$4:$A$503,0)),"SKU not found"))</f>
        <v/>
      </c>
      <c r="D437" s="10"/>
      <c r="E437" s="12"/>
      <c r="F437" s="12"/>
      <c r="G437" s="12"/>
      <c r="H437" s="24" t="str">
        <f aca="false">IF(OR(B437="",D437="",E437=""),"",IFERROR(IF(AND(D437="Poshmark",E437&lt;Settings!$B$20),Settings!$B$21,(E437+IF(INDEX(Settings!$E$4:$E$11,MATCH($D437,Settings!$A$4:$A$11,0))="Y",N(F437),0))*(INDEX(Settings!$B$4:$B$11,MATCH($D437,Settings!$A$4:$A$11,0))+INDEX(Settings!$D$4:$D$11,MATCH($D437,Settings!$A$4:$A$11,0)))+INDEX(Settings!$C$4:$C$11,MATCH($D437,Settings!$A$4:$A$11,0))),0))</f>
        <v/>
      </c>
      <c r="I437" s="12"/>
      <c r="J437" s="12"/>
      <c r="K437" s="24" t="str">
        <f aca="false">IF($B437="","",IFERROR(INDEX(Inventory!$J$4:$J$503,MATCH($B437,Inventory!$A$4:$A$503,0)),0))</f>
        <v/>
      </c>
      <c r="L437" s="24" t="str">
        <f aca="false">IF(OR(B437="",E437=""),"",E437+N(F437)-N(G437)-N(H437)-N(J437)-N(K437))</f>
        <v/>
      </c>
      <c r="M437" s="28" t="str">
        <f aca="false">IF(OR(L437="",N(K437)=0),"",L437/K437)</f>
        <v/>
      </c>
      <c r="N437" s="25" t="str">
        <f aca="false">IF(OR(A437="",B437=""),"",IFERROR(A437-INDEX(Inventory!$B$4:$B$503,MATCH($B437,Inventory!$A$4:$A$503,0)),""))</f>
        <v/>
      </c>
      <c r="O437" s="27" t="str">
        <f aca="false">IF($B437="","",IFERROR(INDEX(Inventory!$F$4:$F$503,MATCH($B437,Inventory!$A$4:$A$503,0)),""))</f>
        <v/>
      </c>
      <c r="P437" s="27" t="str">
        <f aca="false">IF($B437="","",IFERROR(INDEX(Inventory!$C$4:$C$503,MATCH($B437,Inventory!$A$4:$A$503,0)),""))</f>
        <v/>
      </c>
    </row>
    <row r="438" customFormat="false" ht="15" hidden="false" customHeight="false" outlineLevel="0" collapsed="false">
      <c r="A438" s="19"/>
      <c r="B438" s="10"/>
      <c r="C438" s="23" t="str">
        <f aca="false">IF($B438="","",IFERROR(INDEX(Inventory!$E$4:$E$503,MATCH($B438,Inventory!$A$4:$A$503,0)),"SKU not found"))</f>
        <v/>
      </c>
      <c r="D438" s="10"/>
      <c r="E438" s="12"/>
      <c r="F438" s="12"/>
      <c r="G438" s="12"/>
      <c r="H438" s="24" t="str">
        <f aca="false">IF(OR(B438="",D438="",E438=""),"",IFERROR(IF(AND(D438="Poshmark",E438&lt;Settings!$B$20),Settings!$B$21,(E438+IF(INDEX(Settings!$E$4:$E$11,MATCH($D438,Settings!$A$4:$A$11,0))="Y",N(F438),0))*(INDEX(Settings!$B$4:$B$11,MATCH($D438,Settings!$A$4:$A$11,0))+INDEX(Settings!$D$4:$D$11,MATCH($D438,Settings!$A$4:$A$11,0)))+INDEX(Settings!$C$4:$C$11,MATCH($D438,Settings!$A$4:$A$11,0))),0))</f>
        <v/>
      </c>
      <c r="I438" s="12"/>
      <c r="J438" s="12"/>
      <c r="K438" s="24" t="str">
        <f aca="false">IF($B438="","",IFERROR(INDEX(Inventory!$J$4:$J$503,MATCH($B438,Inventory!$A$4:$A$503,0)),0))</f>
        <v/>
      </c>
      <c r="L438" s="24" t="str">
        <f aca="false">IF(OR(B438="",E438=""),"",E438+N(F438)-N(G438)-N(H438)-N(J438)-N(K438))</f>
        <v/>
      </c>
      <c r="M438" s="28" t="str">
        <f aca="false">IF(OR(L438="",N(K438)=0),"",L438/K438)</f>
        <v/>
      </c>
      <c r="N438" s="25" t="str">
        <f aca="false">IF(OR(A438="",B438=""),"",IFERROR(A438-INDEX(Inventory!$B$4:$B$503,MATCH($B438,Inventory!$A$4:$A$503,0)),""))</f>
        <v/>
      </c>
      <c r="O438" s="27" t="str">
        <f aca="false">IF($B438="","",IFERROR(INDEX(Inventory!$F$4:$F$503,MATCH($B438,Inventory!$A$4:$A$503,0)),""))</f>
        <v/>
      </c>
      <c r="P438" s="27" t="str">
        <f aca="false">IF($B438="","",IFERROR(INDEX(Inventory!$C$4:$C$503,MATCH($B438,Inventory!$A$4:$A$503,0)),""))</f>
        <v/>
      </c>
    </row>
    <row r="439" customFormat="false" ht="15" hidden="false" customHeight="false" outlineLevel="0" collapsed="false">
      <c r="A439" s="19"/>
      <c r="B439" s="10"/>
      <c r="C439" s="23" t="str">
        <f aca="false">IF($B439="","",IFERROR(INDEX(Inventory!$E$4:$E$503,MATCH($B439,Inventory!$A$4:$A$503,0)),"SKU not found"))</f>
        <v/>
      </c>
      <c r="D439" s="10"/>
      <c r="E439" s="12"/>
      <c r="F439" s="12"/>
      <c r="G439" s="12"/>
      <c r="H439" s="24" t="str">
        <f aca="false">IF(OR(B439="",D439="",E439=""),"",IFERROR(IF(AND(D439="Poshmark",E439&lt;Settings!$B$20),Settings!$B$21,(E439+IF(INDEX(Settings!$E$4:$E$11,MATCH($D439,Settings!$A$4:$A$11,0))="Y",N(F439),0))*(INDEX(Settings!$B$4:$B$11,MATCH($D439,Settings!$A$4:$A$11,0))+INDEX(Settings!$D$4:$D$11,MATCH($D439,Settings!$A$4:$A$11,0)))+INDEX(Settings!$C$4:$C$11,MATCH($D439,Settings!$A$4:$A$11,0))),0))</f>
        <v/>
      </c>
      <c r="I439" s="12"/>
      <c r="J439" s="12"/>
      <c r="K439" s="24" t="str">
        <f aca="false">IF($B439="","",IFERROR(INDEX(Inventory!$J$4:$J$503,MATCH($B439,Inventory!$A$4:$A$503,0)),0))</f>
        <v/>
      </c>
      <c r="L439" s="24" t="str">
        <f aca="false">IF(OR(B439="",E439=""),"",E439+N(F439)-N(G439)-N(H439)-N(J439)-N(K439))</f>
        <v/>
      </c>
      <c r="M439" s="28" t="str">
        <f aca="false">IF(OR(L439="",N(K439)=0),"",L439/K439)</f>
        <v/>
      </c>
      <c r="N439" s="25" t="str">
        <f aca="false">IF(OR(A439="",B439=""),"",IFERROR(A439-INDEX(Inventory!$B$4:$B$503,MATCH($B439,Inventory!$A$4:$A$503,0)),""))</f>
        <v/>
      </c>
      <c r="O439" s="27" t="str">
        <f aca="false">IF($B439="","",IFERROR(INDEX(Inventory!$F$4:$F$503,MATCH($B439,Inventory!$A$4:$A$503,0)),""))</f>
        <v/>
      </c>
      <c r="P439" s="27" t="str">
        <f aca="false">IF($B439="","",IFERROR(INDEX(Inventory!$C$4:$C$503,MATCH($B439,Inventory!$A$4:$A$503,0)),""))</f>
        <v/>
      </c>
    </row>
    <row r="440" customFormat="false" ht="15" hidden="false" customHeight="false" outlineLevel="0" collapsed="false">
      <c r="A440" s="19"/>
      <c r="B440" s="10"/>
      <c r="C440" s="23" t="str">
        <f aca="false">IF($B440="","",IFERROR(INDEX(Inventory!$E$4:$E$503,MATCH($B440,Inventory!$A$4:$A$503,0)),"SKU not found"))</f>
        <v/>
      </c>
      <c r="D440" s="10"/>
      <c r="E440" s="12"/>
      <c r="F440" s="12"/>
      <c r="G440" s="12"/>
      <c r="H440" s="24" t="str">
        <f aca="false">IF(OR(B440="",D440="",E440=""),"",IFERROR(IF(AND(D440="Poshmark",E440&lt;Settings!$B$20),Settings!$B$21,(E440+IF(INDEX(Settings!$E$4:$E$11,MATCH($D440,Settings!$A$4:$A$11,0))="Y",N(F440),0))*(INDEX(Settings!$B$4:$B$11,MATCH($D440,Settings!$A$4:$A$11,0))+INDEX(Settings!$D$4:$D$11,MATCH($D440,Settings!$A$4:$A$11,0)))+INDEX(Settings!$C$4:$C$11,MATCH($D440,Settings!$A$4:$A$11,0))),0))</f>
        <v/>
      </c>
      <c r="I440" s="12"/>
      <c r="J440" s="12"/>
      <c r="K440" s="24" t="str">
        <f aca="false">IF($B440="","",IFERROR(INDEX(Inventory!$J$4:$J$503,MATCH($B440,Inventory!$A$4:$A$503,0)),0))</f>
        <v/>
      </c>
      <c r="L440" s="24" t="str">
        <f aca="false">IF(OR(B440="",E440=""),"",E440+N(F440)-N(G440)-N(H440)-N(J440)-N(K440))</f>
        <v/>
      </c>
      <c r="M440" s="28" t="str">
        <f aca="false">IF(OR(L440="",N(K440)=0),"",L440/K440)</f>
        <v/>
      </c>
      <c r="N440" s="25" t="str">
        <f aca="false">IF(OR(A440="",B440=""),"",IFERROR(A440-INDEX(Inventory!$B$4:$B$503,MATCH($B440,Inventory!$A$4:$A$503,0)),""))</f>
        <v/>
      </c>
      <c r="O440" s="27" t="str">
        <f aca="false">IF($B440="","",IFERROR(INDEX(Inventory!$F$4:$F$503,MATCH($B440,Inventory!$A$4:$A$503,0)),""))</f>
        <v/>
      </c>
      <c r="P440" s="27" t="str">
        <f aca="false">IF($B440="","",IFERROR(INDEX(Inventory!$C$4:$C$503,MATCH($B440,Inventory!$A$4:$A$503,0)),""))</f>
        <v/>
      </c>
    </row>
    <row r="441" customFormat="false" ht="15" hidden="false" customHeight="false" outlineLevel="0" collapsed="false">
      <c r="A441" s="19"/>
      <c r="B441" s="10"/>
      <c r="C441" s="23" t="str">
        <f aca="false">IF($B441="","",IFERROR(INDEX(Inventory!$E$4:$E$503,MATCH($B441,Inventory!$A$4:$A$503,0)),"SKU not found"))</f>
        <v/>
      </c>
      <c r="D441" s="10"/>
      <c r="E441" s="12"/>
      <c r="F441" s="12"/>
      <c r="G441" s="12"/>
      <c r="H441" s="24" t="str">
        <f aca="false">IF(OR(B441="",D441="",E441=""),"",IFERROR(IF(AND(D441="Poshmark",E441&lt;Settings!$B$20),Settings!$B$21,(E441+IF(INDEX(Settings!$E$4:$E$11,MATCH($D441,Settings!$A$4:$A$11,0))="Y",N(F441),0))*(INDEX(Settings!$B$4:$B$11,MATCH($D441,Settings!$A$4:$A$11,0))+INDEX(Settings!$D$4:$D$11,MATCH($D441,Settings!$A$4:$A$11,0)))+INDEX(Settings!$C$4:$C$11,MATCH($D441,Settings!$A$4:$A$11,0))),0))</f>
        <v/>
      </c>
      <c r="I441" s="12"/>
      <c r="J441" s="12"/>
      <c r="K441" s="24" t="str">
        <f aca="false">IF($B441="","",IFERROR(INDEX(Inventory!$J$4:$J$503,MATCH($B441,Inventory!$A$4:$A$503,0)),0))</f>
        <v/>
      </c>
      <c r="L441" s="24" t="str">
        <f aca="false">IF(OR(B441="",E441=""),"",E441+N(F441)-N(G441)-N(H441)-N(J441)-N(K441))</f>
        <v/>
      </c>
      <c r="M441" s="28" t="str">
        <f aca="false">IF(OR(L441="",N(K441)=0),"",L441/K441)</f>
        <v/>
      </c>
      <c r="N441" s="25" t="str">
        <f aca="false">IF(OR(A441="",B441=""),"",IFERROR(A441-INDEX(Inventory!$B$4:$B$503,MATCH($B441,Inventory!$A$4:$A$503,0)),""))</f>
        <v/>
      </c>
      <c r="O441" s="27" t="str">
        <f aca="false">IF($B441="","",IFERROR(INDEX(Inventory!$F$4:$F$503,MATCH($B441,Inventory!$A$4:$A$503,0)),""))</f>
        <v/>
      </c>
      <c r="P441" s="27" t="str">
        <f aca="false">IF($B441="","",IFERROR(INDEX(Inventory!$C$4:$C$503,MATCH($B441,Inventory!$A$4:$A$503,0)),""))</f>
        <v/>
      </c>
    </row>
    <row r="442" customFormat="false" ht="15" hidden="false" customHeight="false" outlineLevel="0" collapsed="false">
      <c r="A442" s="19"/>
      <c r="B442" s="10"/>
      <c r="C442" s="23" t="str">
        <f aca="false">IF($B442="","",IFERROR(INDEX(Inventory!$E$4:$E$503,MATCH($B442,Inventory!$A$4:$A$503,0)),"SKU not found"))</f>
        <v/>
      </c>
      <c r="D442" s="10"/>
      <c r="E442" s="12"/>
      <c r="F442" s="12"/>
      <c r="G442" s="12"/>
      <c r="H442" s="24" t="str">
        <f aca="false">IF(OR(B442="",D442="",E442=""),"",IFERROR(IF(AND(D442="Poshmark",E442&lt;Settings!$B$20),Settings!$B$21,(E442+IF(INDEX(Settings!$E$4:$E$11,MATCH($D442,Settings!$A$4:$A$11,0))="Y",N(F442),0))*(INDEX(Settings!$B$4:$B$11,MATCH($D442,Settings!$A$4:$A$11,0))+INDEX(Settings!$D$4:$D$11,MATCH($D442,Settings!$A$4:$A$11,0)))+INDEX(Settings!$C$4:$C$11,MATCH($D442,Settings!$A$4:$A$11,0))),0))</f>
        <v/>
      </c>
      <c r="I442" s="12"/>
      <c r="J442" s="12"/>
      <c r="K442" s="24" t="str">
        <f aca="false">IF($B442="","",IFERROR(INDEX(Inventory!$J$4:$J$503,MATCH($B442,Inventory!$A$4:$A$503,0)),0))</f>
        <v/>
      </c>
      <c r="L442" s="24" t="str">
        <f aca="false">IF(OR(B442="",E442=""),"",E442+N(F442)-N(G442)-N(H442)-N(J442)-N(K442))</f>
        <v/>
      </c>
      <c r="M442" s="28" t="str">
        <f aca="false">IF(OR(L442="",N(K442)=0),"",L442/K442)</f>
        <v/>
      </c>
      <c r="N442" s="25" t="str">
        <f aca="false">IF(OR(A442="",B442=""),"",IFERROR(A442-INDEX(Inventory!$B$4:$B$503,MATCH($B442,Inventory!$A$4:$A$503,0)),""))</f>
        <v/>
      </c>
      <c r="O442" s="27" t="str">
        <f aca="false">IF($B442="","",IFERROR(INDEX(Inventory!$F$4:$F$503,MATCH($B442,Inventory!$A$4:$A$503,0)),""))</f>
        <v/>
      </c>
      <c r="P442" s="27" t="str">
        <f aca="false">IF($B442="","",IFERROR(INDEX(Inventory!$C$4:$C$503,MATCH($B442,Inventory!$A$4:$A$503,0)),""))</f>
        <v/>
      </c>
    </row>
    <row r="443" customFormat="false" ht="15" hidden="false" customHeight="false" outlineLevel="0" collapsed="false">
      <c r="A443" s="19"/>
      <c r="B443" s="10"/>
      <c r="C443" s="23" t="str">
        <f aca="false">IF($B443="","",IFERROR(INDEX(Inventory!$E$4:$E$503,MATCH($B443,Inventory!$A$4:$A$503,0)),"SKU not found"))</f>
        <v/>
      </c>
      <c r="D443" s="10"/>
      <c r="E443" s="12"/>
      <c r="F443" s="12"/>
      <c r="G443" s="12"/>
      <c r="H443" s="24" t="str">
        <f aca="false">IF(OR(B443="",D443="",E443=""),"",IFERROR(IF(AND(D443="Poshmark",E443&lt;Settings!$B$20),Settings!$B$21,(E443+IF(INDEX(Settings!$E$4:$E$11,MATCH($D443,Settings!$A$4:$A$11,0))="Y",N(F443),0))*(INDEX(Settings!$B$4:$B$11,MATCH($D443,Settings!$A$4:$A$11,0))+INDEX(Settings!$D$4:$D$11,MATCH($D443,Settings!$A$4:$A$11,0)))+INDEX(Settings!$C$4:$C$11,MATCH($D443,Settings!$A$4:$A$11,0))),0))</f>
        <v/>
      </c>
      <c r="I443" s="12"/>
      <c r="J443" s="12"/>
      <c r="K443" s="24" t="str">
        <f aca="false">IF($B443="","",IFERROR(INDEX(Inventory!$J$4:$J$503,MATCH($B443,Inventory!$A$4:$A$503,0)),0))</f>
        <v/>
      </c>
      <c r="L443" s="24" t="str">
        <f aca="false">IF(OR(B443="",E443=""),"",E443+N(F443)-N(G443)-N(H443)-N(J443)-N(K443))</f>
        <v/>
      </c>
      <c r="M443" s="28" t="str">
        <f aca="false">IF(OR(L443="",N(K443)=0),"",L443/K443)</f>
        <v/>
      </c>
      <c r="N443" s="25" t="str">
        <f aca="false">IF(OR(A443="",B443=""),"",IFERROR(A443-INDEX(Inventory!$B$4:$B$503,MATCH($B443,Inventory!$A$4:$A$503,0)),""))</f>
        <v/>
      </c>
      <c r="O443" s="27" t="str">
        <f aca="false">IF($B443="","",IFERROR(INDEX(Inventory!$F$4:$F$503,MATCH($B443,Inventory!$A$4:$A$503,0)),""))</f>
        <v/>
      </c>
      <c r="P443" s="27" t="str">
        <f aca="false">IF($B443="","",IFERROR(INDEX(Inventory!$C$4:$C$503,MATCH($B443,Inventory!$A$4:$A$503,0)),""))</f>
        <v/>
      </c>
    </row>
    <row r="444" customFormat="false" ht="15" hidden="false" customHeight="false" outlineLevel="0" collapsed="false">
      <c r="A444" s="19"/>
      <c r="B444" s="10"/>
      <c r="C444" s="23" t="str">
        <f aca="false">IF($B444="","",IFERROR(INDEX(Inventory!$E$4:$E$503,MATCH($B444,Inventory!$A$4:$A$503,0)),"SKU not found"))</f>
        <v/>
      </c>
      <c r="D444" s="10"/>
      <c r="E444" s="12"/>
      <c r="F444" s="12"/>
      <c r="G444" s="12"/>
      <c r="H444" s="24" t="str">
        <f aca="false">IF(OR(B444="",D444="",E444=""),"",IFERROR(IF(AND(D444="Poshmark",E444&lt;Settings!$B$20),Settings!$B$21,(E444+IF(INDEX(Settings!$E$4:$E$11,MATCH($D444,Settings!$A$4:$A$11,0))="Y",N(F444),0))*(INDEX(Settings!$B$4:$B$11,MATCH($D444,Settings!$A$4:$A$11,0))+INDEX(Settings!$D$4:$D$11,MATCH($D444,Settings!$A$4:$A$11,0)))+INDEX(Settings!$C$4:$C$11,MATCH($D444,Settings!$A$4:$A$11,0))),0))</f>
        <v/>
      </c>
      <c r="I444" s="12"/>
      <c r="J444" s="12"/>
      <c r="K444" s="24" t="str">
        <f aca="false">IF($B444="","",IFERROR(INDEX(Inventory!$J$4:$J$503,MATCH($B444,Inventory!$A$4:$A$503,0)),0))</f>
        <v/>
      </c>
      <c r="L444" s="24" t="str">
        <f aca="false">IF(OR(B444="",E444=""),"",E444+N(F444)-N(G444)-N(H444)-N(J444)-N(K444))</f>
        <v/>
      </c>
      <c r="M444" s="28" t="str">
        <f aca="false">IF(OR(L444="",N(K444)=0),"",L444/K444)</f>
        <v/>
      </c>
      <c r="N444" s="25" t="str">
        <f aca="false">IF(OR(A444="",B444=""),"",IFERROR(A444-INDEX(Inventory!$B$4:$B$503,MATCH($B444,Inventory!$A$4:$A$503,0)),""))</f>
        <v/>
      </c>
      <c r="O444" s="27" t="str">
        <f aca="false">IF($B444="","",IFERROR(INDEX(Inventory!$F$4:$F$503,MATCH($B444,Inventory!$A$4:$A$503,0)),""))</f>
        <v/>
      </c>
      <c r="P444" s="27" t="str">
        <f aca="false">IF($B444="","",IFERROR(INDEX(Inventory!$C$4:$C$503,MATCH($B444,Inventory!$A$4:$A$503,0)),""))</f>
        <v/>
      </c>
    </row>
    <row r="445" customFormat="false" ht="15" hidden="false" customHeight="false" outlineLevel="0" collapsed="false">
      <c r="A445" s="19"/>
      <c r="B445" s="10"/>
      <c r="C445" s="23" t="str">
        <f aca="false">IF($B445="","",IFERROR(INDEX(Inventory!$E$4:$E$503,MATCH($B445,Inventory!$A$4:$A$503,0)),"SKU not found"))</f>
        <v/>
      </c>
      <c r="D445" s="10"/>
      <c r="E445" s="12"/>
      <c r="F445" s="12"/>
      <c r="G445" s="12"/>
      <c r="H445" s="24" t="str">
        <f aca="false">IF(OR(B445="",D445="",E445=""),"",IFERROR(IF(AND(D445="Poshmark",E445&lt;Settings!$B$20),Settings!$B$21,(E445+IF(INDEX(Settings!$E$4:$E$11,MATCH($D445,Settings!$A$4:$A$11,0))="Y",N(F445),0))*(INDEX(Settings!$B$4:$B$11,MATCH($D445,Settings!$A$4:$A$11,0))+INDEX(Settings!$D$4:$D$11,MATCH($D445,Settings!$A$4:$A$11,0)))+INDEX(Settings!$C$4:$C$11,MATCH($D445,Settings!$A$4:$A$11,0))),0))</f>
        <v/>
      </c>
      <c r="I445" s="12"/>
      <c r="J445" s="12"/>
      <c r="K445" s="24" t="str">
        <f aca="false">IF($B445="","",IFERROR(INDEX(Inventory!$J$4:$J$503,MATCH($B445,Inventory!$A$4:$A$503,0)),0))</f>
        <v/>
      </c>
      <c r="L445" s="24" t="str">
        <f aca="false">IF(OR(B445="",E445=""),"",E445+N(F445)-N(G445)-N(H445)-N(J445)-N(K445))</f>
        <v/>
      </c>
      <c r="M445" s="28" t="str">
        <f aca="false">IF(OR(L445="",N(K445)=0),"",L445/K445)</f>
        <v/>
      </c>
      <c r="N445" s="25" t="str">
        <f aca="false">IF(OR(A445="",B445=""),"",IFERROR(A445-INDEX(Inventory!$B$4:$B$503,MATCH($B445,Inventory!$A$4:$A$503,0)),""))</f>
        <v/>
      </c>
      <c r="O445" s="27" t="str">
        <f aca="false">IF($B445="","",IFERROR(INDEX(Inventory!$F$4:$F$503,MATCH($B445,Inventory!$A$4:$A$503,0)),""))</f>
        <v/>
      </c>
      <c r="P445" s="27" t="str">
        <f aca="false">IF($B445="","",IFERROR(INDEX(Inventory!$C$4:$C$503,MATCH($B445,Inventory!$A$4:$A$503,0)),""))</f>
        <v/>
      </c>
    </row>
    <row r="446" customFormat="false" ht="15" hidden="false" customHeight="false" outlineLevel="0" collapsed="false">
      <c r="A446" s="19"/>
      <c r="B446" s="10"/>
      <c r="C446" s="23" t="str">
        <f aca="false">IF($B446="","",IFERROR(INDEX(Inventory!$E$4:$E$503,MATCH($B446,Inventory!$A$4:$A$503,0)),"SKU not found"))</f>
        <v/>
      </c>
      <c r="D446" s="10"/>
      <c r="E446" s="12"/>
      <c r="F446" s="12"/>
      <c r="G446" s="12"/>
      <c r="H446" s="24" t="str">
        <f aca="false">IF(OR(B446="",D446="",E446=""),"",IFERROR(IF(AND(D446="Poshmark",E446&lt;Settings!$B$20),Settings!$B$21,(E446+IF(INDEX(Settings!$E$4:$E$11,MATCH($D446,Settings!$A$4:$A$11,0))="Y",N(F446),0))*(INDEX(Settings!$B$4:$B$11,MATCH($D446,Settings!$A$4:$A$11,0))+INDEX(Settings!$D$4:$D$11,MATCH($D446,Settings!$A$4:$A$11,0)))+INDEX(Settings!$C$4:$C$11,MATCH($D446,Settings!$A$4:$A$11,0))),0))</f>
        <v/>
      </c>
      <c r="I446" s="12"/>
      <c r="J446" s="12"/>
      <c r="K446" s="24" t="str">
        <f aca="false">IF($B446="","",IFERROR(INDEX(Inventory!$J$4:$J$503,MATCH($B446,Inventory!$A$4:$A$503,0)),0))</f>
        <v/>
      </c>
      <c r="L446" s="24" t="str">
        <f aca="false">IF(OR(B446="",E446=""),"",E446+N(F446)-N(G446)-N(H446)-N(J446)-N(K446))</f>
        <v/>
      </c>
      <c r="M446" s="28" t="str">
        <f aca="false">IF(OR(L446="",N(K446)=0),"",L446/K446)</f>
        <v/>
      </c>
      <c r="N446" s="25" t="str">
        <f aca="false">IF(OR(A446="",B446=""),"",IFERROR(A446-INDEX(Inventory!$B$4:$B$503,MATCH($B446,Inventory!$A$4:$A$503,0)),""))</f>
        <v/>
      </c>
      <c r="O446" s="27" t="str">
        <f aca="false">IF($B446="","",IFERROR(INDEX(Inventory!$F$4:$F$503,MATCH($B446,Inventory!$A$4:$A$503,0)),""))</f>
        <v/>
      </c>
      <c r="P446" s="27" t="str">
        <f aca="false">IF($B446="","",IFERROR(INDEX(Inventory!$C$4:$C$503,MATCH($B446,Inventory!$A$4:$A$503,0)),""))</f>
        <v/>
      </c>
    </row>
    <row r="447" customFormat="false" ht="15" hidden="false" customHeight="false" outlineLevel="0" collapsed="false">
      <c r="A447" s="19"/>
      <c r="B447" s="10"/>
      <c r="C447" s="23" t="str">
        <f aca="false">IF($B447="","",IFERROR(INDEX(Inventory!$E$4:$E$503,MATCH($B447,Inventory!$A$4:$A$503,0)),"SKU not found"))</f>
        <v/>
      </c>
      <c r="D447" s="10"/>
      <c r="E447" s="12"/>
      <c r="F447" s="12"/>
      <c r="G447" s="12"/>
      <c r="H447" s="24" t="str">
        <f aca="false">IF(OR(B447="",D447="",E447=""),"",IFERROR(IF(AND(D447="Poshmark",E447&lt;Settings!$B$20),Settings!$B$21,(E447+IF(INDEX(Settings!$E$4:$E$11,MATCH($D447,Settings!$A$4:$A$11,0))="Y",N(F447),0))*(INDEX(Settings!$B$4:$B$11,MATCH($D447,Settings!$A$4:$A$11,0))+INDEX(Settings!$D$4:$D$11,MATCH($D447,Settings!$A$4:$A$11,0)))+INDEX(Settings!$C$4:$C$11,MATCH($D447,Settings!$A$4:$A$11,0))),0))</f>
        <v/>
      </c>
      <c r="I447" s="12"/>
      <c r="J447" s="12"/>
      <c r="K447" s="24" t="str">
        <f aca="false">IF($B447="","",IFERROR(INDEX(Inventory!$J$4:$J$503,MATCH($B447,Inventory!$A$4:$A$503,0)),0))</f>
        <v/>
      </c>
      <c r="L447" s="24" t="str">
        <f aca="false">IF(OR(B447="",E447=""),"",E447+N(F447)-N(G447)-N(H447)-N(J447)-N(K447))</f>
        <v/>
      </c>
      <c r="M447" s="28" t="str">
        <f aca="false">IF(OR(L447="",N(K447)=0),"",L447/K447)</f>
        <v/>
      </c>
      <c r="N447" s="25" t="str">
        <f aca="false">IF(OR(A447="",B447=""),"",IFERROR(A447-INDEX(Inventory!$B$4:$B$503,MATCH($B447,Inventory!$A$4:$A$503,0)),""))</f>
        <v/>
      </c>
      <c r="O447" s="27" t="str">
        <f aca="false">IF($B447="","",IFERROR(INDEX(Inventory!$F$4:$F$503,MATCH($B447,Inventory!$A$4:$A$503,0)),""))</f>
        <v/>
      </c>
      <c r="P447" s="27" t="str">
        <f aca="false">IF($B447="","",IFERROR(INDEX(Inventory!$C$4:$C$503,MATCH($B447,Inventory!$A$4:$A$503,0)),""))</f>
        <v/>
      </c>
    </row>
    <row r="448" customFormat="false" ht="15" hidden="false" customHeight="false" outlineLevel="0" collapsed="false">
      <c r="A448" s="19"/>
      <c r="B448" s="10"/>
      <c r="C448" s="23" t="str">
        <f aca="false">IF($B448="","",IFERROR(INDEX(Inventory!$E$4:$E$503,MATCH($B448,Inventory!$A$4:$A$503,0)),"SKU not found"))</f>
        <v/>
      </c>
      <c r="D448" s="10"/>
      <c r="E448" s="12"/>
      <c r="F448" s="12"/>
      <c r="G448" s="12"/>
      <c r="H448" s="24" t="str">
        <f aca="false">IF(OR(B448="",D448="",E448=""),"",IFERROR(IF(AND(D448="Poshmark",E448&lt;Settings!$B$20),Settings!$B$21,(E448+IF(INDEX(Settings!$E$4:$E$11,MATCH($D448,Settings!$A$4:$A$11,0))="Y",N(F448),0))*(INDEX(Settings!$B$4:$B$11,MATCH($D448,Settings!$A$4:$A$11,0))+INDEX(Settings!$D$4:$D$11,MATCH($D448,Settings!$A$4:$A$11,0)))+INDEX(Settings!$C$4:$C$11,MATCH($D448,Settings!$A$4:$A$11,0))),0))</f>
        <v/>
      </c>
      <c r="I448" s="12"/>
      <c r="J448" s="12"/>
      <c r="K448" s="24" t="str">
        <f aca="false">IF($B448="","",IFERROR(INDEX(Inventory!$J$4:$J$503,MATCH($B448,Inventory!$A$4:$A$503,0)),0))</f>
        <v/>
      </c>
      <c r="L448" s="24" t="str">
        <f aca="false">IF(OR(B448="",E448=""),"",E448+N(F448)-N(G448)-N(H448)-N(J448)-N(K448))</f>
        <v/>
      </c>
      <c r="M448" s="28" t="str">
        <f aca="false">IF(OR(L448="",N(K448)=0),"",L448/K448)</f>
        <v/>
      </c>
      <c r="N448" s="25" t="str">
        <f aca="false">IF(OR(A448="",B448=""),"",IFERROR(A448-INDEX(Inventory!$B$4:$B$503,MATCH($B448,Inventory!$A$4:$A$503,0)),""))</f>
        <v/>
      </c>
      <c r="O448" s="27" t="str">
        <f aca="false">IF($B448="","",IFERROR(INDEX(Inventory!$F$4:$F$503,MATCH($B448,Inventory!$A$4:$A$503,0)),""))</f>
        <v/>
      </c>
      <c r="P448" s="27" t="str">
        <f aca="false">IF($B448="","",IFERROR(INDEX(Inventory!$C$4:$C$503,MATCH($B448,Inventory!$A$4:$A$503,0)),""))</f>
        <v/>
      </c>
    </row>
    <row r="449" customFormat="false" ht="15" hidden="false" customHeight="false" outlineLevel="0" collapsed="false">
      <c r="A449" s="19"/>
      <c r="B449" s="10"/>
      <c r="C449" s="23" t="str">
        <f aca="false">IF($B449="","",IFERROR(INDEX(Inventory!$E$4:$E$503,MATCH($B449,Inventory!$A$4:$A$503,0)),"SKU not found"))</f>
        <v/>
      </c>
      <c r="D449" s="10"/>
      <c r="E449" s="12"/>
      <c r="F449" s="12"/>
      <c r="G449" s="12"/>
      <c r="H449" s="24" t="str">
        <f aca="false">IF(OR(B449="",D449="",E449=""),"",IFERROR(IF(AND(D449="Poshmark",E449&lt;Settings!$B$20),Settings!$B$21,(E449+IF(INDEX(Settings!$E$4:$E$11,MATCH($D449,Settings!$A$4:$A$11,0))="Y",N(F449),0))*(INDEX(Settings!$B$4:$B$11,MATCH($D449,Settings!$A$4:$A$11,0))+INDEX(Settings!$D$4:$D$11,MATCH($D449,Settings!$A$4:$A$11,0)))+INDEX(Settings!$C$4:$C$11,MATCH($D449,Settings!$A$4:$A$11,0))),0))</f>
        <v/>
      </c>
      <c r="I449" s="12"/>
      <c r="J449" s="12"/>
      <c r="K449" s="24" t="str">
        <f aca="false">IF($B449="","",IFERROR(INDEX(Inventory!$J$4:$J$503,MATCH($B449,Inventory!$A$4:$A$503,0)),0))</f>
        <v/>
      </c>
      <c r="L449" s="24" t="str">
        <f aca="false">IF(OR(B449="",E449=""),"",E449+N(F449)-N(G449)-N(H449)-N(J449)-N(K449))</f>
        <v/>
      </c>
      <c r="M449" s="28" t="str">
        <f aca="false">IF(OR(L449="",N(K449)=0),"",L449/K449)</f>
        <v/>
      </c>
      <c r="N449" s="25" t="str">
        <f aca="false">IF(OR(A449="",B449=""),"",IFERROR(A449-INDEX(Inventory!$B$4:$B$503,MATCH($B449,Inventory!$A$4:$A$503,0)),""))</f>
        <v/>
      </c>
      <c r="O449" s="27" t="str">
        <f aca="false">IF($B449="","",IFERROR(INDEX(Inventory!$F$4:$F$503,MATCH($B449,Inventory!$A$4:$A$503,0)),""))</f>
        <v/>
      </c>
      <c r="P449" s="27" t="str">
        <f aca="false">IF($B449="","",IFERROR(INDEX(Inventory!$C$4:$C$503,MATCH($B449,Inventory!$A$4:$A$503,0)),""))</f>
        <v/>
      </c>
    </row>
    <row r="450" customFormat="false" ht="15" hidden="false" customHeight="false" outlineLevel="0" collapsed="false">
      <c r="A450" s="19"/>
      <c r="B450" s="10"/>
      <c r="C450" s="23" t="str">
        <f aca="false">IF($B450="","",IFERROR(INDEX(Inventory!$E$4:$E$503,MATCH($B450,Inventory!$A$4:$A$503,0)),"SKU not found"))</f>
        <v/>
      </c>
      <c r="D450" s="10"/>
      <c r="E450" s="12"/>
      <c r="F450" s="12"/>
      <c r="G450" s="12"/>
      <c r="H450" s="24" t="str">
        <f aca="false">IF(OR(B450="",D450="",E450=""),"",IFERROR(IF(AND(D450="Poshmark",E450&lt;Settings!$B$20),Settings!$B$21,(E450+IF(INDEX(Settings!$E$4:$E$11,MATCH($D450,Settings!$A$4:$A$11,0))="Y",N(F450),0))*(INDEX(Settings!$B$4:$B$11,MATCH($D450,Settings!$A$4:$A$11,0))+INDEX(Settings!$D$4:$D$11,MATCH($D450,Settings!$A$4:$A$11,0)))+INDEX(Settings!$C$4:$C$11,MATCH($D450,Settings!$A$4:$A$11,0))),0))</f>
        <v/>
      </c>
      <c r="I450" s="12"/>
      <c r="J450" s="12"/>
      <c r="K450" s="24" t="str">
        <f aca="false">IF($B450="","",IFERROR(INDEX(Inventory!$J$4:$J$503,MATCH($B450,Inventory!$A$4:$A$503,0)),0))</f>
        <v/>
      </c>
      <c r="L450" s="24" t="str">
        <f aca="false">IF(OR(B450="",E450=""),"",E450+N(F450)-N(G450)-N(H450)-N(J450)-N(K450))</f>
        <v/>
      </c>
      <c r="M450" s="28" t="str">
        <f aca="false">IF(OR(L450="",N(K450)=0),"",L450/K450)</f>
        <v/>
      </c>
      <c r="N450" s="25" t="str">
        <f aca="false">IF(OR(A450="",B450=""),"",IFERROR(A450-INDEX(Inventory!$B$4:$B$503,MATCH($B450,Inventory!$A$4:$A$503,0)),""))</f>
        <v/>
      </c>
      <c r="O450" s="27" t="str">
        <f aca="false">IF($B450="","",IFERROR(INDEX(Inventory!$F$4:$F$503,MATCH($B450,Inventory!$A$4:$A$503,0)),""))</f>
        <v/>
      </c>
      <c r="P450" s="27" t="str">
        <f aca="false">IF($B450="","",IFERROR(INDEX(Inventory!$C$4:$C$503,MATCH($B450,Inventory!$A$4:$A$503,0)),""))</f>
        <v/>
      </c>
    </row>
    <row r="451" customFormat="false" ht="15" hidden="false" customHeight="false" outlineLevel="0" collapsed="false">
      <c r="A451" s="19"/>
      <c r="B451" s="10"/>
      <c r="C451" s="23" t="str">
        <f aca="false">IF($B451="","",IFERROR(INDEX(Inventory!$E$4:$E$503,MATCH($B451,Inventory!$A$4:$A$503,0)),"SKU not found"))</f>
        <v/>
      </c>
      <c r="D451" s="10"/>
      <c r="E451" s="12"/>
      <c r="F451" s="12"/>
      <c r="G451" s="12"/>
      <c r="H451" s="24" t="str">
        <f aca="false">IF(OR(B451="",D451="",E451=""),"",IFERROR(IF(AND(D451="Poshmark",E451&lt;Settings!$B$20),Settings!$B$21,(E451+IF(INDEX(Settings!$E$4:$E$11,MATCH($D451,Settings!$A$4:$A$11,0))="Y",N(F451),0))*(INDEX(Settings!$B$4:$B$11,MATCH($D451,Settings!$A$4:$A$11,0))+INDEX(Settings!$D$4:$D$11,MATCH($D451,Settings!$A$4:$A$11,0)))+INDEX(Settings!$C$4:$C$11,MATCH($D451,Settings!$A$4:$A$11,0))),0))</f>
        <v/>
      </c>
      <c r="I451" s="12"/>
      <c r="J451" s="12"/>
      <c r="K451" s="24" t="str">
        <f aca="false">IF($B451="","",IFERROR(INDEX(Inventory!$J$4:$J$503,MATCH($B451,Inventory!$A$4:$A$503,0)),0))</f>
        <v/>
      </c>
      <c r="L451" s="24" t="str">
        <f aca="false">IF(OR(B451="",E451=""),"",E451+N(F451)-N(G451)-N(H451)-N(J451)-N(K451))</f>
        <v/>
      </c>
      <c r="M451" s="28" t="str">
        <f aca="false">IF(OR(L451="",N(K451)=0),"",L451/K451)</f>
        <v/>
      </c>
      <c r="N451" s="25" t="str">
        <f aca="false">IF(OR(A451="",B451=""),"",IFERROR(A451-INDEX(Inventory!$B$4:$B$503,MATCH($B451,Inventory!$A$4:$A$503,0)),""))</f>
        <v/>
      </c>
      <c r="O451" s="27" t="str">
        <f aca="false">IF($B451="","",IFERROR(INDEX(Inventory!$F$4:$F$503,MATCH($B451,Inventory!$A$4:$A$503,0)),""))</f>
        <v/>
      </c>
      <c r="P451" s="27" t="str">
        <f aca="false">IF($B451="","",IFERROR(INDEX(Inventory!$C$4:$C$503,MATCH($B451,Inventory!$A$4:$A$503,0)),""))</f>
        <v/>
      </c>
    </row>
    <row r="452" customFormat="false" ht="15" hidden="false" customHeight="false" outlineLevel="0" collapsed="false">
      <c r="A452" s="19"/>
      <c r="B452" s="10"/>
      <c r="C452" s="23" t="str">
        <f aca="false">IF($B452="","",IFERROR(INDEX(Inventory!$E$4:$E$503,MATCH($B452,Inventory!$A$4:$A$503,0)),"SKU not found"))</f>
        <v/>
      </c>
      <c r="D452" s="10"/>
      <c r="E452" s="12"/>
      <c r="F452" s="12"/>
      <c r="G452" s="12"/>
      <c r="H452" s="24" t="str">
        <f aca="false">IF(OR(B452="",D452="",E452=""),"",IFERROR(IF(AND(D452="Poshmark",E452&lt;Settings!$B$20),Settings!$B$21,(E452+IF(INDEX(Settings!$E$4:$E$11,MATCH($D452,Settings!$A$4:$A$11,0))="Y",N(F452),0))*(INDEX(Settings!$B$4:$B$11,MATCH($D452,Settings!$A$4:$A$11,0))+INDEX(Settings!$D$4:$D$11,MATCH($D452,Settings!$A$4:$A$11,0)))+INDEX(Settings!$C$4:$C$11,MATCH($D452,Settings!$A$4:$A$11,0))),0))</f>
        <v/>
      </c>
      <c r="I452" s="12"/>
      <c r="J452" s="12"/>
      <c r="K452" s="24" t="str">
        <f aca="false">IF($B452="","",IFERROR(INDEX(Inventory!$J$4:$J$503,MATCH($B452,Inventory!$A$4:$A$503,0)),0))</f>
        <v/>
      </c>
      <c r="L452" s="24" t="str">
        <f aca="false">IF(OR(B452="",E452=""),"",E452+N(F452)-N(G452)-N(H452)-N(J452)-N(K452))</f>
        <v/>
      </c>
      <c r="M452" s="28" t="str">
        <f aca="false">IF(OR(L452="",N(K452)=0),"",L452/K452)</f>
        <v/>
      </c>
      <c r="N452" s="25" t="str">
        <f aca="false">IF(OR(A452="",B452=""),"",IFERROR(A452-INDEX(Inventory!$B$4:$B$503,MATCH($B452,Inventory!$A$4:$A$503,0)),""))</f>
        <v/>
      </c>
      <c r="O452" s="27" t="str">
        <f aca="false">IF($B452="","",IFERROR(INDEX(Inventory!$F$4:$F$503,MATCH($B452,Inventory!$A$4:$A$503,0)),""))</f>
        <v/>
      </c>
      <c r="P452" s="27" t="str">
        <f aca="false">IF($B452="","",IFERROR(INDEX(Inventory!$C$4:$C$503,MATCH($B452,Inventory!$A$4:$A$503,0)),""))</f>
        <v/>
      </c>
    </row>
    <row r="453" customFormat="false" ht="15" hidden="false" customHeight="false" outlineLevel="0" collapsed="false">
      <c r="A453" s="19"/>
      <c r="B453" s="10"/>
      <c r="C453" s="23" t="str">
        <f aca="false">IF($B453="","",IFERROR(INDEX(Inventory!$E$4:$E$503,MATCH($B453,Inventory!$A$4:$A$503,0)),"SKU not found"))</f>
        <v/>
      </c>
      <c r="D453" s="10"/>
      <c r="E453" s="12"/>
      <c r="F453" s="12"/>
      <c r="G453" s="12"/>
      <c r="H453" s="24" t="str">
        <f aca="false">IF(OR(B453="",D453="",E453=""),"",IFERROR(IF(AND(D453="Poshmark",E453&lt;Settings!$B$20),Settings!$B$21,(E453+IF(INDEX(Settings!$E$4:$E$11,MATCH($D453,Settings!$A$4:$A$11,0))="Y",N(F453),0))*(INDEX(Settings!$B$4:$B$11,MATCH($D453,Settings!$A$4:$A$11,0))+INDEX(Settings!$D$4:$D$11,MATCH($D453,Settings!$A$4:$A$11,0)))+INDEX(Settings!$C$4:$C$11,MATCH($D453,Settings!$A$4:$A$11,0))),0))</f>
        <v/>
      </c>
      <c r="I453" s="12"/>
      <c r="J453" s="12"/>
      <c r="K453" s="24" t="str">
        <f aca="false">IF($B453="","",IFERROR(INDEX(Inventory!$J$4:$J$503,MATCH($B453,Inventory!$A$4:$A$503,0)),0))</f>
        <v/>
      </c>
      <c r="L453" s="24" t="str">
        <f aca="false">IF(OR(B453="",E453=""),"",E453+N(F453)-N(G453)-N(H453)-N(J453)-N(K453))</f>
        <v/>
      </c>
      <c r="M453" s="28" t="str">
        <f aca="false">IF(OR(L453="",N(K453)=0),"",L453/K453)</f>
        <v/>
      </c>
      <c r="N453" s="25" t="str">
        <f aca="false">IF(OR(A453="",B453=""),"",IFERROR(A453-INDEX(Inventory!$B$4:$B$503,MATCH($B453,Inventory!$A$4:$A$503,0)),""))</f>
        <v/>
      </c>
      <c r="O453" s="27" t="str">
        <f aca="false">IF($B453="","",IFERROR(INDEX(Inventory!$F$4:$F$503,MATCH($B453,Inventory!$A$4:$A$503,0)),""))</f>
        <v/>
      </c>
      <c r="P453" s="27" t="str">
        <f aca="false">IF($B453="","",IFERROR(INDEX(Inventory!$C$4:$C$503,MATCH($B453,Inventory!$A$4:$A$503,0)),""))</f>
        <v/>
      </c>
    </row>
    <row r="454" customFormat="false" ht="15" hidden="false" customHeight="false" outlineLevel="0" collapsed="false">
      <c r="A454" s="19"/>
      <c r="B454" s="10"/>
      <c r="C454" s="23" t="str">
        <f aca="false">IF($B454="","",IFERROR(INDEX(Inventory!$E$4:$E$503,MATCH($B454,Inventory!$A$4:$A$503,0)),"SKU not found"))</f>
        <v/>
      </c>
      <c r="D454" s="10"/>
      <c r="E454" s="12"/>
      <c r="F454" s="12"/>
      <c r="G454" s="12"/>
      <c r="H454" s="24" t="str">
        <f aca="false">IF(OR(B454="",D454="",E454=""),"",IFERROR(IF(AND(D454="Poshmark",E454&lt;Settings!$B$20),Settings!$B$21,(E454+IF(INDEX(Settings!$E$4:$E$11,MATCH($D454,Settings!$A$4:$A$11,0))="Y",N(F454),0))*(INDEX(Settings!$B$4:$B$11,MATCH($D454,Settings!$A$4:$A$11,0))+INDEX(Settings!$D$4:$D$11,MATCH($D454,Settings!$A$4:$A$11,0)))+INDEX(Settings!$C$4:$C$11,MATCH($D454,Settings!$A$4:$A$11,0))),0))</f>
        <v/>
      </c>
      <c r="I454" s="12"/>
      <c r="J454" s="12"/>
      <c r="K454" s="24" t="str">
        <f aca="false">IF($B454="","",IFERROR(INDEX(Inventory!$J$4:$J$503,MATCH($B454,Inventory!$A$4:$A$503,0)),0))</f>
        <v/>
      </c>
      <c r="L454" s="24" t="str">
        <f aca="false">IF(OR(B454="",E454=""),"",E454+N(F454)-N(G454)-N(H454)-N(J454)-N(K454))</f>
        <v/>
      </c>
      <c r="M454" s="28" t="str">
        <f aca="false">IF(OR(L454="",N(K454)=0),"",L454/K454)</f>
        <v/>
      </c>
      <c r="N454" s="25" t="str">
        <f aca="false">IF(OR(A454="",B454=""),"",IFERROR(A454-INDEX(Inventory!$B$4:$B$503,MATCH($B454,Inventory!$A$4:$A$503,0)),""))</f>
        <v/>
      </c>
      <c r="O454" s="27" t="str">
        <f aca="false">IF($B454="","",IFERROR(INDEX(Inventory!$F$4:$F$503,MATCH($B454,Inventory!$A$4:$A$503,0)),""))</f>
        <v/>
      </c>
      <c r="P454" s="27" t="str">
        <f aca="false">IF($B454="","",IFERROR(INDEX(Inventory!$C$4:$C$503,MATCH($B454,Inventory!$A$4:$A$503,0)),""))</f>
        <v/>
      </c>
    </row>
    <row r="455" customFormat="false" ht="15" hidden="false" customHeight="false" outlineLevel="0" collapsed="false">
      <c r="A455" s="19"/>
      <c r="B455" s="10"/>
      <c r="C455" s="23" t="str">
        <f aca="false">IF($B455="","",IFERROR(INDEX(Inventory!$E$4:$E$503,MATCH($B455,Inventory!$A$4:$A$503,0)),"SKU not found"))</f>
        <v/>
      </c>
      <c r="D455" s="10"/>
      <c r="E455" s="12"/>
      <c r="F455" s="12"/>
      <c r="G455" s="12"/>
      <c r="H455" s="24" t="str">
        <f aca="false">IF(OR(B455="",D455="",E455=""),"",IFERROR(IF(AND(D455="Poshmark",E455&lt;Settings!$B$20),Settings!$B$21,(E455+IF(INDEX(Settings!$E$4:$E$11,MATCH($D455,Settings!$A$4:$A$11,0))="Y",N(F455),0))*(INDEX(Settings!$B$4:$B$11,MATCH($D455,Settings!$A$4:$A$11,0))+INDEX(Settings!$D$4:$D$11,MATCH($D455,Settings!$A$4:$A$11,0)))+INDEX(Settings!$C$4:$C$11,MATCH($D455,Settings!$A$4:$A$11,0))),0))</f>
        <v/>
      </c>
      <c r="I455" s="12"/>
      <c r="J455" s="12"/>
      <c r="K455" s="24" t="str">
        <f aca="false">IF($B455="","",IFERROR(INDEX(Inventory!$J$4:$J$503,MATCH($B455,Inventory!$A$4:$A$503,0)),0))</f>
        <v/>
      </c>
      <c r="L455" s="24" t="str">
        <f aca="false">IF(OR(B455="",E455=""),"",E455+N(F455)-N(G455)-N(H455)-N(J455)-N(K455))</f>
        <v/>
      </c>
      <c r="M455" s="28" t="str">
        <f aca="false">IF(OR(L455="",N(K455)=0),"",L455/K455)</f>
        <v/>
      </c>
      <c r="N455" s="25" t="str">
        <f aca="false">IF(OR(A455="",B455=""),"",IFERROR(A455-INDEX(Inventory!$B$4:$B$503,MATCH($B455,Inventory!$A$4:$A$503,0)),""))</f>
        <v/>
      </c>
      <c r="O455" s="27" t="str">
        <f aca="false">IF($B455="","",IFERROR(INDEX(Inventory!$F$4:$F$503,MATCH($B455,Inventory!$A$4:$A$503,0)),""))</f>
        <v/>
      </c>
      <c r="P455" s="27" t="str">
        <f aca="false">IF($B455="","",IFERROR(INDEX(Inventory!$C$4:$C$503,MATCH($B455,Inventory!$A$4:$A$503,0)),""))</f>
        <v/>
      </c>
    </row>
    <row r="456" customFormat="false" ht="15" hidden="false" customHeight="false" outlineLevel="0" collapsed="false">
      <c r="A456" s="19"/>
      <c r="B456" s="10"/>
      <c r="C456" s="23" t="str">
        <f aca="false">IF($B456="","",IFERROR(INDEX(Inventory!$E$4:$E$503,MATCH($B456,Inventory!$A$4:$A$503,0)),"SKU not found"))</f>
        <v/>
      </c>
      <c r="D456" s="10"/>
      <c r="E456" s="12"/>
      <c r="F456" s="12"/>
      <c r="G456" s="12"/>
      <c r="H456" s="24" t="str">
        <f aca="false">IF(OR(B456="",D456="",E456=""),"",IFERROR(IF(AND(D456="Poshmark",E456&lt;Settings!$B$20),Settings!$B$21,(E456+IF(INDEX(Settings!$E$4:$E$11,MATCH($D456,Settings!$A$4:$A$11,0))="Y",N(F456),0))*(INDEX(Settings!$B$4:$B$11,MATCH($D456,Settings!$A$4:$A$11,0))+INDEX(Settings!$D$4:$D$11,MATCH($D456,Settings!$A$4:$A$11,0)))+INDEX(Settings!$C$4:$C$11,MATCH($D456,Settings!$A$4:$A$11,0))),0))</f>
        <v/>
      </c>
      <c r="I456" s="12"/>
      <c r="J456" s="12"/>
      <c r="K456" s="24" t="str">
        <f aca="false">IF($B456="","",IFERROR(INDEX(Inventory!$J$4:$J$503,MATCH($B456,Inventory!$A$4:$A$503,0)),0))</f>
        <v/>
      </c>
      <c r="L456" s="24" t="str">
        <f aca="false">IF(OR(B456="",E456=""),"",E456+N(F456)-N(G456)-N(H456)-N(J456)-N(K456))</f>
        <v/>
      </c>
      <c r="M456" s="28" t="str">
        <f aca="false">IF(OR(L456="",N(K456)=0),"",L456/K456)</f>
        <v/>
      </c>
      <c r="N456" s="25" t="str">
        <f aca="false">IF(OR(A456="",B456=""),"",IFERROR(A456-INDEX(Inventory!$B$4:$B$503,MATCH($B456,Inventory!$A$4:$A$503,0)),""))</f>
        <v/>
      </c>
      <c r="O456" s="27" t="str">
        <f aca="false">IF($B456="","",IFERROR(INDEX(Inventory!$F$4:$F$503,MATCH($B456,Inventory!$A$4:$A$503,0)),""))</f>
        <v/>
      </c>
      <c r="P456" s="27" t="str">
        <f aca="false">IF($B456="","",IFERROR(INDEX(Inventory!$C$4:$C$503,MATCH($B456,Inventory!$A$4:$A$503,0)),""))</f>
        <v/>
      </c>
    </row>
    <row r="457" customFormat="false" ht="15" hidden="false" customHeight="false" outlineLevel="0" collapsed="false">
      <c r="A457" s="19"/>
      <c r="B457" s="10"/>
      <c r="C457" s="23" t="str">
        <f aca="false">IF($B457="","",IFERROR(INDEX(Inventory!$E$4:$E$503,MATCH($B457,Inventory!$A$4:$A$503,0)),"SKU not found"))</f>
        <v/>
      </c>
      <c r="D457" s="10"/>
      <c r="E457" s="12"/>
      <c r="F457" s="12"/>
      <c r="G457" s="12"/>
      <c r="H457" s="24" t="str">
        <f aca="false">IF(OR(B457="",D457="",E457=""),"",IFERROR(IF(AND(D457="Poshmark",E457&lt;Settings!$B$20),Settings!$B$21,(E457+IF(INDEX(Settings!$E$4:$E$11,MATCH($D457,Settings!$A$4:$A$11,0))="Y",N(F457),0))*(INDEX(Settings!$B$4:$B$11,MATCH($D457,Settings!$A$4:$A$11,0))+INDEX(Settings!$D$4:$D$11,MATCH($D457,Settings!$A$4:$A$11,0)))+INDEX(Settings!$C$4:$C$11,MATCH($D457,Settings!$A$4:$A$11,0))),0))</f>
        <v/>
      </c>
      <c r="I457" s="12"/>
      <c r="J457" s="12"/>
      <c r="K457" s="24" t="str">
        <f aca="false">IF($B457="","",IFERROR(INDEX(Inventory!$J$4:$J$503,MATCH($B457,Inventory!$A$4:$A$503,0)),0))</f>
        <v/>
      </c>
      <c r="L457" s="24" t="str">
        <f aca="false">IF(OR(B457="",E457=""),"",E457+N(F457)-N(G457)-N(H457)-N(J457)-N(K457))</f>
        <v/>
      </c>
      <c r="M457" s="28" t="str">
        <f aca="false">IF(OR(L457="",N(K457)=0),"",L457/K457)</f>
        <v/>
      </c>
      <c r="N457" s="25" t="str">
        <f aca="false">IF(OR(A457="",B457=""),"",IFERROR(A457-INDEX(Inventory!$B$4:$B$503,MATCH($B457,Inventory!$A$4:$A$503,0)),""))</f>
        <v/>
      </c>
      <c r="O457" s="27" t="str">
        <f aca="false">IF($B457="","",IFERROR(INDEX(Inventory!$F$4:$F$503,MATCH($B457,Inventory!$A$4:$A$503,0)),""))</f>
        <v/>
      </c>
      <c r="P457" s="27" t="str">
        <f aca="false">IF($B457="","",IFERROR(INDEX(Inventory!$C$4:$C$503,MATCH($B457,Inventory!$A$4:$A$503,0)),""))</f>
        <v/>
      </c>
    </row>
    <row r="458" customFormat="false" ht="15" hidden="false" customHeight="false" outlineLevel="0" collapsed="false">
      <c r="A458" s="19"/>
      <c r="B458" s="10"/>
      <c r="C458" s="23" t="str">
        <f aca="false">IF($B458="","",IFERROR(INDEX(Inventory!$E$4:$E$503,MATCH($B458,Inventory!$A$4:$A$503,0)),"SKU not found"))</f>
        <v/>
      </c>
      <c r="D458" s="10"/>
      <c r="E458" s="12"/>
      <c r="F458" s="12"/>
      <c r="G458" s="12"/>
      <c r="H458" s="24" t="str">
        <f aca="false">IF(OR(B458="",D458="",E458=""),"",IFERROR(IF(AND(D458="Poshmark",E458&lt;Settings!$B$20),Settings!$B$21,(E458+IF(INDEX(Settings!$E$4:$E$11,MATCH($D458,Settings!$A$4:$A$11,0))="Y",N(F458),0))*(INDEX(Settings!$B$4:$B$11,MATCH($D458,Settings!$A$4:$A$11,0))+INDEX(Settings!$D$4:$D$11,MATCH($D458,Settings!$A$4:$A$11,0)))+INDEX(Settings!$C$4:$C$11,MATCH($D458,Settings!$A$4:$A$11,0))),0))</f>
        <v/>
      </c>
      <c r="I458" s="12"/>
      <c r="J458" s="12"/>
      <c r="K458" s="24" t="str">
        <f aca="false">IF($B458="","",IFERROR(INDEX(Inventory!$J$4:$J$503,MATCH($B458,Inventory!$A$4:$A$503,0)),0))</f>
        <v/>
      </c>
      <c r="L458" s="24" t="str">
        <f aca="false">IF(OR(B458="",E458=""),"",E458+N(F458)-N(G458)-N(H458)-N(J458)-N(K458))</f>
        <v/>
      </c>
      <c r="M458" s="28" t="str">
        <f aca="false">IF(OR(L458="",N(K458)=0),"",L458/K458)</f>
        <v/>
      </c>
      <c r="N458" s="25" t="str">
        <f aca="false">IF(OR(A458="",B458=""),"",IFERROR(A458-INDEX(Inventory!$B$4:$B$503,MATCH($B458,Inventory!$A$4:$A$503,0)),""))</f>
        <v/>
      </c>
      <c r="O458" s="27" t="str">
        <f aca="false">IF($B458="","",IFERROR(INDEX(Inventory!$F$4:$F$503,MATCH($B458,Inventory!$A$4:$A$503,0)),""))</f>
        <v/>
      </c>
      <c r="P458" s="27" t="str">
        <f aca="false">IF($B458="","",IFERROR(INDEX(Inventory!$C$4:$C$503,MATCH($B458,Inventory!$A$4:$A$503,0)),""))</f>
        <v/>
      </c>
    </row>
    <row r="459" customFormat="false" ht="15" hidden="false" customHeight="false" outlineLevel="0" collapsed="false">
      <c r="A459" s="19"/>
      <c r="B459" s="10"/>
      <c r="C459" s="23" t="str">
        <f aca="false">IF($B459="","",IFERROR(INDEX(Inventory!$E$4:$E$503,MATCH($B459,Inventory!$A$4:$A$503,0)),"SKU not found"))</f>
        <v/>
      </c>
      <c r="D459" s="10"/>
      <c r="E459" s="12"/>
      <c r="F459" s="12"/>
      <c r="G459" s="12"/>
      <c r="H459" s="24" t="str">
        <f aca="false">IF(OR(B459="",D459="",E459=""),"",IFERROR(IF(AND(D459="Poshmark",E459&lt;Settings!$B$20),Settings!$B$21,(E459+IF(INDEX(Settings!$E$4:$E$11,MATCH($D459,Settings!$A$4:$A$11,0))="Y",N(F459),0))*(INDEX(Settings!$B$4:$B$11,MATCH($D459,Settings!$A$4:$A$11,0))+INDEX(Settings!$D$4:$D$11,MATCH($D459,Settings!$A$4:$A$11,0)))+INDEX(Settings!$C$4:$C$11,MATCH($D459,Settings!$A$4:$A$11,0))),0))</f>
        <v/>
      </c>
      <c r="I459" s="12"/>
      <c r="J459" s="12"/>
      <c r="K459" s="24" t="str">
        <f aca="false">IF($B459="","",IFERROR(INDEX(Inventory!$J$4:$J$503,MATCH($B459,Inventory!$A$4:$A$503,0)),0))</f>
        <v/>
      </c>
      <c r="L459" s="24" t="str">
        <f aca="false">IF(OR(B459="",E459=""),"",E459+N(F459)-N(G459)-N(H459)-N(J459)-N(K459))</f>
        <v/>
      </c>
      <c r="M459" s="28" t="str">
        <f aca="false">IF(OR(L459="",N(K459)=0),"",L459/K459)</f>
        <v/>
      </c>
      <c r="N459" s="25" t="str">
        <f aca="false">IF(OR(A459="",B459=""),"",IFERROR(A459-INDEX(Inventory!$B$4:$B$503,MATCH($B459,Inventory!$A$4:$A$503,0)),""))</f>
        <v/>
      </c>
      <c r="O459" s="27" t="str">
        <f aca="false">IF($B459="","",IFERROR(INDEX(Inventory!$F$4:$F$503,MATCH($B459,Inventory!$A$4:$A$503,0)),""))</f>
        <v/>
      </c>
      <c r="P459" s="27" t="str">
        <f aca="false">IF($B459="","",IFERROR(INDEX(Inventory!$C$4:$C$503,MATCH($B459,Inventory!$A$4:$A$503,0)),""))</f>
        <v/>
      </c>
    </row>
    <row r="460" customFormat="false" ht="15" hidden="false" customHeight="false" outlineLevel="0" collapsed="false">
      <c r="A460" s="19"/>
      <c r="B460" s="10"/>
      <c r="C460" s="23" t="str">
        <f aca="false">IF($B460="","",IFERROR(INDEX(Inventory!$E$4:$E$503,MATCH($B460,Inventory!$A$4:$A$503,0)),"SKU not found"))</f>
        <v/>
      </c>
      <c r="D460" s="10"/>
      <c r="E460" s="12"/>
      <c r="F460" s="12"/>
      <c r="G460" s="12"/>
      <c r="H460" s="24" t="str">
        <f aca="false">IF(OR(B460="",D460="",E460=""),"",IFERROR(IF(AND(D460="Poshmark",E460&lt;Settings!$B$20),Settings!$B$21,(E460+IF(INDEX(Settings!$E$4:$E$11,MATCH($D460,Settings!$A$4:$A$11,0))="Y",N(F460),0))*(INDEX(Settings!$B$4:$B$11,MATCH($D460,Settings!$A$4:$A$11,0))+INDEX(Settings!$D$4:$D$11,MATCH($D460,Settings!$A$4:$A$11,0)))+INDEX(Settings!$C$4:$C$11,MATCH($D460,Settings!$A$4:$A$11,0))),0))</f>
        <v/>
      </c>
      <c r="I460" s="12"/>
      <c r="J460" s="12"/>
      <c r="K460" s="24" t="str">
        <f aca="false">IF($B460="","",IFERROR(INDEX(Inventory!$J$4:$J$503,MATCH($B460,Inventory!$A$4:$A$503,0)),0))</f>
        <v/>
      </c>
      <c r="L460" s="24" t="str">
        <f aca="false">IF(OR(B460="",E460=""),"",E460+N(F460)-N(G460)-N(H460)-N(J460)-N(K460))</f>
        <v/>
      </c>
      <c r="M460" s="28" t="str">
        <f aca="false">IF(OR(L460="",N(K460)=0),"",L460/K460)</f>
        <v/>
      </c>
      <c r="N460" s="25" t="str">
        <f aca="false">IF(OR(A460="",B460=""),"",IFERROR(A460-INDEX(Inventory!$B$4:$B$503,MATCH($B460,Inventory!$A$4:$A$503,0)),""))</f>
        <v/>
      </c>
      <c r="O460" s="27" t="str">
        <f aca="false">IF($B460="","",IFERROR(INDEX(Inventory!$F$4:$F$503,MATCH($B460,Inventory!$A$4:$A$503,0)),""))</f>
        <v/>
      </c>
      <c r="P460" s="27" t="str">
        <f aca="false">IF($B460="","",IFERROR(INDEX(Inventory!$C$4:$C$503,MATCH($B460,Inventory!$A$4:$A$503,0)),""))</f>
        <v/>
      </c>
    </row>
    <row r="461" customFormat="false" ht="15" hidden="false" customHeight="false" outlineLevel="0" collapsed="false">
      <c r="A461" s="19"/>
      <c r="B461" s="10"/>
      <c r="C461" s="23" t="str">
        <f aca="false">IF($B461="","",IFERROR(INDEX(Inventory!$E$4:$E$503,MATCH($B461,Inventory!$A$4:$A$503,0)),"SKU not found"))</f>
        <v/>
      </c>
      <c r="D461" s="10"/>
      <c r="E461" s="12"/>
      <c r="F461" s="12"/>
      <c r="G461" s="12"/>
      <c r="H461" s="24" t="str">
        <f aca="false">IF(OR(B461="",D461="",E461=""),"",IFERROR(IF(AND(D461="Poshmark",E461&lt;Settings!$B$20),Settings!$B$21,(E461+IF(INDEX(Settings!$E$4:$E$11,MATCH($D461,Settings!$A$4:$A$11,0))="Y",N(F461),0))*(INDEX(Settings!$B$4:$B$11,MATCH($D461,Settings!$A$4:$A$11,0))+INDEX(Settings!$D$4:$D$11,MATCH($D461,Settings!$A$4:$A$11,0)))+INDEX(Settings!$C$4:$C$11,MATCH($D461,Settings!$A$4:$A$11,0))),0))</f>
        <v/>
      </c>
      <c r="I461" s="12"/>
      <c r="J461" s="12"/>
      <c r="K461" s="24" t="str">
        <f aca="false">IF($B461="","",IFERROR(INDEX(Inventory!$J$4:$J$503,MATCH($B461,Inventory!$A$4:$A$503,0)),0))</f>
        <v/>
      </c>
      <c r="L461" s="24" t="str">
        <f aca="false">IF(OR(B461="",E461=""),"",E461+N(F461)-N(G461)-N(H461)-N(J461)-N(K461))</f>
        <v/>
      </c>
      <c r="M461" s="28" t="str">
        <f aca="false">IF(OR(L461="",N(K461)=0),"",L461/K461)</f>
        <v/>
      </c>
      <c r="N461" s="25" t="str">
        <f aca="false">IF(OR(A461="",B461=""),"",IFERROR(A461-INDEX(Inventory!$B$4:$B$503,MATCH($B461,Inventory!$A$4:$A$503,0)),""))</f>
        <v/>
      </c>
      <c r="O461" s="27" t="str">
        <f aca="false">IF($B461="","",IFERROR(INDEX(Inventory!$F$4:$F$503,MATCH($B461,Inventory!$A$4:$A$503,0)),""))</f>
        <v/>
      </c>
      <c r="P461" s="27" t="str">
        <f aca="false">IF($B461="","",IFERROR(INDEX(Inventory!$C$4:$C$503,MATCH($B461,Inventory!$A$4:$A$503,0)),""))</f>
        <v/>
      </c>
    </row>
    <row r="462" customFormat="false" ht="15" hidden="false" customHeight="false" outlineLevel="0" collapsed="false">
      <c r="A462" s="19"/>
      <c r="B462" s="10"/>
      <c r="C462" s="23" t="str">
        <f aca="false">IF($B462="","",IFERROR(INDEX(Inventory!$E$4:$E$503,MATCH($B462,Inventory!$A$4:$A$503,0)),"SKU not found"))</f>
        <v/>
      </c>
      <c r="D462" s="10"/>
      <c r="E462" s="12"/>
      <c r="F462" s="12"/>
      <c r="G462" s="12"/>
      <c r="H462" s="24" t="str">
        <f aca="false">IF(OR(B462="",D462="",E462=""),"",IFERROR(IF(AND(D462="Poshmark",E462&lt;Settings!$B$20),Settings!$B$21,(E462+IF(INDEX(Settings!$E$4:$E$11,MATCH($D462,Settings!$A$4:$A$11,0))="Y",N(F462),0))*(INDEX(Settings!$B$4:$B$11,MATCH($D462,Settings!$A$4:$A$11,0))+INDEX(Settings!$D$4:$D$11,MATCH($D462,Settings!$A$4:$A$11,0)))+INDEX(Settings!$C$4:$C$11,MATCH($D462,Settings!$A$4:$A$11,0))),0))</f>
        <v/>
      </c>
      <c r="I462" s="12"/>
      <c r="J462" s="12"/>
      <c r="K462" s="24" t="str">
        <f aca="false">IF($B462="","",IFERROR(INDEX(Inventory!$J$4:$J$503,MATCH($B462,Inventory!$A$4:$A$503,0)),0))</f>
        <v/>
      </c>
      <c r="L462" s="24" t="str">
        <f aca="false">IF(OR(B462="",E462=""),"",E462+N(F462)-N(G462)-N(H462)-N(J462)-N(K462))</f>
        <v/>
      </c>
      <c r="M462" s="28" t="str">
        <f aca="false">IF(OR(L462="",N(K462)=0),"",L462/K462)</f>
        <v/>
      </c>
      <c r="N462" s="25" t="str">
        <f aca="false">IF(OR(A462="",B462=""),"",IFERROR(A462-INDEX(Inventory!$B$4:$B$503,MATCH($B462,Inventory!$A$4:$A$503,0)),""))</f>
        <v/>
      </c>
      <c r="O462" s="27" t="str">
        <f aca="false">IF($B462="","",IFERROR(INDEX(Inventory!$F$4:$F$503,MATCH($B462,Inventory!$A$4:$A$503,0)),""))</f>
        <v/>
      </c>
      <c r="P462" s="27" t="str">
        <f aca="false">IF($B462="","",IFERROR(INDEX(Inventory!$C$4:$C$503,MATCH($B462,Inventory!$A$4:$A$503,0)),""))</f>
        <v/>
      </c>
    </row>
    <row r="463" customFormat="false" ht="15" hidden="false" customHeight="false" outlineLevel="0" collapsed="false">
      <c r="A463" s="19"/>
      <c r="B463" s="10"/>
      <c r="C463" s="23" t="str">
        <f aca="false">IF($B463="","",IFERROR(INDEX(Inventory!$E$4:$E$503,MATCH($B463,Inventory!$A$4:$A$503,0)),"SKU not found"))</f>
        <v/>
      </c>
      <c r="D463" s="10"/>
      <c r="E463" s="12"/>
      <c r="F463" s="12"/>
      <c r="G463" s="12"/>
      <c r="H463" s="24" t="str">
        <f aca="false">IF(OR(B463="",D463="",E463=""),"",IFERROR(IF(AND(D463="Poshmark",E463&lt;Settings!$B$20),Settings!$B$21,(E463+IF(INDEX(Settings!$E$4:$E$11,MATCH($D463,Settings!$A$4:$A$11,0))="Y",N(F463),0))*(INDEX(Settings!$B$4:$B$11,MATCH($D463,Settings!$A$4:$A$11,0))+INDEX(Settings!$D$4:$D$11,MATCH($D463,Settings!$A$4:$A$11,0)))+INDEX(Settings!$C$4:$C$11,MATCH($D463,Settings!$A$4:$A$11,0))),0))</f>
        <v/>
      </c>
      <c r="I463" s="12"/>
      <c r="J463" s="12"/>
      <c r="K463" s="24" t="str">
        <f aca="false">IF($B463="","",IFERROR(INDEX(Inventory!$J$4:$J$503,MATCH($B463,Inventory!$A$4:$A$503,0)),0))</f>
        <v/>
      </c>
      <c r="L463" s="24" t="str">
        <f aca="false">IF(OR(B463="",E463=""),"",E463+N(F463)-N(G463)-N(H463)-N(J463)-N(K463))</f>
        <v/>
      </c>
      <c r="M463" s="28" t="str">
        <f aca="false">IF(OR(L463="",N(K463)=0),"",L463/K463)</f>
        <v/>
      </c>
      <c r="N463" s="25" t="str">
        <f aca="false">IF(OR(A463="",B463=""),"",IFERROR(A463-INDEX(Inventory!$B$4:$B$503,MATCH($B463,Inventory!$A$4:$A$503,0)),""))</f>
        <v/>
      </c>
      <c r="O463" s="27" t="str">
        <f aca="false">IF($B463="","",IFERROR(INDEX(Inventory!$F$4:$F$503,MATCH($B463,Inventory!$A$4:$A$503,0)),""))</f>
        <v/>
      </c>
      <c r="P463" s="27" t="str">
        <f aca="false">IF($B463="","",IFERROR(INDEX(Inventory!$C$4:$C$503,MATCH($B463,Inventory!$A$4:$A$503,0)),""))</f>
        <v/>
      </c>
    </row>
    <row r="464" customFormat="false" ht="15" hidden="false" customHeight="false" outlineLevel="0" collapsed="false">
      <c r="A464" s="19"/>
      <c r="B464" s="10"/>
      <c r="C464" s="23" t="str">
        <f aca="false">IF($B464="","",IFERROR(INDEX(Inventory!$E$4:$E$503,MATCH($B464,Inventory!$A$4:$A$503,0)),"SKU not found"))</f>
        <v/>
      </c>
      <c r="D464" s="10"/>
      <c r="E464" s="12"/>
      <c r="F464" s="12"/>
      <c r="G464" s="12"/>
      <c r="H464" s="24" t="str">
        <f aca="false">IF(OR(B464="",D464="",E464=""),"",IFERROR(IF(AND(D464="Poshmark",E464&lt;Settings!$B$20),Settings!$B$21,(E464+IF(INDEX(Settings!$E$4:$E$11,MATCH($D464,Settings!$A$4:$A$11,0))="Y",N(F464),0))*(INDEX(Settings!$B$4:$B$11,MATCH($D464,Settings!$A$4:$A$11,0))+INDEX(Settings!$D$4:$D$11,MATCH($D464,Settings!$A$4:$A$11,0)))+INDEX(Settings!$C$4:$C$11,MATCH($D464,Settings!$A$4:$A$11,0))),0))</f>
        <v/>
      </c>
      <c r="I464" s="12"/>
      <c r="J464" s="12"/>
      <c r="K464" s="24" t="str">
        <f aca="false">IF($B464="","",IFERROR(INDEX(Inventory!$J$4:$J$503,MATCH($B464,Inventory!$A$4:$A$503,0)),0))</f>
        <v/>
      </c>
      <c r="L464" s="24" t="str">
        <f aca="false">IF(OR(B464="",E464=""),"",E464+N(F464)-N(G464)-N(H464)-N(J464)-N(K464))</f>
        <v/>
      </c>
      <c r="M464" s="28" t="str">
        <f aca="false">IF(OR(L464="",N(K464)=0),"",L464/K464)</f>
        <v/>
      </c>
      <c r="N464" s="25" t="str">
        <f aca="false">IF(OR(A464="",B464=""),"",IFERROR(A464-INDEX(Inventory!$B$4:$B$503,MATCH($B464,Inventory!$A$4:$A$503,0)),""))</f>
        <v/>
      </c>
      <c r="O464" s="27" t="str">
        <f aca="false">IF($B464="","",IFERROR(INDEX(Inventory!$F$4:$F$503,MATCH($B464,Inventory!$A$4:$A$503,0)),""))</f>
        <v/>
      </c>
      <c r="P464" s="27" t="str">
        <f aca="false">IF($B464="","",IFERROR(INDEX(Inventory!$C$4:$C$503,MATCH($B464,Inventory!$A$4:$A$503,0)),""))</f>
        <v/>
      </c>
    </row>
    <row r="465" customFormat="false" ht="15" hidden="false" customHeight="false" outlineLevel="0" collapsed="false">
      <c r="A465" s="19"/>
      <c r="B465" s="10"/>
      <c r="C465" s="23" t="str">
        <f aca="false">IF($B465="","",IFERROR(INDEX(Inventory!$E$4:$E$503,MATCH($B465,Inventory!$A$4:$A$503,0)),"SKU not found"))</f>
        <v/>
      </c>
      <c r="D465" s="10"/>
      <c r="E465" s="12"/>
      <c r="F465" s="12"/>
      <c r="G465" s="12"/>
      <c r="H465" s="24" t="str">
        <f aca="false">IF(OR(B465="",D465="",E465=""),"",IFERROR(IF(AND(D465="Poshmark",E465&lt;Settings!$B$20),Settings!$B$21,(E465+IF(INDEX(Settings!$E$4:$E$11,MATCH($D465,Settings!$A$4:$A$11,0))="Y",N(F465),0))*(INDEX(Settings!$B$4:$B$11,MATCH($D465,Settings!$A$4:$A$11,0))+INDEX(Settings!$D$4:$D$11,MATCH($D465,Settings!$A$4:$A$11,0)))+INDEX(Settings!$C$4:$C$11,MATCH($D465,Settings!$A$4:$A$11,0))),0))</f>
        <v/>
      </c>
      <c r="I465" s="12"/>
      <c r="J465" s="12"/>
      <c r="K465" s="24" t="str">
        <f aca="false">IF($B465="","",IFERROR(INDEX(Inventory!$J$4:$J$503,MATCH($B465,Inventory!$A$4:$A$503,0)),0))</f>
        <v/>
      </c>
      <c r="L465" s="24" t="str">
        <f aca="false">IF(OR(B465="",E465=""),"",E465+N(F465)-N(G465)-N(H465)-N(J465)-N(K465))</f>
        <v/>
      </c>
      <c r="M465" s="28" t="str">
        <f aca="false">IF(OR(L465="",N(K465)=0),"",L465/K465)</f>
        <v/>
      </c>
      <c r="N465" s="25" t="str">
        <f aca="false">IF(OR(A465="",B465=""),"",IFERROR(A465-INDEX(Inventory!$B$4:$B$503,MATCH($B465,Inventory!$A$4:$A$503,0)),""))</f>
        <v/>
      </c>
      <c r="O465" s="27" t="str">
        <f aca="false">IF($B465="","",IFERROR(INDEX(Inventory!$F$4:$F$503,MATCH($B465,Inventory!$A$4:$A$503,0)),""))</f>
        <v/>
      </c>
      <c r="P465" s="27" t="str">
        <f aca="false">IF($B465="","",IFERROR(INDEX(Inventory!$C$4:$C$503,MATCH($B465,Inventory!$A$4:$A$503,0)),""))</f>
        <v/>
      </c>
    </row>
    <row r="466" customFormat="false" ht="15" hidden="false" customHeight="false" outlineLevel="0" collapsed="false">
      <c r="A466" s="19"/>
      <c r="B466" s="10"/>
      <c r="C466" s="23" t="str">
        <f aca="false">IF($B466="","",IFERROR(INDEX(Inventory!$E$4:$E$503,MATCH($B466,Inventory!$A$4:$A$503,0)),"SKU not found"))</f>
        <v/>
      </c>
      <c r="D466" s="10"/>
      <c r="E466" s="12"/>
      <c r="F466" s="12"/>
      <c r="G466" s="12"/>
      <c r="H466" s="24" t="str">
        <f aca="false">IF(OR(B466="",D466="",E466=""),"",IFERROR(IF(AND(D466="Poshmark",E466&lt;Settings!$B$20),Settings!$B$21,(E466+IF(INDEX(Settings!$E$4:$E$11,MATCH($D466,Settings!$A$4:$A$11,0))="Y",N(F466),0))*(INDEX(Settings!$B$4:$B$11,MATCH($D466,Settings!$A$4:$A$11,0))+INDEX(Settings!$D$4:$D$11,MATCH($D466,Settings!$A$4:$A$11,0)))+INDEX(Settings!$C$4:$C$11,MATCH($D466,Settings!$A$4:$A$11,0))),0))</f>
        <v/>
      </c>
      <c r="I466" s="12"/>
      <c r="J466" s="12"/>
      <c r="K466" s="24" t="str">
        <f aca="false">IF($B466="","",IFERROR(INDEX(Inventory!$J$4:$J$503,MATCH($B466,Inventory!$A$4:$A$503,0)),0))</f>
        <v/>
      </c>
      <c r="L466" s="24" t="str">
        <f aca="false">IF(OR(B466="",E466=""),"",E466+N(F466)-N(G466)-N(H466)-N(J466)-N(K466))</f>
        <v/>
      </c>
      <c r="M466" s="28" t="str">
        <f aca="false">IF(OR(L466="",N(K466)=0),"",L466/K466)</f>
        <v/>
      </c>
      <c r="N466" s="25" t="str">
        <f aca="false">IF(OR(A466="",B466=""),"",IFERROR(A466-INDEX(Inventory!$B$4:$B$503,MATCH($B466,Inventory!$A$4:$A$503,0)),""))</f>
        <v/>
      </c>
      <c r="O466" s="27" t="str">
        <f aca="false">IF($B466="","",IFERROR(INDEX(Inventory!$F$4:$F$503,MATCH($B466,Inventory!$A$4:$A$503,0)),""))</f>
        <v/>
      </c>
      <c r="P466" s="27" t="str">
        <f aca="false">IF($B466="","",IFERROR(INDEX(Inventory!$C$4:$C$503,MATCH($B466,Inventory!$A$4:$A$503,0)),""))</f>
        <v/>
      </c>
    </row>
    <row r="467" customFormat="false" ht="15" hidden="false" customHeight="false" outlineLevel="0" collapsed="false">
      <c r="A467" s="19"/>
      <c r="B467" s="10"/>
      <c r="C467" s="23" t="str">
        <f aca="false">IF($B467="","",IFERROR(INDEX(Inventory!$E$4:$E$503,MATCH($B467,Inventory!$A$4:$A$503,0)),"SKU not found"))</f>
        <v/>
      </c>
      <c r="D467" s="10"/>
      <c r="E467" s="12"/>
      <c r="F467" s="12"/>
      <c r="G467" s="12"/>
      <c r="H467" s="24" t="str">
        <f aca="false">IF(OR(B467="",D467="",E467=""),"",IFERROR(IF(AND(D467="Poshmark",E467&lt;Settings!$B$20),Settings!$B$21,(E467+IF(INDEX(Settings!$E$4:$E$11,MATCH($D467,Settings!$A$4:$A$11,0))="Y",N(F467),0))*(INDEX(Settings!$B$4:$B$11,MATCH($D467,Settings!$A$4:$A$11,0))+INDEX(Settings!$D$4:$D$11,MATCH($D467,Settings!$A$4:$A$11,0)))+INDEX(Settings!$C$4:$C$11,MATCH($D467,Settings!$A$4:$A$11,0))),0))</f>
        <v/>
      </c>
      <c r="I467" s="12"/>
      <c r="J467" s="12"/>
      <c r="K467" s="24" t="str">
        <f aca="false">IF($B467="","",IFERROR(INDEX(Inventory!$J$4:$J$503,MATCH($B467,Inventory!$A$4:$A$503,0)),0))</f>
        <v/>
      </c>
      <c r="L467" s="24" t="str">
        <f aca="false">IF(OR(B467="",E467=""),"",E467+N(F467)-N(G467)-N(H467)-N(J467)-N(K467))</f>
        <v/>
      </c>
      <c r="M467" s="28" t="str">
        <f aca="false">IF(OR(L467="",N(K467)=0),"",L467/K467)</f>
        <v/>
      </c>
      <c r="N467" s="25" t="str">
        <f aca="false">IF(OR(A467="",B467=""),"",IFERROR(A467-INDEX(Inventory!$B$4:$B$503,MATCH($B467,Inventory!$A$4:$A$503,0)),""))</f>
        <v/>
      </c>
      <c r="O467" s="27" t="str">
        <f aca="false">IF($B467="","",IFERROR(INDEX(Inventory!$F$4:$F$503,MATCH($B467,Inventory!$A$4:$A$503,0)),""))</f>
        <v/>
      </c>
      <c r="P467" s="27" t="str">
        <f aca="false">IF($B467="","",IFERROR(INDEX(Inventory!$C$4:$C$503,MATCH($B467,Inventory!$A$4:$A$503,0)),""))</f>
        <v/>
      </c>
    </row>
    <row r="468" customFormat="false" ht="15" hidden="false" customHeight="false" outlineLevel="0" collapsed="false">
      <c r="A468" s="19"/>
      <c r="B468" s="10"/>
      <c r="C468" s="23" t="str">
        <f aca="false">IF($B468="","",IFERROR(INDEX(Inventory!$E$4:$E$503,MATCH($B468,Inventory!$A$4:$A$503,0)),"SKU not found"))</f>
        <v/>
      </c>
      <c r="D468" s="10"/>
      <c r="E468" s="12"/>
      <c r="F468" s="12"/>
      <c r="G468" s="12"/>
      <c r="H468" s="24" t="str">
        <f aca="false">IF(OR(B468="",D468="",E468=""),"",IFERROR(IF(AND(D468="Poshmark",E468&lt;Settings!$B$20),Settings!$B$21,(E468+IF(INDEX(Settings!$E$4:$E$11,MATCH($D468,Settings!$A$4:$A$11,0))="Y",N(F468),0))*(INDEX(Settings!$B$4:$B$11,MATCH($D468,Settings!$A$4:$A$11,0))+INDEX(Settings!$D$4:$D$11,MATCH($D468,Settings!$A$4:$A$11,0)))+INDEX(Settings!$C$4:$C$11,MATCH($D468,Settings!$A$4:$A$11,0))),0))</f>
        <v/>
      </c>
      <c r="I468" s="12"/>
      <c r="J468" s="12"/>
      <c r="K468" s="24" t="str">
        <f aca="false">IF($B468="","",IFERROR(INDEX(Inventory!$J$4:$J$503,MATCH($B468,Inventory!$A$4:$A$503,0)),0))</f>
        <v/>
      </c>
      <c r="L468" s="24" t="str">
        <f aca="false">IF(OR(B468="",E468=""),"",E468+N(F468)-N(G468)-N(H468)-N(J468)-N(K468))</f>
        <v/>
      </c>
      <c r="M468" s="28" t="str">
        <f aca="false">IF(OR(L468="",N(K468)=0),"",L468/K468)</f>
        <v/>
      </c>
      <c r="N468" s="25" t="str">
        <f aca="false">IF(OR(A468="",B468=""),"",IFERROR(A468-INDEX(Inventory!$B$4:$B$503,MATCH($B468,Inventory!$A$4:$A$503,0)),""))</f>
        <v/>
      </c>
      <c r="O468" s="27" t="str">
        <f aca="false">IF($B468="","",IFERROR(INDEX(Inventory!$F$4:$F$503,MATCH($B468,Inventory!$A$4:$A$503,0)),""))</f>
        <v/>
      </c>
      <c r="P468" s="27" t="str">
        <f aca="false">IF($B468="","",IFERROR(INDEX(Inventory!$C$4:$C$503,MATCH($B468,Inventory!$A$4:$A$503,0)),""))</f>
        <v/>
      </c>
    </row>
    <row r="469" customFormat="false" ht="15" hidden="false" customHeight="false" outlineLevel="0" collapsed="false">
      <c r="A469" s="19"/>
      <c r="B469" s="10"/>
      <c r="C469" s="23" t="str">
        <f aca="false">IF($B469="","",IFERROR(INDEX(Inventory!$E$4:$E$503,MATCH($B469,Inventory!$A$4:$A$503,0)),"SKU not found"))</f>
        <v/>
      </c>
      <c r="D469" s="10"/>
      <c r="E469" s="12"/>
      <c r="F469" s="12"/>
      <c r="G469" s="12"/>
      <c r="H469" s="24" t="str">
        <f aca="false">IF(OR(B469="",D469="",E469=""),"",IFERROR(IF(AND(D469="Poshmark",E469&lt;Settings!$B$20),Settings!$B$21,(E469+IF(INDEX(Settings!$E$4:$E$11,MATCH($D469,Settings!$A$4:$A$11,0))="Y",N(F469),0))*(INDEX(Settings!$B$4:$B$11,MATCH($D469,Settings!$A$4:$A$11,0))+INDEX(Settings!$D$4:$D$11,MATCH($D469,Settings!$A$4:$A$11,0)))+INDEX(Settings!$C$4:$C$11,MATCH($D469,Settings!$A$4:$A$11,0))),0))</f>
        <v/>
      </c>
      <c r="I469" s="12"/>
      <c r="J469" s="12"/>
      <c r="K469" s="24" t="str">
        <f aca="false">IF($B469="","",IFERROR(INDEX(Inventory!$J$4:$J$503,MATCH($B469,Inventory!$A$4:$A$503,0)),0))</f>
        <v/>
      </c>
      <c r="L469" s="24" t="str">
        <f aca="false">IF(OR(B469="",E469=""),"",E469+N(F469)-N(G469)-N(H469)-N(J469)-N(K469))</f>
        <v/>
      </c>
      <c r="M469" s="28" t="str">
        <f aca="false">IF(OR(L469="",N(K469)=0),"",L469/K469)</f>
        <v/>
      </c>
      <c r="N469" s="25" t="str">
        <f aca="false">IF(OR(A469="",B469=""),"",IFERROR(A469-INDEX(Inventory!$B$4:$B$503,MATCH($B469,Inventory!$A$4:$A$503,0)),""))</f>
        <v/>
      </c>
      <c r="O469" s="27" t="str">
        <f aca="false">IF($B469="","",IFERROR(INDEX(Inventory!$F$4:$F$503,MATCH($B469,Inventory!$A$4:$A$503,0)),""))</f>
        <v/>
      </c>
      <c r="P469" s="27" t="str">
        <f aca="false">IF($B469="","",IFERROR(INDEX(Inventory!$C$4:$C$503,MATCH($B469,Inventory!$A$4:$A$503,0)),""))</f>
        <v/>
      </c>
    </row>
    <row r="470" customFormat="false" ht="15" hidden="false" customHeight="false" outlineLevel="0" collapsed="false">
      <c r="A470" s="19"/>
      <c r="B470" s="10"/>
      <c r="C470" s="23" t="str">
        <f aca="false">IF($B470="","",IFERROR(INDEX(Inventory!$E$4:$E$503,MATCH($B470,Inventory!$A$4:$A$503,0)),"SKU not found"))</f>
        <v/>
      </c>
      <c r="D470" s="10"/>
      <c r="E470" s="12"/>
      <c r="F470" s="12"/>
      <c r="G470" s="12"/>
      <c r="H470" s="24" t="str">
        <f aca="false">IF(OR(B470="",D470="",E470=""),"",IFERROR(IF(AND(D470="Poshmark",E470&lt;Settings!$B$20),Settings!$B$21,(E470+IF(INDEX(Settings!$E$4:$E$11,MATCH($D470,Settings!$A$4:$A$11,0))="Y",N(F470),0))*(INDEX(Settings!$B$4:$B$11,MATCH($D470,Settings!$A$4:$A$11,0))+INDEX(Settings!$D$4:$D$11,MATCH($D470,Settings!$A$4:$A$11,0)))+INDEX(Settings!$C$4:$C$11,MATCH($D470,Settings!$A$4:$A$11,0))),0))</f>
        <v/>
      </c>
      <c r="I470" s="12"/>
      <c r="J470" s="12"/>
      <c r="K470" s="24" t="str">
        <f aca="false">IF($B470="","",IFERROR(INDEX(Inventory!$J$4:$J$503,MATCH($B470,Inventory!$A$4:$A$503,0)),0))</f>
        <v/>
      </c>
      <c r="L470" s="24" t="str">
        <f aca="false">IF(OR(B470="",E470=""),"",E470+N(F470)-N(G470)-N(H470)-N(J470)-N(K470))</f>
        <v/>
      </c>
      <c r="M470" s="28" t="str">
        <f aca="false">IF(OR(L470="",N(K470)=0),"",L470/K470)</f>
        <v/>
      </c>
      <c r="N470" s="25" t="str">
        <f aca="false">IF(OR(A470="",B470=""),"",IFERROR(A470-INDEX(Inventory!$B$4:$B$503,MATCH($B470,Inventory!$A$4:$A$503,0)),""))</f>
        <v/>
      </c>
      <c r="O470" s="27" t="str">
        <f aca="false">IF($B470="","",IFERROR(INDEX(Inventory!$F$4:$F$503,MATCH($B470,Inventory!$A$4:$A$503,0)),""))</f>
        <v/>
      </c>
      <c r="P470" s="27" t="str">
        <f aca="false">IF($B470="","",IFERROR(INDEX(Inventory!$C$4:$C$503,MATCH($B470,Inventory!$A$4:$A$503,0)),""))</f>
        <v/>
      </c>
    </row>
    <row r="471" customFormat="false" ht="15" hidden="false" customHeight="false" outlineLevel="0" collapsed="false">
      <c r="A471" s="19"/>
      <c r="B471" s="10"/>
      <c r="C471" s="23" t="str">
        <f aca="false">IF($B471="","",IFERROR(INDEX(Inventory!$E$4:$E$503,MATCH($B471,Inventory!$A$4:$A$503,0)),"SKU not found"))</f>
        <v/>
      </c>
      <c r="D471" s="10"/>
      <c r="E471" s="12"/>
      <c r="F471" s="12"/>
      <c r="G471" s="12"/>
      <c r="H471" s="24" t="str">
        <f aca="false">IF(OR(B471="",D471="",E471=""),"",IFERROR(IF(AND(D471="Poshmark",E471&lt;Settings!$B$20),Settings!$B$21,(E471+IF(INDEX(Settings!$E$4:$E$11,MATCH($D471,Settings!$A$4:$A$11,0))="Y",N(F471),0))*(INDEX(Settings!$B$4:$B$11,MATCH($D471,Settings!$A$4:$A$11,0))+INDEX(Settings!$D$4:$D$11,MATCH($D471,Settings!$A$4:$A$11,0)))+INDEX(Settings!$C$4:$C$11,MATCH($D471,Settings!$A$4:$A$11,0))),0))</f>
        <v/>
      </c>
      <c r="I471" s="12"/>
      <c r="J471" s="12"/>
      <c r="K471" s="24" t="str">
        <f aca="false">IF($B471="","",IFERROR(INDEX(Inventory!$J$4:$J$503,MATCH($B471,Inventory!$A$4:$A$503,0)),0))</f>
        <v/>
      </c>
      <c r="L471" s="24" t="str">
        <f aca="false">IF(OR(B471="",E471=""),"",E471+N(F471)-N(G471)-N(H471)-N(J471)-N(K471))</f>
        <v/>
      </c>
      <c r="M471" s="28" t="str">
        <f aca="false">IF(OR(L471="",N(K471)=0),"",L471/K471)</f>
        <v/>
      </c>
      <c r="N471" s="25" t="str">
        <f aca="false">IF(OR(A471="",B471=""),"",IFERROR(A471-INDEX(Inventory!$B$4:$B$503,MATCH($B471,Inventory!$A$4:$A$503,0)),""))</f>
        <v/>
      </c>
      <c r="O471" s="27" t="str">
        <f aca="false">IF($B471="","",IFERROR(INDEX(Inventory!$F$4:$F$503,MATCH($B471,Inventory!$A$4:$A$503,0)),""))</f>
        <v/>
      </c>
      <c r="P471" s="27" t="str">
        <f aca="false">IF($B471="","",IFERROR(INDEX(Inventory!$C$4:$C$503,MATCH($B471,Inventory!$A$4:$A$503,0)),""))</f>
        <v/>
      </c>
    </row>
    <row r="472" customFormat="false" ht="15" hidden="false" customHeight="false" outlineLevel="0" collapsed="false">
      <c r="A472" s="19"/>
      <c r="B472" s="10"/>
      <c r="C472" s="23" t="str">
        <f aca="false">IF($B472="","",IFERROR(INDEX(Inventory!$E$4:$E$503,MATCH($B472,Inventory!$A$4:$A$503,0)),"SKU not found"))</f>
        <v/>
      </c>
      <c r="D472" s="10"/>
      <c r="E472" s="12"/>
      <c r="F472" s="12"/>
      <c r="G472" s="12"/>
      <c r="H472" s="24" t="str">
        <f aca="false">IF(OR(B472="",D472="",E472=""),"",IFERROR(IF(AND(D472="Poshmark",E472&lt;Settings!$B$20),Settings!$B$21,(E472+IF(INDEX(Settings!$E$4:$E$11,MATCH($D472,Settings!$A$4:$A$11,0))="Y",N(F472),0))*(INDEX(Settings!$B$4:$B$11,MATCH($D472,Settings!$A$4:$A$11,0))+INDEX(Settings!$D$4:$D$11,MATCH($D472,Settings!$A$4:$A$11,0)))+INDEX(Settings!$C$4:$C$11,MATCH($D472,Settings!$A$4:$A$11,0))),0))</f>
        <v/>
      </c>
      <c r="I472" s="12"/>
      <c r="J472" s="12"/>
      <c r="K472" s="24" t="str">
        <f aca="false">IF($B472="","",IFERROR(INDEX(Inventory!$J$4:$J$503,MATCH($B472,Inventory!$A$4:$A$503,0)),0))</f>
        <v/>
      </c>
      <c r="L472" s="24" t="str">
        <f aca="false">IF(OR(B472="",E472=""),"",E472+N(F472)-N(G472)-N(H472)-N(J472)-N(K472))</f>
        <v/>
      </c>
      <c r="M472" s="28" t="str">
        <f aca="false">IF(OR(L472="",N(K472)=0),"",L472/K472)</f>
        <v/>
      </c>
      <c r="N472" s="25" t="str">
        <f aca="false">IF(OR(A472="",B472=""),"",IFERROR(A472-INDEX(Inventory!$B$4:$B$503,MATCH($B472,Inventory!$A$4:$A$503,0)),""))</f>
        <v/>
      </c>
      <c r="O472" s="27" t="str">
        <f aca="false">IF($B472="","",IFERROR(INDEX(Inventory!$F$4:$F$503,MATCH($B472,Inventory!$A$4:$A$503,0)),""))</f>
        <v/>
      </c>
      <c r="P472" s="27" t="str">
        <f aca="false">IF($B472="","",IFERROR(INDEX(Inventory!$C$4:$C$503,MATCH($B472,Inventory!$A$4:$A$503,0)),""))</f>
        <v/>
      </c>
    </row>
    <row r="473" customFormat="false" ht="15" hidden="false" customHeight="false" outlineLevel="0" collapsed="false">
      <c r="A473" s="19"/>
      <c r="B473" s="10"/>
      <c r="C473" s="23" t="str">
        <f aca="false">IF($B473="","",IFERROR(INDEX(Inventory!$E$4:$E$503,MATCH($B473,Inventory!$A$4:$A$503,0)),"SKU not found"))</f>
        <v/>
      </c>
      <c r="D473" s="10"/>
      <c r="E473" s="12"/>
      <c r="F473" s="12"/>
      <c r="G473" s="12"/>
      <c r="H473" s="24" t="str">
        <f aca="false">IF(OR(B473="",D473="",E473=""),"",IFERROR(IF(AND(D473="Poshmark",E473&lt;Settings!$B$20),Settings!$B$21,(E473+IF(INDEX(Settings!$E$4:$E$11,MATCH($D473,Settings!$A$4:$A$11,0))="Y",N(F473),0))*(INDEX(Settings!$B$4:$B$11,MATCH($D473,Settings!$A$4:$A$11,0))+INDEX(Settings!$D$4:$D$11,MATCH($D473,Settings!$A$4:$A$11,0)))+INDEX(Settings!$C$4:$C$11,MATCH($D473,Settings!$A$4:$A$11,0))),0))</f>
        <v/>
      </c>
      <c r="I473" s="12"/>
      <c r="J473" s="12"/>
      <c r="K473" s="24" t="str">
        <f aca="false">IF($B473="","",IFERROR(INDEX(Inventory!$J$4:$J$503,MATCH($B473,Inventory!$A$4:$A$503,0)),0))</f>
        <v/>
      </c>
      <c r="L473" s="24" t="str">
        <f aca="false">IF(OR(B473="",E473=""),"",E473+N(F473)-N(G473)-N(H473)-N(J473)-N(K473))</f>
        <v/>
      </c>
      <c r="M473" s="28" t="str">
        <f aca="false">IF(OR(L473="",N(K473)=0),"",L473/K473)</f>
        <v/>
      </c>
      <c r="N473" s="25" t="str">
        <f aca="false">IF(OR(A473="",B473=""),"",IFERROR(A473-INDEX(Inventory!$B$4:$B$503,MATCH($B473,Inventory!$A$4:$A$503,0)),""))</f>
        <v/>
      </c>
      <c r="O473" s="27" t="str">
        <f aca="false">IF($B473="","",IFERROR(INDEX(Inventory!$F$4:$F$503,MATCH($B473,Inventory!$A$4:$A$503,0)),""))</f>
        <v/>
      </c>
      <c r="P473" s="27" t="str">
        <f aca="false">IF($B473="","",IFERROR(INDEX(Inventory!$C$4:$C$503,MATCH($B473,Inventory!$A$4:$A$503,0)),""))</f>
        <v/>
      </c>
    </row>
    <row r="474" customFormat="false" ht="15" hidden="false" customHeight="false" outlineLevel="0" collapsed="false">
      <c r="A474" s="19"/>
      <c r="B474" s="10"/>
      <c r="C474" s="23" t="str">
        <f aca="false">IF($B474="","",IFERROR(INDEX(Inventory!$E$4:$E$503,MATCH($B474,Inventory!$A$4:$A$503,0)),"SKU not found"))</f>
        <v/>
      </c>
      <c r="D474" s="10"/>
      <c r="E474" s="12"/>
      <c r="F474" s="12"/>
      <c r="G474" s="12"/>
      <c r="H474" s="24" t="str">
        <f aca="false">IF(OR(B474="",D474="",E474=""),"",IFERROR(IF(AND(D474="Poshmark",E474&lt;Settings!$B$20),Settings!$B$21,(E474+IF(INDEX(Settings!$E$4:$E$11,MATCH($D474,Settings!$A$4:$A$11,0))="Y",N(F474),0))*(INDEX(Settings!$B$4:$B$11,MATCH($D474,Settings!$A$4:$A$11,0))+INDEX(Settings!$D$4:$D$11,MATCH($D474,Settings!$A$4:$A$11,0)))+INDEX(Settings!$C$4:$C$11,MATCH($D474,Settings!$A$4:$A$11,0))),0))</f>
        <v/>
      </c>
      <c r="I474" s="12"/>
      <c r="J474" s="12"/>
      <c r="K474" s="24" t="str">
        <f aca="false">IF($B474="","",IFERROR(INDEX(Inventory!$J$4:$J$503,MATCH($B474,Inventory!$A$4:$A$503,0)),0))</f>
        <v/>
      </c>
      <c r="L474" s="24" t="str">
        <f aca="false">IF(OR(B474="",E474=""),"",E474+N(F474)-N(G474)-N(H474)-N(J474)-N(K474))</f>
        <v/>
      </c>
      <c r="M474" s="28" t="str">
        <f aca="false">IF(OR(L474="",N(K474)=0),"",L474/K474)</f>
        <v/>
      </c>
      <c r="N474" s="25" t="str">
        <f aca="false">IF(OR(A474="",B474=""),"",IFERROR(A474-INDEX(Inventory!$B$4:$B$503,MATCH($B474,Inventory!$A$4:$A$503,0)),""))</f>
        <v/>
      </c>
      <c r="O474" s="27" t="str">
        <f aca="false">IF($B474="","",IFERROR(INDEX(Inventory!$F$4:$F$503,MATCH($B474,Inventory!$A$4:$A$503,0)),""))</f>
        <v/>
      </c>
      <c r="P474" s="27" t="str">
        <f aca="false">IF($B474="","",IFERROR(INDEX(Inventory!$C$4:$C$503,MATCH($B474,Inventory!$A$4:$A$503,0)),""))</f>
        <v/>
      </c>
    </row>
    <row r="475" customFormat="false" ht="15" hidden="false" customHeight="false" outlineLevel="0" collapsed="false">
      <c r="A475" s="19"/>
      <c r="B475" s="10"/>
      <c r="C475" s="23" t="str">
        <f aca="false">IF($B475="","",IFERROR(INDEX(Inventory!$E$4:$E$503,MATCH($B475,Inventory!$A$4:$A$503,0)),"SKU not found"))</f>
        <v/>
      </c>
      <c r="D475" s="10"/>
      <c r="E475" s="12"/>
      <c r="F475" s="12"/>
      <c r="G475" s="12"/>
      <c r="H475" s="24" t="str">
        <f aca="false">IF(OR(B475="",D475="",E475=""),"",IFERROR(IF(AND(D475="Poshmark",E475&lt;Settings!$B$20),Settings!$B$21,(E475+IF(INDEX(Settings!$E$4:$E$11,MATCH($D475,Settings!$A$4:$A$11,0))="Y",N(F475),0))*(INDEX(Settings!$B$4:$B$11,MATCH($D475,Settings!$A$4:$A$11,0))+INDEX(Settings!$D$4:$D$11,MATCH($D475,Settings!$A$4:$A$11,0)))+INDEX(Settings!$C$4:$C$11,MATCH($D475,Settings!$A$4:$A$11,0))),0))</f>
        <v/>
      </c>
      <c r="I475" s="12"/>
      <c r="J475" s="12"/>
      <c r="K475" s="24" t="str">
        <f aca="false">IF($B475="","",IFERROR(INDEX(Inventory!$J$4:$J$503,MATCH($B475,Inventory!$A$4:$A$503,0)),0))</f>
        <v/>
      </c>
      <c r="L475" s="24" t="str">
        <f aca="false">IF(OR(B475="",E475=""),"",E475+N(F475)-N(G475)-N(H475)-N(J475)-N(K475))</f>
        <v/>
      </c>
      <c r="M475" s="28" t="str">
        <f aca="false">IF(OR(L475="",N(K475)=0),"",L475/K475)</f>
        <v/>
      </c>
      <c r="N475" s="25" t="str">
        <f aca="false">IF(OR(A475="",B475=""),"",IFERROR(A475-INDEX(Inventory!$B$4:$B$503,MATCH($B475,Inventory!$A$4:$A$503,0)),""))</f>
        <v/>
      </c>
      <c r="O475" s="27" t="str">
        <f aca="false">IF($B475="","",IFERROR(INDEX(Inventory!$F$4:$F$503,MATCH($B475,Inventory!$A$4:$A$503,0)),""))</f>
        <v/>
      </c>
      <c r="P475" s="27" t="str">
        <f aca="false">IF($B475="","",IFERROR(INDEX(Inventory!$C$4:$C$503,MATCH($B475,Inventory!$A$4:$A$503,0)),""))</f>
        <v/>
      </c>
    </row>
    <row r="476" customFormat="false" ht="15" hidden="false" customHeight="false" outlineLevel="0" collapsed="false">
      <c r="A476" s="19"/>
      <c r="B476" s="10"/>
      <c r="C476" s="23" t="str">
        <f aca="false">IF($B476="","",IFERROR(INDEX(Inventory!$E$4:$E$503,MATCH($B476,Inventory!$A$4:$A$503,0)),"SKU not found"))</f>
        <v/>
      </c>
      <c r="D476" s="10"/>
      <c r="E476" s="12"/>
      <c r="F476" s="12"/>
      <c r="G476" s="12"/>
      <c r="H476" s="24" t="str">
        <f aca="false">IF(OR(B476="",D476="",E476=""),"",IFERROR(IF(AND(D476="Poshmark",E476&lt;Settings!$B$20),Settings!$B$21,(E476+IF(INDEX(Settings!$E$4:$E$11,MATCH($D476,Settings!$A$4:$A$11,0))="Y",N(F476),0))*(INDEX(Settings!$B$4:$B$11,MATCH($D476,Settings!$A$4:$A$11,0))+INDEX(Settings!$D$4:$D$11,MATCH($D476,Settings!$A$4:$A$11,0)))+INDEX(Settings!$C$4:$C$11,MATCH($D476,Settings!$A$4:$A$11,0))),0))</f>
        <v/>
      </c>
      <c r="I476" s="12"/>
      <c r="J476" s="12"/>
      <c r="K476" s="24" t="str">
        <f aca="false">IF($B476="","",IFERROR(INDEX(Inventory!$J$4:$J$503,MATCH($B476,Inventory!$A$4:$A$503,0)),0))</f>
        <v/>
      </c>
      <c r="L476" s="24" t="str">
        <f aca="false">IF(OR(B476="",E476=""),"",E476+N(F476)-N(G476)-N(H476)-N(J476)-N(K476))</f>
        <v/>
      </c>
      <c r="M476" s="28" t="str">
        <f aca="false">IF(OR(L476="",N(K476)=0),"",L476/K476)</f>
        <v/>
      </c>
      <c r="N476" s="25" t="str">
        <f aca="false">IF(OR(A476="",B476=""),"",IFERROR(A476-INDEX(Inventory!$B$4:$B$503,MATCH($B476,Inventory!$A$4:$A$503,0)),""))</f>
        <v/>
      </c>
      <c r="O476" s="27" t="str">
        <f aca="false">IF($B476="","",IFERROR(INDEX(Inventory!$F$4:$F$503,MATCH($B476,Inventory!$A$4:$A$503,0)),""))</f>
        <v/>
      </c>
      <c r="P476" s="27" t="str">
        <f aca="false">IF($B476="","",IFERROR(INDEX(Inventory!$C$4:$C$503,MATCH($B476,Inventory!$A$4:$A$503,0)),""))</f>
        <v/>
      </c>
    </row>
    <row r="477" customFormat="false" ht="15" hidden="false" customHeight="false" outlineLevel="0" collapsed="false">
      <c r="A477" s="19"/>
      <c r="B477" s="10"/>
      <c r="C477" s="23" t="str">
        <f aca="false">IF($B477="","",IFERROR(INDEX(Inventory!$E$4:$E$503,MATCH($B477,Inventory!$A$4:$A$503,0)),"SKU not found"))</f>
        <v/>
      </c>
      <c r="D477" s="10"/>
      <c r="E477" s="12"/>
      <c r="F477" s="12"/>
      <c r="G477" s="12"/>
      <c r="H477" s="24" t="str">
        <f aca="false">IF(OR(B477="",D477="",E477=""),"",IFERROR(IF(AND(D477="Poshmark",E477&lt;Settings!$B$20),Settings!$B$21,(E477+IF(INDEX(Settings!$E$4:$E$11,MATCH($D477,Settings!$A$4:$A$11,0))="Y",N(F477),0))*(INDEX(Settings!$B$4:$B$11,MATCH($D477,Settings!$A$4:$A$11,0))+INDEX(Settings!$D$4:$D$11,MATCH($D477,Settings!$A$4:$A$11,0)))+INDEX(Settings!$C$4:$C$11,MATCH($D477,Settings!$A$4:$A$11,0))),0))</f>
        <v/>
      </c>
      <c r="I477" s="12"/>
      <c r="J477" s="12"/>
      <c r="K477" s="24" t="str">
        <f aca="false">IF($B477="","",IFERROR(INDEX(Inventory!$J$4:$J$503,MATCH($B477,Inventory!$A$4:$A$503,0)),0))</f>
        <v/>
      </c>
      <c r="L477" s="24" t="str">
        <f aca="false">IF(OR(B477="",E477=""),"",E477+N(F477)-N(G477)-N(H477)-N(J477)-N(K477))</f>
        <v/>
      </c>
      <c r="M477" s="28" t="str">
        <f aca="false">IF(OR(L477="",N(K477)=0),"",L477/K477)</f>
        <v/>
      </c>
      <c r="N477" s="25" t="str">
        <f aca="false">IF(OR(A477="",B477=""),"",IFERROR(A477-INDEX(Inventory!$B$4:$B$503,MATCH($B477,Inventory!$A$4:$A$503,0)),""))</f>
        <v/>
      </c>
      <c r="O477" s="27" t="str">
        <f aca="false">IF($B477="","",IFERROR(INDEX(Inventory!$F$4:$F$503,MATCH($B477,Inventory!$A$4:$A$503,0)),""))</f>
        <v/>
      </c>
      <c r="P477" s="27" t="str">
        <f aca="false">IF($B477="","",IFERROR(INDEX(Inventory!$C$4:$C$503,MATCH($B477,Inventory!$A$4:$A$503,0)),""))</f>
        <v/>
      </c>
    </row>
    <row r="478" customFormat="false" ht="15" hidden="false" customHeight="false" outlineLevel="0" collapsed="false">
      <c r="A478" s="19"/>
      <c r="B478" s="10"/>
      <c r="C478" s="23" t="str">
        <f aca="false">IF($B478="","",IFERROR(INDEX(Inventory!$E$4:$E$503,MATCH($B478,Inventory!$A$4:$A$503,0)),"SKU not found"))</f>
        <v/>
      </c>
      <c r="D478" s="10"/>
      <c r="E478" s="12"/>
      <c r="F478" s="12"/>
      <c r="G478" s="12"/>
      <c r="H478" s="24" t="str">
        <f aca="false">IF(OR(B478="",D478="",E478=""),"",IFERROR(IF(AND(D478="Poshmark",E478&lt;Settings!$B$20),Settings!$B$21,(E478+IF(INDEX(Settings!$E$4:$E$11,MATCH($D478,Settings!$A$4:$A$11,0))="Y",N(F478),0))*(INDEX(Settings!$B$4:$B$11,MATCH($D478,Settings!$A$4:$A$11,0))+INDEX(Settings!$D$4:$D$11,MATCH($D478,Settings!$A$4:$A$11,0)))+INDEX(Settings!$C$4:$C$11,MATCH($D478,Settings!$A$4:$A$11,0))),0))</f>
        <v/>
      </c>
      <c r="I478" s="12"/>
      <c r="J478" s="12"/>
      <c r="K478" s="24" t="str">
        <f aca="false">IF($B478="","",IFERROR(INDEX(Inventory!$J$4:$J$503,MATCH($B478,Inventory!$A$4:$A$503,0)),0))</f>
        <v/>
      </c>
      <c r="L478" s="24" t="str">
        <f aca="false">IF(OR(B478="",E478=""),"",E478+N(F478)-N(G478)-N(H478)-N(J478)-N(K478))</f>
        <v/>
      </c>
      <c r="M478" s="28" t="str">
        <f aca="false">IF(OR(L478="",N(K478)=0),"",L478/K478)</f>
        <v/>
      </c>
      <c r="N478" s="25" t="str">
        <f aca="false">IF(OR(A478="",B478=""),"",IFERROR(A478-INDEX(Inventory!$B$4:$B$503,MATCH($B478,Inventory!$A$4:$A$503,0)),""))</f>
        <v/>
      </c>
      <c r="O478" s="27" t="str">
        <f aca="false">IF($B478="","",IFERROR(INDEX(Inventory!$F$4:$F$503,MATCH($B478,Inventory!$A$4:$A$503,0)),""))</f>
        <v/>
      </c>
      <c r="P478" s="27" t="str">
        <f aca="false">IF($B478="","",IFERROR(INDEX(Inventory!$C$4:$C$503,MATCH($B478,Inventory!$A$4:$A$503,0)),""))</f>
        <v/>
      </c>
    </row>
    <row r="479" customFormat="false" ht="15" hidden="false" customHeight="false" outlineLevel="0" collapsed="false">
      <c r="A479" s="19"/>
      <c r="B479" s="10"/>
      <c r="C479" s="23" t="str">
        <f aca="false">IF($B479="","",IFERROR(INDEX(Inventory!$E$4:$E$503,MATCH($B479,Inventory!$A$4:$A$503,0)),"SKU not found"))</f>
        <v/>
      </c>
      <c r="D479" s="10"/>
      <c r="E479" s="12"/>
      <c r="F479" s="12"/>
      <c r="G479" s="12"/>
      <c r="H479" s="24" t="str">
        <f aca="false">IF(OR(B479="",D479="",E479=""),"",IFERROR(IF(AND(D479="Poshmark",E479&lt;Settings!$B$20),Settings!$B$21,(E479+IF(INDEX(Settings!$E$4:$E$11,MATCH($D479,Settings!$A$4:$A$11,0))="Y",N(F479),0))*(INDEX(Settings!$B$4:$B$11,MATCH($D479,Settings!$A$4:$A$11,0))+INDEX(Settings!$D$4:$D$11,MATCH($D479,Settings!$A$4:$A$11,0)))+INDEX(Settings!$C$4:$C$11,MATCH($D479,Settings!$A$4:$A$11,0))),0))</f>
        <v/>
      </c>
      <c r="I479" s="12"/>
      <c r="J479" s="12"/>
      <c r="K479" s="24" t="str">
        <f aca="false">IF($B479="","",IFERROR(INDEX(Inventory!$J$4:$J$503,MATCH($B479,Inventory!$A$4:$A$503,0)),0))</f>
        <v/>
      </c>
      <c r="L479" s="24" t="str">
        <f aca="false">IF(OR(B479="",E479=""),"",E479+N(F479)-N(G479)-N(H479)-N(J479)-N(K479))</f>
        <v/>
      </c>
      <c r="M479" s="28" t="str">
        <f aca="false">IF(OR(L479="",N(K479)=0),"",L479/K479)</f>
        <v/>
      </c>
      <c r="N479" s="25" t="str">
        <f aca="false">IF(OR(A479="",B479=""),"",IFERROR(A479-INDEX(Inventory!$B$4:$B$503,MATCH($B479,Inventory!$A$4:$A$503,0)),""))</f>
        <v/>
      </c>
      <c r="O479" s="27" t="str">
        <f aca="false">IF($B479="","",IFERROR(INDEX(Inventory!$F$4:$F$503,MATCH($B479,Inventory!$A$4:$A$503,0)),""))</f>
        <v/>
      </c>
      <c r="P479" s="27" t="str">
        <f aca="false">IF($B479="","",IFERROR(INDEX(Inventory!$C$4:$C$503,MATCH($B479,Inventory!$A$4:$A$503,0)),""))</f>
        <v/>
      </c>
    </row>
    <row r="480" customFormat="false" ht="15" hidden="false" customHeight="false" outlineLevel="0" collapsed="false">
      <c r="A480" s="19"/>
      <c r="B480" s="10"/>
      <c r="C480" s="23" t="str">
        <f aca="false">IF($B480="","",IFERROR(INDEX(Inventory!$E$4:$E$503,MATCH($B480,Inventory!$A$4:$A$503,0)),"SKU not found"))</f>
        <v/>
      </c>
      <c r="D480" s="10"/>
      <c r="E480" s="12"/>
      <c r="F480" s="12"/>
      <c r="G480" s="12"/>
      <c r="H480" s="24" t="str">
        <f aca="false">IF(OR(B480="",D480="",E480=""),"",IFERROR(IF(AND(D480="Poshmark",E480&lt;Settings!$B$20),Settings!$B$21,(E480+IF(INDEX(Settings!$E$4:$E$11,MATCH($D480,Settings!$A$4:$A$11,0))="Y",N(F480),0))*(INDEX(Settings!$B$4:$B$11,MATCH($D480,Settings!$A$4:$A$11,0))+INDEX(Settings!$D$4:$D$11,MATCH($D480,Settings!$A$4:$A$11,0)))+INDEX(Settings!$C$4:$C$11,MATCH($D480,Settings!$A$4:$A$11,0))),0))</f>
        <v/>
      </c>
      <c r="I480" s="12"/>
      <c r="J480" s="12"/>
      <c r="K480" s="24" t="str">
        <f aca="false">IF($B480="","",IFERROR(INDEX(Inventory!$J$4:$J$503,MATCH($B480,Inventory!$A$4:$A$503,0)),0))</f>
        <v/>
      </c>
      <c r="L480" s="24" t="str">
        <f aca="false">IF(OR(B480="",E480=""),"",E480+N(F480)-N(G480)-N(H480)-N(J480)-N(K480))</f>
        <v/>
      </c>
      <c r="M480" s="28" t="str">
        <f aca="false">IF(OR(L480="",N(K480)=0),"",L480/K480)</f>
        <v/>
      </c>
      <c r="N480" s="25" t="str">
        <f aca="false">IF(OR(A480="",B480=""),"",IFERROR(A480-INDEX(Inventory!$B$4:$B$503,MATCH($B480,Inventory!$A$4:$A$503,0)),""))</f>
        <v/>
      </c>
      <c r="O480" s="27" t="str">
        <f aca="false">IF($B480="","",IFERROR(INDEX(Inventory!$F$4:$F$503,MATCH($B480,Inventory!$A$4:$A$503,0)),""))</f>
        <v/>
      </c>
      <c r="P480" s="27" t="str">
        <f aca="false">IF($B480="","",IFERROR(INDEX(Inventory!$C$4:$C$503,MATCH($B480,Inventory!$A$4:$A$503,0)),""))</f>
        <v/>
      </c>
    </row>
    <row r="481" customFormat="false" ht="15" hidden="false" customHeight="false" outlineLevel="0" collapsed="false">
      <c r="A481" s="19"/>
      <c r="B481" s="10"/>
      <c r="C481" s="23" t="str">
        <f aca="false">IF($B481="","",IFERROR(INDEX(Inventory!$E$4:$E$503,MATCH($B481,Inventory!$A$4:$A$503,0)),"SKU not found"))</f>
        <v/>
      </c>
      <c r="D481" s="10"/>
      <c r="E481" s="12"/>
      <c r="F481" s="12"/>
      <c r="G481" s="12"/>
      <c r="H481" s="24" t="str">
        <f aca="false">IF(OR(B481="",D481="",E481=""),"",IFERROR(IF(AND(D481="Poshmark",E481&lt;Settings!$B$20),Settings!$B$21,(E481+IF(INDEX(Settings!$E$4:$E$11,MATCH($D481,Settings!$A$4:$A$11,0))="Y",N(F481),0))*(INDEX(Settings!$B$4:$B$11,MATCH($D481,Settings!$A$4:$A$11,0))+INDEX(Settings!$D$4:$D$11,MATCH($D481,Settings!$A$4:$A$11,0)))+INDEX(Settings!$C$4:$C$11,MATCH($D481,Settings!$A$4:$A$11,0))),0))</f>
        <v/>
      </c>
      <c r="I481" s="12"/>
      <c r="J481" s="12"/>
      <c r="K481" s="24" t="str">
        <f aca="false">IF($B481="","",IFERROR(INDEX(Inventory!$J$4:$J$503,MATCH($B481,Inventory!$A$4:$A$503,0)),0))</f>
        <v/>
      </c>
      <c r="L481" s="24" t="str">
        <f aca="false">IF(OR(B481="",E481=""),"",E481+N(F481)-N(G481)-N(H481)-N(J481)-N(K481))</f>
        <v/>
      </c>
      <c r="M481" s="28" t="str">
        <f aca="false">IF(OR(L481="",N(K481)=0),"",L481/K481)</f>
        <v/>
      </c>
      <c r="N481" s="25" t="str">
        <f aca="false">IF(OR(A481="",B481=""),"",IFERROR(A481-INDEX(Inventory!$B$4:$B$503,MATCH($B481,Inventory!$A$4:$A$503,0)),""))</f>
        <v/>
      </c>
      <c r="O481" s="27" t="str">
        <f aca="false">IF($B481="","",IFERROR(INDEX(Inventory!$F$4:$F$503,MATCH($B481,Inventory!$A$4:$A$503,0)),""))</f>
        <v/>
      </c>
      <c r="P481" s="27" t="str">
        <f aca="false">IF($B481="","",IFERROR(INDEX(Inventory!$C$4:$C$503,MATCH($B481,Inventory!$A$4:$A$503,0)),""))</f>
        <v/>
      </c>
    </row>
    <row r="482" customFormat="false" ht="15" hidden="false" customHeight="false" outlineLevel="0" collapsed="false">
      <c r="A482" s="19"/>
      <c r="B482" s="10"/>
      <c r="C482" s="23" t="str">
        <f aca="false">IF($B482="","",IFERROR(INDEX(Inventory!$E$4:$E$503,MATCH($B482,Inventory!$A$4:$A$503,0)),"SKU not found"))</f>
        <v/>
      </c>
      <c r="D482" s="10"/>
      <c r="E482" s="12"/>
      <c r="F482" s="12"/>
      <c r="G482" s="12"/>
      <c r="H482" s="24" t="str">
        <f aca="false">IF(OR(B482="",D482="",E482=""),"",IFERROR(IF(AND(D482="Poshmark",E482&lt;Settings!$B$20),Settings!$B$21,(E482+IF(INDEX(Settings!$E$4:$E$11,MATCH($D482,Settings!$A$4:$A$11,0))="Y",N(F482),0))*(INDEX(Settings!$B$4:$B$11,MATCH($D482,Settings!$A$4:$A$11,0))+INDEX(Settings!$D$4:$D$11,MATCH($D482,Settings!$A$4:$A$11,0)))+INDEX(Settings!$C$4:$C$11,MATCH($D482,Settings!$A$4:$A$11,0))),0))</f>
        <v/>
      </c>
      <c r="I482" s="12"/>
      <c r="J482" s="12"/>
      <c r="K482" s="24" t="str">
        <f aca="false">IF($B482="","",IFERROR(INDEX(Inventory!$J$4:$J$503,MATCH($B482,Inventory!$A$4:$A$503,0)),0))</f>
        <v/>
      </c>
      <c r="L482" s="24" t="str">
        <f aca="false">IF(OR(B482="",E482=""),"",E482+N(F482)-N(G482)-N(H482)-N(J482)-N(K482))</f>
        <v/>
      </c>
      <c r="M482" s="28" t="str">
        <f aca="false">IF(OR(L482="",N(K482)=0),"",L482/K482)</f>
        <v/>
      </c>
      <c r="N482" s="25" t="str">
        <f aca="false">IF(OR(A482="",B482=""),"",IFERROR(A482-INDEX(Inventory!$B$4:$B$503,MATCH($B482,Inventory!$A$4:$A$503,0)),""))</f>
        <v/>
      </c>
      <c r="O482" s="27" t="str">
        <f aca="false">IF($B482="","",IFERROR(INDEX(Inventory!$F$4:$F$503,MATCH($B482,Inventory!$A$4:$A$503,0)),""))</f>
        <v/>
      </c>
      <c r="P482" s="27" t="str">
        <f aca="false">IF($B482="","",IFERROR(INDEX(Inventory!$C$4:$C$503,MATCH($B482,Inventory!$A$4:$A$503,0)),""))</f>
        <v/>
      </c>
    </row>
    <row r="483" customFormat="false" ht="15" hidden="false" customHeight="false" outlineLevel="0" collapsed="false">
      <c r="A483" s="19"/>
      <c r="B483" s="10"/>
      <c r="C483" s="23" t="str">
        <f aca="false">IF($B483="","",IFERROR(INDEX(Inventory!$E$4:$E$503,MATCH($B483,Inventory!$A$4:$A$503,0)),"SKU not found"))</f>
        <v/>
      </c>
      <c r="D483" s="10"/>
      <c r="E483" s="12"/>
      <c r="F483" s="12"/>
      <c r="G483" s="12"/>
      <c r="H483" s="24" t="str">
        <f aca="false">IF(OR(B483="",D483="",E483=""),"",IFERROR(IF(AND(D483="Poshmark",E483&lt;Settings!$B$20),Settings!$B$21,(E483+IF(INDEX(Settings!$E$4:$E$11,MATCH($D483,Settings!$A$4:$A$11,0))="Y",N(F483),0))*(INDEX(Settings!$B$4:$B$11,MATCH($D483,Settings!$A$4:$A$11,0))+INDEX(Settings!$D$4:$D$11,MATCH($D483,Settings!$A$4:$A$11,0)))+INDEX(Settings!$C$4:$C$11,MATCH($D483,Settings!$A$4:$A$11,0))),0))</f>
        <v/>
      </c>
      <c r="I483" s="12"/>
      <c r="J483" s="12"/>
      <c r="K483" s="24" t="str">
        <f aca="false">IF($B483="","",IFERROR(INDEX(Inventory!$J$4:$J$503,MATCH($B483,Inventory!$A$4:$A$503,0)),0))</f>
        <v/>
      </c>
      <c r="L483" s="24" t="str">
        <f aca="false">IF(OR(B483="",E483=""),"",E483+N(F483)-N(G483)-N(H483)-N(J483)-N(K483))</f>
        <v/>
      </c>
      <c r="M483" s="28" t="str">
        <f aca="false">IF(OR(L483="",N(K483)=0),"",L483/K483)</f>
        <v/>
      </c>
      <c r="N483" s="25" t="str">
        <f aca="false">IF(OR(A483="",B483=""),"",IFERROR(A483-INDEX(Inventory!$B$4:$B$503,MATCH($B483,Inventory!$A$4:$A$503,0)),""))</f>
        <v/>
      </c>
      <c r="O483" s="27" t="str">
        <f aca="false">IF($B483="","",IFERROR(INDEX(Inventory!$F$4:$F$503,MATCH($B483,Inventory!$A$4:$A$503,0)),""))</f>
        <v/>
      </c>
      <c r="P483" s="27" t="str">
        <f aca="false">IF($B483="","",IFERROR(INDEX(Inventory!$C$4:$C$503,MATCH($B483,Inventory!$A$4:$A$503,0)),""))</f>
        <v/>
      </c>
    </row>
    <row r="484" customFormat="false" ht="15" hidden="false" customHeight="false" outlineLevel="0" collapsed="false">
      <c r="A484" s="19"/>
      <c r="B484" s="10"/>
      <c r="C484" s="23" t="str">
        <f aca="false">IF($B484="","",IFERROR(INDEX(Inventory!$E$4:$E$503,MATCH($B484,Inventory!$A$4:$A$503,0)),"SKU not found"))</f>
        <v/>
      </c>
      <c r="D484" s="10"/>
      <c r="E484" s="12"/>
      <c r="F484" s="12"/>
      <c r="G484" s="12"/>
      <c r="H484" s="24" t="str">
        <f aca="false">IF(OR(B484="",D484="",E484=""),"",IFERROR(IF(AND(D484="Poshmark",E484&lt;Settings!$B$20),Settings!$B$21,(E484+IF(INDEX(Settings!$E$4:$E$11,MATCH($D484,Settings!$A$4:$A$11,0))="Y",N(F484),0))*(INDEX(Settings!$B$4:$B$11,MATCH($D484,Settings!$A$4:$A$11,0))+INDEX(Settings!$D$4:$D$11,MATCH($D484,Settings!$A$4:$A$11,0)))+INDEX(Settings!$C$4:$C$11,MATCH($D484,Settings!$A$4:$A$11,0))),0))</f>
        <v/>
      </c>
      <c r="I484" s="12"/>
      <c r="J484" s="12"/>
      <c r="K484" s="24" t="str">
        <f aca="false">IF($B484="","",IFERROR(INDEX(Inventory!$J$4:$J$503,MATCH($B484,Inventory!$A$4:$A$503,0)),0))</f>
        <v/>
      </c>
      <c r="L484" s="24" t="str">
        <f aca="false">IF(OR(B484="",E484=""),"",E484+N(F484)-N(G484)-N(H484)-N(J484)-N(K484))</f>
        <v/>
      </c>
      <c r="M484" s="28" t="str">
        <f aca="false">IF(OR(L484="",N(K484)=0),"",L484/K484)</f>
        <v/>
      </c>
      <c r="N484" s="25" t="str">
        <f aca="false">IF(OR(A484="",B484=""),"",IFERROR(A484-INDEX(Inventory!$B$4:$B$503,MATCH($B484,Inventory!$A$4:$A$503,0)),""))</f>
        <v/>
      </c>
      <c r="O484" s="27" t="str">
        <f aca="false">IF($B484="","",IFERROR(INDEX(Inventory!$F$4:$F$503,MATCH($B484,Inventory!$A$4:$A$503,0)),""))</f>
        <v/>
      </c>
      <c r="P484" s="27" t="str">
        <f aca="false">IF($B484="","",IFERROR(INDEX(Inventory!$C$4:$C$503,MATCH($B484,Inventory!$A$4:$A$503,0)),""))</f>
        <v/>
      </c>
    </row>
    <row r="485" customFormat="false" ht="15" hidden="false" customHeight="false" outlineLevel="0" collapsed="false">
      <c r="A485" s="19"/>
      <c r="B485" s="10"/>
      <c r="C485" s="23" t="str">
        <f aca="false">IF($B485="","",IFERROR(INDEX(Inventory!$E$4:$E$503,MATCH($B485,Inventory!$A$4:$A$503,0)),"SKU not found"))</f>
        <v/>
      </c>
      <c r="D485" s="10"/>
      <c r="E485" s="12"/>
      <c r="F485" s="12"/>
      <c r="G485" s="12"/>
      <c r="H485" s="24" t="str">
        <f aca="false">IF(OR(B485="",D485="",E485=""),"",IFERROR(IF(AND(D485="Poshmark",E485&lt;Settings!$B$20),Settings!$B$21,(E485+IF(INDEX(Settings!$E$4:$E$11,MATCH($D485,Settings!$A$4:$A$11,0))="Y",N(F485),0))*(INDEX(Settings!$B$4:$B$11,MATCH($D485,Settings!$A$4:$A$11,0))+INDEX(Settings!$D$4:$D$11,MATCH($D485,Settings!$A$4:$A$11,0)))+INDEX(Settings!$C$4:$C$11,MATCH($D485,Settings!$A$4:$A$11,0))),0))</f>
        <v/>
      </c>
      <c r="I485" s="12"/>
      <c r="J485" s="12"/>
      <c r="K485" s="24" t="str">
        <f aca="false">IF($B485="","",IFERROR(INDEX(Inventory!$J$4:$J$503,MATCH($B485,Inventory!$A$4:$A$503,0)),0))</f>
        <v/>
      </c>
      <c r="L485" s="24" t="str">
        <f aca="false">IF(OR(B485="",E485=""),"",E485+N(F485)-N(G485)-N(H485)-N(J485)-N(K485))</f>
        <v/>
      </c>
      <c r="M485" s="28" t="str">
        <f aca="false">IF(OR(L485="",N(K485)=0),"",L485/K485)</f>
        <v/>
      </c>
      <c r="N485" s="25" t="str">
        <f aca="false">IF(OR(A485="",B485=""),"",IFERROR(A485-INDEX(Inventory!$B$4:$B$503,MATCH($B485,Inventory!$A$4:$A$503,0)),""))</f>
        <v/>
      </c>
      <c r="O485" s="27" t="str">
        <f aca="false">IF($B485="","",IFERROR(INDEX(Inventory!$F$4:$F$503,MATCH($B485,Inventory!$A$4:$A$503,0)),""))</f>
        <v/>
      </c>
      <c r="P485" s="27" t="str">
        <f aca="false">IF($B485="","",IFERROR(INDEX(Inventory!$C$4:$C$503,MATCH($B485,Inventory!$A$4:$A$503,0)),""))</f>
        <v/>
      </c>
    </row>
    <row r="486" customFormat="false" ht="15" hidden="false" customHeight="false" outlineLevel="0" collapsed="false">
      <c r="A486" s="19"/>
      <c r="B486" s="10"/>
      <c r="C486" s="23" t="str">
        <f aca="false">IF($B486="","",IFERROR(INDEX(Inventory!$E$4:$E$503,MATCH($B486,Inventory!$A$4:$A$503,0)),"SKU not found"))</f>
        <v/>
      </c>
      <c r="D486" s="10"/>
      <c r="E486" s="12"/>
      <c r="F486" s="12"/>
      <c r="G486" s="12"/>
      <c r="H486" s="24" t="str">
        <f aca="false">IF(OR(B486="",D486="",E486=""),"",IFERROR(IF(AND(D486="Poshmark",E486&lt;Settings!$B$20),Settings!$B$21,(E486+IF(INDEX(Settings!$E$4:$E$11,MATCH($D486,Settings!$A$4:$A$11,0))="Y",N(F486),0))*(INDEX(Settings!$B$4:$B$11,MATCH($D486,Settings!$A$4:$A$11,0))+INDEX(Settings!$D$4:$D$11,MATCH($D486,Settings!$A$4:$A$11,0)))+INDEX(Settings!$C$4:$C$11,MATCH($D486,Settings!$A$4:$A$11,0))),0))</f>
        <v/>
      </c>
      <c r="I486" s="12"/>
      <c r="J486" s="12"/>
      <c r="K486" s="24" t="str">
        <f aca="false">IF($B486="","",IFERROR(INDEX(Inventory!$J$4:$J$503,MATCH($B486,Inventory!$A$4:$A$503,0)),0))</f>
        <v/>
      </c>
      <c r="L486" s="24" t="str">
        <f aca="false">IF(OR(B486="",E486=""),"",E486+N(F486)-N(G486)-N(H486)-N(J486)-N(K486))</f>
        <v/>
      </c>
      <c r="M486" s="28" t="str">
        <f aca="false">IF(OR(L486="",N(K486)=0),"",L486/K486)</f>
        <v/>
      </c>
      <c r="N486" s="25" t="str">
        <f aca="false">IF(OR(A486="",B486=""),"",IFERROR(A486-INDEX(Inventory!$B$4:$B$503,MATCH($B486,Inventory!$A$4:$A$503,0)),""))</f>
        <v/>
      </c>
      <c r="O486" s="27" t="str">
        <f aca="false">IF($B486="","",IFERROR(INDEX(Inventory!$F$4:$F$503,MATCH($B486,Inventory!$A$4:$A$503,0)),""))</f>
        <v/>
      </c>
      <c r="P486" s="27" t="str">
        <f aca="false">IF($B486="","",IFERROR(INDEX(Inventory!$C$4:$C$503,MATCH($B486,Inventory!$A$4:$A$503,0)),""))</f>
        <v/>
      </c>
    </row>
    <row r="487" customFormat="false" ht="15" hidden="false" customHeight="false" outlineLevel="0" collapsed="false">
      <c r="A487" s="19"/>
      <c r="B487" s="10"/>
      <c r="C487" s="23" t="str">
        <f aca="false">IF($B487="","",IFERROR(INDEX(Inventory!$E$4:$E$503,MATCH($B487,Inventory!$A$4:$A$503,0)),"SKU not found"))</f>
        <v/>
      </c>
      <c r="D487" s="10"/>
      <c r="E487" s="12"/>
      <c r="F487" s="12"/>
      <c r="G487" s="12"/>
      <c r="H487" s="24" t="str">
        <f aca="false">IF(OR(B487="",D487="",E487=""),"",IFERROR(IF(AND(D487="Poshmark",E487&lt;Settings!$B$20),Settings!$B$21,(E487+IF(INDEX(Settings!$E$4:$E$11,MATCH($D487,Settings!$A$4:$A$11,0))="Y",N(F487),0))*(INDEX(Settings!$B$4:$B$11,MATCH($D487,Settings!$A$4:$A$11,0))+INDEX(Settings!$D$4:$D$11,MATCH($D487,Settings!$A$4:$A$11,0)))+INDEX(Settings!$C$4:$C$11,MATCH($D487,Settings!$A$4:$A$11,0))),0))</f>
        <v/>
      </c>
      <c r="I487" s="12"/>
      <c r="J487" s="12"/>
      <c r="K487" s="24" t="str">
        <f aca="false">IF($B487="","",IFERROR(INDEX(Inventory!$J$4:$J$503,MATCH($B487,Inventory!$A$4:$A$503,0)),0))</f>
        <v/>
      </c>
      <c r="L487" s="24" t="str">
        <f aca="false">IF(OR(B487="",E487=""),"",E487+N(F487)-N(G487)-N(H487)-N(J487)-N(K487))</f>
        <v/>
      </c>
      <c r="M487" s="28" t="str">
        <f aca="false">IF(OR(L487="",N(K487)=0),"",L487/K487)</f>
        <v/>
      </c>
      <c r="N487" s="25" t="str">
        <f aca="false">IF(OR(A487="",B487=""),"",IFERROR(A487-INDEX(Inventory!$B$4:$B$503,MATCH($B487,Inventory!$A$4:$A$503,0)),""))</f>
        <v/>
      </c>
      <c r="O487" s="27" t="str">
        <f aca="false">IF($B487="","",IFERROR(INDEX(Inventory!$F$4:$F$503,MATCH($B487,Inventory!$A$4:$A$503,0)),""))</f>
        <v/>
      </c>
      <c r="P487" s="27" t="str">
        <f aca="false">IF($B487="","",IFERROR(INDEX(Inventory!$C$4:$C$503,MATCH($B487,Inventory!$A$4:$A$503,0)),""))</f>
        <v/>
      </c>
    </row>
    <row r="488" customFormat="false" ht="15" hidden="false" customHeight="false" outlineLevel="0" collapsed="false">
      <c r="A488" s="19"/>
      <c r="B488" s="10"/>
      <c r="C488" s="23" t="str">
        <f aca="false">IF($B488="","",IFERROR(INDEX(Inventory!$E$4:$E$503,MATCH($B488,Inventory!$A$4:$A$503,0)),"SKU not found"))</f>
        <v/>
      </c>
      <c r="D488" s="10"/>
      <c r="E488" s="12"/>
      <c r="F488" s="12"/>
      <c r="G488" s="12"/>
      <c r="H488" s="24" t="str">
        <f aca="false">IF(OR(B488="",D488="",E488=""),"",IFERROR(IF(AND(D488="Poshmark",E488&lt;Settings!$B$20),Settings!$B$21,(E488+IF(INDEX(Settings!$E$4:$E$11,MATCH($D488,Settings!$A$4:$A$11,0))="Y",N(F488),0))*(INDEX(Settings!$B$4:$B$11,MATCH($D488,Settings!$A$4:$A$11,0))+INDEX(Settings!$D$4:$D$11,MATCH($D488,Settings!$A$4:$A$11,0)))+INDEX(Settings!$C$4:$C$11,MATCH($D488,Settings!$A$4:$A$11,0))),0))</f>
        <v/>
      </c>
      <c r="I488" s="12"/>
      <c r="J488" s="12"/>
      <c r="K488" s="24" t="str">
        <f aca="false">IF($B488="","",IFERROR(INDEX(Inventory!$J$4:$J$503,MATCH($B488,Inventory!$A$4:$A$503,0)),0))</f>
        <v/>
      </c>
      <c r="L488" s="24" t="str">
        <f aca="false">IF(OR(B488="",E488=""),"",E488+N(F488)-N(G488)-N(H488)-N(J488)-N(K488))</f>
        <v/>
      </c>
      <c r="M488" s="28" t="str">
        <f aca="false">IF(OR(L488="",N(K488)=0),"",L488/K488)</f>
        <v/>
      </c>
      <c r="N488" s="25" t="str">
        <f aca="false">IF(OR(A488="",B488=""),"",IFERROR(A488-INDEX(Inventory!$B$4:$B$503,MATCH($B488,Inventory!$A$4:$A$503,0)),""))</f>
        <v/>
      </c>
      <c r="O488" s="27" t="str">
        <f aca="false">IF($B488="","",IFERROR(INDEX(Inventory!$F$4:$F$503,MATCH($B488,Inventory!$A$4:$A$503,0)),""))</f>
        <v/>
      </c>
      <c r="P488" s="27" t="str">
        <f aca="false">IF($B488="","",IFERROR(INDEX(Inventory!$C$4:$C$503,MATCH($B488,Inventory!$A$4:$A$503,0)),""))</f>
        <v/>
      </c>
    </row>
    <row r="489" customFormat="false" ht="15" hidden="false" customHeight="false" outlineLevel="0" collapsed="false">
      <c r="A489" s="19"/>
      <c r="B489" s="10"/>
      <c r="C489" s="23" t="str">
        <f aca="false">IF($B489="","",IFERROR(INDEX(Inventory!$E$4:$E$503,MATCH($B489,Inventory!$A$4:$A$503,0)),"SKU not found"))</f>
        <v/>
      </c>
      <c r="D489" s="10"/>
      <c r="E489" s="12"/>
      <c r="F489" s="12"/>
      <c r="G489" s="12"/>
      <c r="H489" s="24" t="str">
        <f aca="false">IF(OR(B489="",D489="",E489=""),"",IFERROR(IF(AND(D489="Poshmark",E489&lt;Settings!$B$20),Settings!$B$21,(E489+IF(INDEX(Settings!$E$4:$E$11,MATCH($D489,Settings!$A$4:$A$11,0))="Y",N(F489),0))*(INDEX(Settings!$B$4:$B$11,MATCH($D489,Settings!$A$4:$A$11,0))+INDEX(Settings!$D$4:$D$11,MATCH($D489,Settings!$A$4:$A$11,0)))+INDEX(Settings!$C$4:$C$11,MATCH($D489,Settings!$A$4:$A$11,0))),0))</f>
        <v/>
      </c>
      <c r="I489" s="12"/>
      <c r="J489" s="12"/>
      <c r="K489" s="24" t="str">
        <f aca="false">IF($B489="","",IFERROR(INDEX(Inventory!$J$4:$J$503,MATCH($B489,Inventory!$A$4:$A$503,0)),0))</f>
        <v/>
      </c>
      <c r="L489" s="24" t="str">
        <f aca="false">IF(OR(B489="",E489=""),"",E489+N(F489)-N(G489)-N(H489)-N(J489)-N(K489))</f>
        <v/>
      </c>
      <c r="M489" s="28" t="str">
        <f aca="false">IF(OR(L489="",N(K489)=0),"",L489/K489)</f>
        <v/>
      </c>
      <c r="N489" s="25" t="str">
        <f aca="false">IF(OR(A489="",B489=""),"",IFERROR(A489-INDEX(Inventory!$B$4:$B$503,MATCH($B489,Inventory!$A$4:$A$503,0)),""))</f>
        <v/>
      </c>
      <c r="O489" s="27" t="str">
        <f aca="false">IF($B489="","",IFERROR(INDEX(Inventory!$F$4:$F$503,MATCH($B489,Inventory!$A$4:$A$503,0)),""))</f>
        <v/>
      </c>
      <c r="P489" s="27" t="str">
        <f aca="false">IF($B489="","",IFERROR(INDEX(Inventory!$C$4:$C$503,MATCH($B489,Inventory!$A$4:$A$503,0)),""))</f>
        <v/>
      </c>
    </row>
    <row r="490" customFormat="false" ht="15" hidden="false" customHeight="false" outlineLevel="0" collapsed="false">
      <c r="A490" s="19"/>
      <c r="B490" s="10"/>
      <c r="C490" s="23" t="str">
        <f aca="false">IF($B490="","",IFERROR(INDEX(Inventory!$E$4:$E$503,MATCH($B490,Inventory!$A$4:$A$503,0)),"SKU not found"))</f>
        <v/>
      </c>
      <c r="D490" s="10"/>
      <c r="E490" s="12"/>
      <c r="F490" s="12"/>
      <c r="G490" s="12"/>
      <c r="H490" s="24" t="str">
        <f aca="false">IF(OR(B490="",D490="",E490=""),"",IFERROR(IF(AND(D490="Poshmark",E490&lt;Settings!$B$20),Settings!$B$21,(E490+IF(INDEX(Settings!$E$4:$E$11,MATCH($D490,Settings!$A$4:$A$11,0))="Y",N(F490),0))*(INDEX(Settings!$B$4:$B$11,MATCH($D490,Settings!$A$4:$A$11,0))+INDEX(Settings!$D$4:$D$11,MATCH($D490,Settings!$A$4:$A$11,0)))+INDEX(Settings!$C$4:$C$11,MATCH($D490,Settings!$A$4:$A$11,0))),0))</f>
        <v/>
      </c>
      <c r="I490" s="12"/>
      <c r="J490" s="12"/>
      <c r="K490" s="24" t="str">
        <f aca="false">IF($B490="","",IFERROR(INDEX(Inventory!$J$4:$J$503,MATCH($B490,Inventory!$A$4:$A$503,0)),0))</f>
        <v/>
      </c>
      <c r="L490" s="24" t="str">
        <f aca="false">IF(OR(B490="",E490=""),"",E490+N(F490)-N(G490)-N(H490)-N(J490)-N(K490))</f>
        <v/>
      </c>
      <c r="M490" s="28" t="str">
        <f aca="false">IF(OR(L490="",N(K490)=0),"",L490/K490)</f>
        <v/>
      </c>
      <c r="N490" s="25" t="str">
        <f aca="false">IF(OR(A490="",B490=""),"",IFERROR(A490-INDEX(Inventory!$B$4:$B$503,MATCH($B490,Inventory!$A$4:$A$503,0)),""))</f>
        <v/>
      </c>
      <c r="O490" s="27" t="str">
        <f aca="false">IF($B490="","",IFERROR(INDEX(Inventory!$F$4:$F$503,MATCH($B490,Inventory!$A$4:$A$503,0)),""))</f>
        <v/>
      </c>
      <c r="P490" s="27" t="str">
        <f aca="false">IF($B490="","",IFERROR(INDEX(Inventory!$C$4:$C$503,MATCH($B490,Inventory!$A$4:$A$503,0)),""))</f>
        <v/>
      </c>
    </row>
    <row r="491" customFormat="false" ht="15" hidden="false" customHeight="false" outlineLevel="0" collapsed="false">
      <c r="A491" s="19"/>
      <c r="B491" s="10"/>
      <c r="C491" s="23" t="str">
        <f aca="false">IF($B491="","",IFERROR(INDEX(Inventory!$E$4:$E$503,MATCH($B491,Inventory!$A$4:$A$503,0)),"SKU not found"))</f>
        <v/>
      </c>
      <c r="D491" s="10"/>
      <c r="E491" s="12"/>
      <c r="F491" s="12"/>
      <c r="G491" s="12"/>
      <c r="H491" s="24" t="str">
        <f aca="false">IF(OR(B491="",D491="",E491=""),"",IFERROR(IF(AND(D491="Poshmark",E491&lt;Settings!$B$20),Settings!$B$21,(E491+IF(INDEX(Settings!$E$4:$E$11,MATCH($D491,Settings!$A$4:$A$11,0))="Y",N(F491),0))*(INDEX(Settings!$B$4:$B$11,MATCH($D491,Settings!$A$4:$A$11,0))+INDEX(Settings!$D$4:$D$11,MATCH($D491,Settings!$A$4:$A$11,0)))+INDEX(Settings!$C$4:$C$11,MATCH($D491,Settings!$A$4:$A$11,0))),0))</f>
        <v/>
      </c>
      <c r="I491" s="12"/>
      <c r="J491" s="12"/>
      <c r="K491" s="24" t="str">
        <f aca="false">IF($B491="","",IFERROR(INDEX(Inventory!$J$4:$J$503,MATCH($B491,Inventory!$A$4:$A$503,0)),0))</f>
        <v/>
      </c>
      <c r="L491" s="24" t="str">
        <f aca="false">IF(OR(B491="",E491=""),"",E491+N(F491)-N(G491)-N(H491)-N(J491)-N(K491))</f>
        <v/>
      </c>
      <c r="M491" s="28" t="str">
        <f aca="false">IF(OR(L491="",N(K491)=0),"",L491/K491)</f>
        <v/>
      </c>
      <c r="N491" s="25" t="str">
        <f aca="false">IF(OR(A491="",B491=""),"",IFERROR(A491-INDEX(Inventory!$B$4:$B$503,MATCH($B491,Inventory!$A$4:$A$503,0)),""))</f>
        <v/>
      </c>
      <c r="O491" s="27" t="str">
        <f aca="false">IF($B491="","",IFERROR(INDEX(Inventory!$F$4:$F$503,MATCH($B491,Inventory!$A$4:$A$503,0)),""))</f>
        <v/>
      </c>
      <c r="P491" s="27" t="str">
        <f aca="false">IF($B491="","",IFERROR(INDEX(Inventory!$C$4:$C$503,MATCH($B491,Inventory!$A$4:$A$503,0)),""))</f>
        <v/>
      </c>
    </row>
    <row r="492" customFormat="false" ht="15" hidden="false" customHeight="false" outlineLevel="0" collapsed="false">
      <c r="A492" s="19"/>
      <c r="B492" s="10"/>
      <c r="C492" s="23" t="str">
        <f aca="false">IF($B492="","",IFERROR(INDEX(Inventory!$E$4:$E$503,MATCH($B492,Inventory!$A$4:$A$503,0)),"SKU not found"))</f>
        <v/>
      </c>
      <c r="D492" s="10"/>
      <c r="E492" s="12"/>
      <c r="F492" s="12"/>
      <c r="G492" s="12"/>
      <c r="H492" s="24" t="str">
        <f aca="false">IF(OR(B492="",D492="",E492=""),"",IFERROR(IF(AND(D492="Poshmark",E492&lt;Settings!$B$20),Settings!$B$21,(E492+IF(INDEX(Settings!$E$4:$E$11,MATCH($D492,Settings!$A$4:$A$11,0))="Y",N(F492),0))*(INDEX(Settings!$B$4:$B$11,MATCH($D492,Settings!$A$4:$A$11,0))+INDEX(Settings!$D$4:$D$11,MATCH($D492,Settings!$A$4:$A$11,0)))+INDEX(Settings!$C$4:$C$11,MATCH($D492,Settings!$A$4:$A$11,0))),0))</f>
        <v/>
      </c>
      <c r="I492" s="12"/>
      <c r="J492" s="12"/>
      <c r="K492" s="24" t="str">
        <f aca="false">IF($B492="","",IFERROR(INDEX(Inventory!$J$4:$J$503,MATCH($B492,Inventory!$A$4:$A$503,0)),0))</f>
        <v/>
      </c>
      <c r="L492" s="24" t="str">
        <f aca="false">IF(OR(B492="",E492=""),"",E492+N(F492)-N(G492)-N(H492)-N(J492)-N(K492))</f>
        <v/>
      </c>
      <c r="M492" s="28" t="str">
        <f aca="false">IF(OR(L492="",N(K492)=0),"",L492/K492)</f>
        <v/>
      </c>
      <c r="N492" s="25" t="str">
        <f aca="false">IF(OR(A492="",B492=""),"",IFERROR(A492-INDEX(Inventory!$B$4:$B$503,MATCH($B492,Inventory!$A$4:$A$503,0)),""))</f>
        <v/>
      </c>
      <c r="O492" s="27" t="str">
        <f aca="false">IF($B492="","",IFERROR(INDEX(Inventory!$F$4:$F$503,MATCH($B492,Inventory!$A$4:$A$503,0)),""))</f>
        <v/>
      </c>
      <c r="P492" s="27" t="str">
        <f aca="false">IF($B492="","",IFERROR(INDEX(Inventory!$C$4:$C$503,MATCH($B492,Inventory!$A$4:$A$503,0)),""))</f>
        <v/>
      </c>
    </row>
    <row r="493" customFormat="false" ht="15" hidden="false" customHeight="false" outlineLevel="0" collapsed="false">
      <c r="A493" s="19"/>
      <c r="B493" s="10"/>
      <c r="C493" s="23" t="str">
        <f aca="false">IF($B493="","",IFERROR(INDEX(Inventory!$E$4:$E$503,MATCH($B493,Inventory!$A$4:$A$503,0)),"SKU not found"))</f>
        <v/>
      </c>
      <c r="D493" s="10"/>
      <c r="E493" s="12"/>
      <c r="F493" s="12"/>
      <c r="G493" s="12"/>
      <c r="H493" s="24" t="str">
        <f aca="false">IF(OR(B493="",D493="",E493=""),"",IFERROR(IF(AND(D493="Poshmark",E493&lt;Settings!$B$20),Settings!$B$21,(E493+IF(INDEX(Settings!$E$4:$E$11,MATCH($D493,Settings!$A$4:$A$11,0))="Y",N(F493),0))*(INDEX(Settings!$B$4:$B$11,MATCH($D493,Settings!$A$4:$A$11,0))+INDEX(Settings!$D$4:$D$11,MATCH($D493,Settings!$A$4:$A$11,0)))+INDEX(Settings!$C$4:$C$11,MATCH($D493,Settings!$A$4:$A$11,0))),0))</f>
        <v/>
      </c>
      <c r="I493" s="12"/>
      <c r="J493" s="12"/>
      <c r="K493" s="24" t="str">
        <f aca="false">IF($B493="","",IFERROR(INDEX(Inventory!$J$4:$J$503,MATCH($B493,Inventory!$A$4:$A$503,0)),0))</f>
        <v/>
      </c>
      <c r="L493" s="24" t="str">
        <f aca="false">IF(OR(B493="",E493=""),"",E493+N(F493)-N(G493)-N(H493)-N(J493)-N(K493))</f>
        <v/>
      </c>
      <c r="M493" s="28" t="str">
        <f aca="false">IF(OR(L493="",N(K493)=0),"",L493/K493)</f>
        <v/>
      </c>
      <c r="N493" s="25" t="str">
        <f aca="false">IF(OR(A493="",B493=""),"",IFERROR(A493-INDEX(Inventory!$B$4:$B$503,MATCH($B493,Inventory!$A$4:$A$503,0)),""))</f>
        <v/>
      </c>
      <c r="O493" s="27" t="str">
        <f aca="false">IF($B493="","",IFERROR(INDEX(Inventory!$F$4:$F$503,MATCH($B493,Inventory!$A$4:$A$503,0)),""))</f>
        <v/>
      </c>
      <c r="P493" s="27" t="str">
        <f aca="false">IF($B493="","",IFERROR(INDEX(Inventory!$C$4:$C$503,MATCH($B493,Inventory!$A$4:$A$503,0)),""))</f>
        <v/>
      </c>
    </row>
    <row r="494" customFormat="false" ht="15" hidden="false" customHeight="false" outlineLevel="0" collapsed="false">
      <c r="A494" s="19"/>
      <c r="B494" s="10"/>
      <c r="C494" s="23" t="str">
        <f aca="false">IF($B494="","",IFERROR(INDEX(Inventory!$E$4:$E$503,MATCH($B494,Inventory!$A$4:$A$503,0)),"SKU not found"))</f>
        <v/>
      </c>
      <c r="D494" s="10"/>
      <c r="E494" s="12"/>
      <c r="F494" s="12"/>
      <c r="G494" s="12"/>
      <c r="H494" s="24" t="str">
        <f aca="false">IF(OR(B494="",D494="",E494=""),"",IFERROR(IF(AND(D494="Poshmark",E494&lt;Settings!$B$20),Settings!$B$21,(E494+IF(INDEX(Settings!$E$4:$E$11,MATCH($D494,Settings!$A$4:$A$11,0))="Y",N(F494),0))*(INDEX(Settings!$B$4:$B$11,MATCH($D494,Settings!$A$4:$A$11,0))+INDEX(Settings!$D$4:$D$11,MATCH($D494,Settings!$A$4:$A$11,0)))+INDEX(Settings!$C$4:$C$11,MATCH($D494,Settings!$A$4:$A$11,0))),0))</f>
        <v/>
      </c>
      <c r="I494" s="12"/>
      <c r="J494" s="12"/>
      <c r="K494" s="24" t="str">
        <f aca="false">IF($B494="","",IFERROR(INDEX(Inventory!$J$4:$J$503,MATCH($B494,Inventory!$A$4:$A$503,0)),0))</f>
        <v/>
      </c>
      <c r="L494" s="24" t="str">
        <f aca="false">IF(OR(B494="",E494=""),"",E494+N(F494)-N(G494)-N(H494)-N(J494)-N(K494))</f>
        <v/>
      </c>
      <c r="M494" s="28" t="str">
        <f aca="false">IF(OR(L494="",N(K494)=0),"",L494/K494)</f>
        <v/>
      </c>
      <c r="N494" s="25" t="str">
        <f aca="false">IF(OR(A494="",B494=""),"",IFERROR(A494-INDEX(Inventory!$B$4:$B$503,MATCH($B494,Inventory!$A$4:$A$503,0)),""))</f>
        <v/>
      </c>
      <c r="O494" s="27" t="str">
        <f aca="false">IF($B494="","",IFERROR(INDEX(Inventory!$F$4:$F$503,MATCH($B494,Inventory!$A$4:$A$503,0)),""))</f>
        <v/>
      </c>
      <c r="P494" s="27" t="str">
        <f aca="false">IF($B494="","",IFERROR(INDEX(Inventory!$C$4:$C$503,MATCH($B494,Inventory!$A$4:$A$503,0)),""))</f>
        <v/>
      </c>
    </row>
    <row r="495" customFormat="false" ht="15" hidden="false" customHeight="false" outlineLevel="0" collapsed="false">
      <c r="A495" s="19"/>
      <c r="B495" s="10"/>
      <c r="C495" s="23" t="str">
        <f aca="false">IF($B495="","",IFERROR(INDEX(Inventory!$E$4:$E$503,MATCH($B495,Inventory!$A$4:$A$503,0)),"SKU not found"))</f>
        <v/>
      </c>
      <c r="D495" s="10"/>
      <c r="E495" s="12"/>
      <c r="F495" s="12"/>
      <c r="G495" s="12"/>
      <c r="H495" s="24" t="str">
        <f aca="false">IF(OR(B495="",D495="",E495=""),"",IFERROR(IF(AND(D495="Poshmark",E495&lt;Settings!$B$20),Settings!$B$21,(E495+IF(INDEX(Settings!$E$4:$E$11,MATCH($D495,Settings!$A$4:$A$11,0))="Y",N(F495),0))*(INDEX(Settings!$B$4:$B$11,MATCH($D495,Settings!$A$4:$A$11,0))+INDEX(Settings!$D$4:$D$11,MATCH($D495,Settings!$A$4:$A$11,0)))+INDEX(Settings!$C$4:$C$11,MATCH($D495,Settings!$A$4:$A$11,0))),0))</f>
        <v/>
      </c>
      <c r="I495" s="12"/>
      <c r="J495" s="12"/>
      <c r="K495" s="24" t="str">
        <f aca="false">IF($B495="","",IFERROR(INDEX(Inventory!$J$4:$J$503,MATCH($B495,Inventory!$A$4:$A$503,0)),0))</f>
        <v/>
      </c>
      <c r="L495" s="24" t="str">
        <f aca="false">IF(OR(B495="",E495=""),"",E495+N(F495)-N(G495)-N(H495)-N(J495)-N(K495))</f>
        <v/>
      </c>
      <c r="M495" s="28" t="str">
        <f aca="false">IF(OR(L495="",N(K495)=0),"",L495/K495)</f>
        <v/>
      </c>
      <c r="N495" s="25" t="str">
        <f aca="false">IF(OR(A495="",B495=""),"",IFERROR(A495-INDEX(Inventory!$B$4:$B$503,MATCH($B495,Inventory!$A$4:$A$503,0)),""))</f>
        <v/>
      </c>
      <c r="O495" s="27" t="str">
        <f aca="false">IF($B495="","",IFERROR(INDEX(Inventory!$F$4:$F$503,MATCH($B495,Inventory!$A$4:$A$503,0)),""))</f>
        <v/>
      </c>
      <c r="P495" s="27" t="str">
        <f aca="false">IF($B495="","",IFERROR(INDEX(Inventory!$C$4:$C$503,MATCH($B495,Inventory!$A$4:$A$503,0)),""))</f>
        <v/>
      </c>
    </row>
    <row r="496" customFormat="false" ht="15" hidden="false" customHeight="false" outlineLevel="0" collapsed="false">
      <c r="A496" s="19"/>
      <c r="B496" s="10"/>
      <c r="C496" s="23" t="str">
        <f aca="false">IF($B496="","",IFERROR(INDEX(Inventory!$E$4:$E$503,MATCH($B496,Inventory!$A$4:$A$503,0)),"SKU not found"))</f>
        <v/>
      </c>
      <c r="D496" s="10"/>
      <c r="E496" s="12"/>
      <c r="F496" s="12"/>
      <c r="G496" s="12"/>
      <c r="H496" s="24" t="str">
        <f aca="false">IF(OR(B496="",D496="",E496=""),"",IFERROR(IF(AND(D496="Poshmark",E496&lt;Settings!$B$20),Settings!$B$21,(E496+IF(INDEX(Settings!$E$4:$E$11,MATCH($D496,Settings!$A$4:$A$11,0))="Y",N(F496),0))*(INDEX(Settings!$B$4:$B$11,MATCH($D496,Settings!$A$4:$A$11,0))+INDEX(Settings!$D$4:$D$11,MATCH($D496,Settings!$A$4:$A$11,0)))+INDEX(Settings!$C$4:$C$11,MATCH($D496,Settings!$A$4:$A$11,0))),0))</f>
        <v/>
      </c>
      <c r="I496" s="12"/>
      <c r="J496" s="12"/>
      <c r="K496" s="24" t="str">
        <f aca="false">IF($B496="","",IFERROR(INDEX(Inventory!$J$4:$J$503,MATCH($B496,Inventory!$A$4:$A$503,0)),0))</f>
        <v/>
      </c>
      <c r="L496" s="24" t="str">
        <f aca="false">IF(OR(B496="",E496=""),"",E496+N(F496)-N(G496)-N(H496)-N(J496)-N(K496))</f>
        <v/>
      </c>
      <c r="M496" s="28" t="str">
        <f aca="false">IF(OR(L496="",N(K496)=0),"",L496/K496)</f>
        <v/>
      </c>
      <c r="N496" s="25" t="str">
        <f aca="false">IF(OR(A496="",B496=""),"",IFERROR(A496-INDEX(Inventory!$B$4:$B$503,MATCH($B496,Inventory!$A$4:$A$503,0)),""))</f>
        <v/>
      </c>
      <c r="O496" s="27" t="str">
        <f aca="false">IF($B496="","",IFERROR(INDEX(Inventory!$F$4:$F$503,MATCH($B496,Inventory!$A$4:$A$503,0)),""))</f>
        <v/>
      </c>
      <c r="P496" s="27" t="str">
        <f aca="false">IF($B496="","",IFERROR(INDEX(Inventory!$C$4:$C$503,MATCH($B496,Inventory!$A$4:$A$503,0)),""))</f>
        <v/>
      </c>
    </row>
    <row r="497" customFormat="false" ht="15" hidden="false" customHeight="false" outlineLevel="0" collapsed="false">
      <c r="A497" s="19"/>
      <c r="B497" s="10"/>
      <c r="C497" s="23" t="str">
        <f aca="false">IF($B497="","",IFERROR(INDEX(Inventory!$E$4:$E$503,MATCH($B497,Inventory!$A$4:$A$503,0)),"SKU not found"))</f>
        <v/>
      </c>
      <c r="D497" s="10"/>
      <c r="E497" s="12"/>
      <c r="F497" s="12"/>
      <c r="G497" s="12"/>
      <c r="H497" s="24" t="str">
        <f aca="false">IF(OR(B497="",D497="",E497=""),"",IFERROR(IF(AND(D497="Poshmark",E497&lt;Settings!$B$20),Settings!$B$21,(E497+IF(INDEX(Settings!$E$4:$E$11,MATCH($D497,Settings!$A$4:$A$11,0))="Y",N(F497),0))*(INDEX(Settings!$B$4:$B$11,MATCH($D497,Settings!$A$4:$A$11,0))+INDEX(Settings!$D$4:$D$11,MATCH($D497,Settings!$A$4:$A$11,0)))+INDEX(Settings!$C$4:$C$11,MATCH($D497,Settings!$A$4:$A$11,0))),0))</f>
        <v/>
      </c>
      <c r="I497" s="12"/>
      <c r="J497" s="12"/>
      <c r="K497" s="24" t="str">
        <f aca="false">IF($B497="","",IFERROR(INDEX(Inventory!$J$4:$J$503,MATCH($B497,Inventory!$A$4:$A$503,0)),0))</f>
        <v/>
      </c>
      <c r="L497" s="24" t="str">
        <f aca="false">IF(OR(B497="",E497=""),"",E497+N(F497)-N(G497)-N(H497)-N(J497)-N(K497))</f>
        <v/>
      </c>
      <c r="M497" s="28" t="str">
        <f aca="false">IF(OR(L497="",N(K497)=0),"",L497/K497)</f>
        <v/>
      </c>
      <c r="N497" s="25" t="str">
        <f aca="false">IF(OR(A497="",B497=""),"",IFERROR(A497-INDEX(Inventory!$B$4:$B$503,MATCH($B497,Inventory!$A$4:$A$503,0)),""))</f>
        <v/>
      </c>
      <c r="O497" s="27" t="str">
        <f aca="false">IF($B497="","",IFERROR(INDEX(Inventory!$F$4:$F$503,MATCH($B497,Inventory!$A$4:$A$503,0)),""))</f>
        <v/>
      </c>
      <c r="P497" s="27" t="str">
        <f aca="false">IF($B497="","",IFERROR(INDEX(Inventory!$C$4:$C$503,MATCH($B497,Inventory!$A$4:$A$503,0)),""))</f>
        <v/>
      </c>
    </row>
    <row r="498" customFormat="false" ht="15" hidden="false" customHeight="false" outlineLevel="0" collapsed="false">
      <c r="A498" s="19"/>
      <c r="B498" s="10"/>
      <c r="C498" s="23" t="str">
        <f aca="false">IF($B498="","",IFERROR(INDEX(Inventory!$E$4:$E$503,MATCH($B498,Inventory!$A$4:$A$503,0)),"SKU not found"))</f>
        <v/>
      </c>
      <c r="D498" s="10"/>
      <c r="E498" s="12"/>
      <c r="F498" s="12"/>
      <c r="G498" s="12"/>
      <c r="H498" s="24" t="str">
        <f aca="false">IF(OR(B498="",D498="",E498=""),"",IFERROR(IF(AND(D498="Poshmark",E498&lt;Settings!$B$20),Settings!$B$21,(E498+IF(INDEX(Settings!$E$4:$E$11,MATCH($D498,Settings!$A$4:$A$11,0))="Y",N(F498),0))*(INDEX(Settings!$B$4:$B$11,MATCH($D498,Settings!$A$4:$A$11,0))+INDEX(Settings!$D$4:$D$11,MATCH($D498,Settings!$A$4:$A$11,0)))+INDEX(Settings!$C$4:$C$11,MATCH($D498,Settings!$A$4:$A$11,0))),0))</f>
        <v/>
      </c>
      <c r="I498" s="12"/>
      <c r="J498" s="12"/>
      <c r="K498" s="24" t="str">
        <f aca="false">IF($B498="","",IFERROR(INDEX(Inventory!$J$4:$J$503,MATCH($B498,Inventory!$A$4:$A$503,0)),0))</f>
        <v/>
      </c>
      <c r="L498" s="24" t="str">
        <f aca="false">IF(OR(B498="",E498=""),"",E498+N(F498)-N(G498)-N(H498)-N(J498)-N(K498))</f>
        <v/>
      </c>
      <c r="M498" s="28" t="str">
        <f aca="false">IF(OR(L498="",N(K498)=0),"",L498/K498)</f>
        <v/>
      </c>
      <c r="N498" s="25" t="str">
        <f aca="false">IF(OR(A498="",B498=""),"",IFERROR(A498-INDEX(Inventory!$B$4:$B$503,MATCH($B498,Inventory!$A$4:$A$503,0)),""))</f>
        <v/>
      </c>
      <c r="O498" s="27" t="str">
        <f aca="false">IF($B498="","",IFERROR(INDEX(Inventory!$F$4:$F$503,MATCH($B498,Inventory!$A$4:$A$503,0)),""))</f>
        <v/>
      </c>
      <c r="P498" s="27" t="str">
        <f aca="false">IF($B498="","",IFERROR(INDEX(Inventory!$C$4:$C$503,MATCH($B498,Inventory!$A$4:$A$503,0)),""))</f>
        <v/>
      </c>
    </row>
    <row r="499" customFormat="false" ht="15" hidden="false" customHeight="false" outlineLevel="0" collapsed="false">
      <c r="A499" s="19"/>
      <c r="B499" s="10"/>
      <c r="C499" s="23" t="str">
        <f aca="false">IF($B499="","",IFERROR(INDEX(Inventory!$E$4:$E$503,MATCH($B499,Inventory!$A$4:$A$503,0)),"SKU not found"))</f>
        <v/>
      </c>
      <c r="D499" s="10"/>
      <c r="E499" s="12"/>
      <c r="F499" s="12"/>
      <c r="G499" s="12"/>
      <c r="H499" s="24" t="str">
        <f aca="false">IF(OR(B499="",D499="",E499=""),"",IFERROR(IF(AND(D499="Poshmark",E499&lt;Settings!$B$20),Settings!$B$21,(E499+IF(INDEX(Settings!$E$4:$E$11,MATCH($D499,Settings!$A$4:$A$11,0))="Y",N(F499),0))*(INDEX(Settings!$B$4:$B$11,MATCH($D499,Settings!$A$4:$A$11,0))+INDEX(Settings!$D$4:$D$11,MATCH($D499,Settings!$A$4:$A$11,0)))+INDEX(Settings!$C$4:$C$11,MATCH($D499,Settings!$A$4:$A$11,0))),0))</f>
        <v/>
      </c>
      <c r="I499" s="12"/>
      <c r="J499" s="12"/>
      <c r="K499" s="24" t="str">
        <f aca="false">IF($B499="","",IFERROR(INDEX(Inventory!$J$4:$J$503,MATCH($B499,Inventory!$A$4:$A$503,0)),0))</f>
        <v/>
      </c>
      <c r="L499" s="24" t="str">
        <f aca="false">IF(OR(B499="",E499=""),"",E499+N(F499)-N(G499)-N(H499)-N(J499)-N(K499))</f>
        <v/>
      </c>
      <c r="M499" s="28" t="str">
        <f aca="false">IF(OR(L499="",N(K499)=0),"",L499/K499)</f>
        <v/>
      </c>
      <c r="N499" s="25" t="str">
        <f aca="false">IF(OR(A499="",B499=""),"",IFERROR(A499-INDEX(Inventory!$B$4:$B$503,MATCH($B499,Inventory!$A$4:$A$503,0)),""))</f>
        <v/>
      </c>
      <c r="O499" s="27" t="str">
        <f aca="false">IF($B499="","",IFERROR(INDEX(Inventory!$F$4:$F$503,MATCH($B499,Inventory!$A$4:$A$503,0)),""))</f>
        <v/>
      </c>
      <c r="P499" s="27" t="str">
        <f aca="false">IF($B499="","",IFERROR(INDEX(Inventory!$C$4:$C$503,MATCH($B499,Inventory!$A$4:$A$503,0)),""))</f>
        <v/>
      </c>
    </row>
    <row r="500" customFormat="false" ht="15" hidden="false" customHeight="false" outlineLevel="0" collapsed="false">
      <c r="A500" s="19"/>
      <c r="B500" s="10"/>
      <c r="C500" s="23" t="str">
        <f aca="false">IF($B500="","",IFERROR(INDEX(Inventory!$E$4:$E$503,MATCH($B500,Inventory!$A$4:$A$503,0)),"SKU not found"))</f>
        <v/>
      </c>
      <c r="D500" s="10"/>
      <c r="E500" s="12"/>
      <c r="F500" s="12"/>
      <c r="G500" s="12"/>
      <c r="H500" s="24" t="str">
        <f aca="false">IF(OR(B500="",D500="",E500=""),"",IFERROR(IF(AND(D500="Poshmark",E500&lt;Settings!$B$20),Settings!$B$21,(E500+IF(INDEX(Settings!$E$4:$E$11,MATCH($D500,Settings!$A$4:$A$11,0))="Y",N(F500),0))*(INDEX(Settings!$B$4:$B$11,MATCH($D500,Settings!$A$4:$A$11,0))+INDEX(Settings!$D$4:$D$11,MATCH($D500,Settings!$A$4:$A$11,0)))+INDEX(Settings!$C$4:$C$11,MATCH($D500,Settings!$A$4:$A$11,0))),0))</f>
        <v/>
      </c>
      <c r="I500" s="12"/>
      <c r="J500" s="12"/>
      <c r="K500" s="24" t="str">
        <f aca="false">IF($B500="","",IFERROR(INDEX(Inventory!$J$4:$J$503,MATCH($B500,Inventory!$A$4:$A$503,0)),0))</f>
        <v/>
      </c>
      <c r="L500" s="24" t="str">
        <f aca="false">IF(OR(B500="",E500=""),"",E500+N(F500)-N(G500)-N(H500)-N(J500)-N(K500))</f>
        <v/>
      </c>
      <c r="M500" s="28" t="str">
        <f aca="false">IF(OR(L500="",N(K500)=0),"",L500/K500)</f>
        <v/>
      </c>
      <c r="N500" s="25" t="str">
        <f aca="false">IF(OR(A500="",B500=""),"",IFERROR(A500-INDEX(Inventory!$B$4:$B$503,MATCH($B500,Inventory!$A$4:$A$503,0)),""))</f>
        <v/>
      </c>
      <c r="O500" s="27" t="str">
        <f aca="false">IF($B500="","",IFERROR(INDEX(Inventory!$F$4:$F$503,MATCH($B500,Inventory!$A$4:$A$503,0)),""))</f>
        <v/>
      </c>
      <c r="P500" s="27" t="str">
        <f aca="false">IF($B500="","",IFERROR(INDEX(Inventory!$C$4:$C$503,MATCH($B500,Inventory!$A$4:$A$503,0)),""))</f>
        <v/>
      </c>
    </row>
    <row r="501" customFormat="false" ht="15" hidden="false" customHeight="false" outlineLevel="0" collapsed="false">
      <c r="A501" s="19"/>
      <c r="B501" s="10"/>
      <c r="C501" s="23" t="str">
        <f aca="false">IF($B501="","",IFERROR(INDEX(Inventory!$E$4:$E$503,MATCH($B501,Inventory!$A$4:$A$503,0)),"SKU not found"))</f>
        <v/>
      </c>
      <c r="D501" s="10"/>
      <c r="E501" s="12"/>
      <c r="F501" s="12"/>
      <c r="G501" s="12"/>
      <c r="H501" s="24" t="str">
        <f aca="false">IF(OR(B501="",D501="",E501=""),"",IFERROR(IF(AND(D501="Poshmark",E501&lt;Settings!$B$20),Settings!$B$21,(E501+IF(INDEX(Settings!$E$4:$E$11,MATCH($D501,Settings!$A$4:$A$11,0))="Y",N(F501),0))*(INDEX(Settings!$B$4:$B$11,MATCH($D501,Settings!$A$4:$A$11,0))+INDEX(Settings!$D$4:$D$11,MATCH($D501,Settings!$A$4:$A$11,0)))+INDEX(Settings!$C$4:$C$11,MATCH($D501,Settings!$A$4:$A$11,0))),0))</f>
        <v/>
      </c>
      <c r="I501" s="12"/>
      <c r="J501" s="12"/>
      <c r="K501" s="24" t="str">
        <f aca="false">IF($B501="","",IFERROR(INDEX(Inventory!$J$4:$J$503,MATCH($B501,Inventory!$A$4:$A$503,0)),0))</f>
        <v/>
      </c>
      <c r="L501" s="24" t="str">
        <f aca="false">IF(OR(B501="",E501=""),"",E501+N(F501)-N(G501)-N(H501)-N(J501)-N(K501))</f>
        <v/>
      </c>
      <c r="M501" s="28" t="str">
        <f aca="false">IF(OR(L501="",N(K501)=0),"",L501/K501)</f>
        <v/>
      </c>
      <c r="N501" s="25" t="str">
        <f aca="false">IF(OR(A501="",B501=""),"",IFERROR(A501-INDEX(Inventory!$B$4:$B$503,MATCH($B501,Inventory!$A$4:$A$503,0)),""))</f>
        <v/>
      </c>
      <c r="O501" s="27" t="str">
        <f aca="false">IF($B501="","",IFERROR(INDEX(Inventory!$F$4:$F$503,MATCH($B501,Inventory!$A$4:$A$503,0)),""))</f>
        <v/>
      </c>
      <c r="P501" s="27" t="str">
        <f aca="false">IF($B501="","",IFERROR(INDEX(Inventory!$C$4:$C$503,MATCH($B501,Inventory!$A$4:$A$503,0)),""))</f>
        <v/>
      </c>
    </row>
    <row r="502" customFormat="false" ht="15" hidden="false" customHeight="false" outlineLevel="0" collapsed="false">
      <c r="A502" s="19"/>
      <c r="B502" s="10"/>
      <c r="C502" s="23" t="str">
        <f aca="false">IF($B502="","",IFERROR(INDEX(Inventory!$E$4:$E$503,MATCH($B502,Inventory!$A$4:$A$503,0)),"SKU not found"))</f>
        <v/>
      </c>
      <c r="D502" s="10"/>
      <c r="E502" s="12"/>
      <c r="F502" s="12"/>
      <c r="G502" s="12"/>
      <c r="H502" s="24" t="str">
        <f aca="false">IF(OR(B502="",D502="",E502=""),"",IFERROR(IF(AND(D502="Poshmark",E502&lt;Settings!$B$20),Settings!$B$21,(E502+IF(INDEX(Settings!$E$4:$E$11,MATCH($D502,Settings!$A$4:$A$11,0))="Y",N(F502),0))*(INDEX(Settings!$B$4:$B$11,MATCH($D502,Settings!$A$4:$A$11,0))+INDEX(Settings!$D$4:$D$11,MATCH($D502,Settings!$A$4:$A$11,0)))+INDEX(Settings!$C$4:$C$11,MATCH($D502,Settings!$A$4:$A$11,0))),0))</f>
        <v/>
      </c>
      <c r="I502" s="12"/>
      <c r="J502" s="12"/>
      <c r="K502" s="24" t="str">
        <f aca="false">IF($B502="","",IFERROR(INDEX(Inventory!$J$4:$J$503,MATCH($B502,Inventory!$A$4:$A$503,0)),0))</f>
        <v/>
      </c>
      <c r="L502" s="24" t="str">
        <f aca="false">IF(OR(B502="",E502=""),"",E502+N(F502)-N(G502)-N(H502)-N(J502)-N(K502))</f>
        <v/>
      </c>
      <c r="M502" s="28" t="str">
        <f aca="false">IF(OR(L502="",N(K502)=0),"",L502/K502)</f>
        <v/>
      </c>
      <c r="N502" s="25" t="str">
        <f aca="false">IF(OR(A502="",B502=""),"",IFERROR(A502-INDEX(Inventory!$B$4:$B$503,MATCH($B502,Inventory!$A$4:$A$503,0)),""))</f>
        <v/>
      </c>
      <c r="O502" s="27" t="str">
        <f aca="false">IF($B502="","",IFERROR(INDEX(Inventory!$F$4:$F$503,MATCH($B502,Inventory!$A$4:$A$503,0)),""))</f>
        <v/>
      </c>
      <c r="P502" s="27" t="str">
        <f aca="false">IF($B502="","",IFERROR(INDEX(Inventory!$C$4:$C$503,MATCH($B502,Inventory!$A$4:$A$503,0)),""))</f>
        <v/>
      </c>
    </row>
    <row r="503" customFormat="false" ht="15" hidden="false" customHeight="false" outlineLevel="0" collapsed="false">
      <c r="A503" s="19"/>
      <c r="B503" s="10"/>
      <c r="C503" s="23" t="str">
        <f aca="false">IF($B503="","",IFERROR(INDEX(Inventory!$E$4:$E$503,MATCH($B503,Inventory!$A$4:$A$503,0)),"SKU not found"))</f>
        <v/>
      </c>
      <c r="D503" s="10"/>
      <c r="E503" s="12"/>
      <c r="F503" s="12"/>
      <c r="G503" s="12"/>
      <c r="H503" s="24" t="str">
        <f aca="false">IF(OR(B503="",D503="",E503=""),"",IFERROR(IF(AND(D503="Poshmark",E503&lt;Settings!$B$20),Settings!$B$21,(E503+IF(INDEX(Settings!$E$4:$E$11,MATCH($D503,Settings!$A$4:$A$11,0))="Y",N(F503),0))*(INDEX(Settings!$B$4:$B$11,MATCH($D503,Settings!$A$4:$A$11,0))+INDEX(Settings!$D$4:$D$11,MATCH($D503,Settings!$A$4:$A$11,0)))+INDEX(Settings!$C$4:$C$11,MATCH($D503,Settings!$A$4:$A$11,0))),0))</f>
        <v/>
      </c>
      <c r="I503" s="12"/>
      <c r="J503" s="12"/>
      <c r="K503" s="24" t="str">
        <f aca="false">IF($B503="","",IFERROR(INDEX(Inventory!$J$4:$J$503,MATCH($B503,Inventory!$A$4:$A$503,0)),0))</f>
        <v/>
      </c>
      <c r="L503" s="24" t="str">
        <f aca="false">IF(OR(B503="",E503=""),"",E503+N(F503)-N(G503)-N(H503)-N(J503)-N(K503))</f>
        <v/>
      </c>
      <c r="M503" s="28" t="str">
        <f aca="false">IF(OR(L503="",N(K503)=0),"",L503/K503)</f>
        <v/>
      </c>
      <c r="N503" s="25" t="str">
        <f aca="false">IF(OR(A503="",B503=""),"",IFERROR(A503-INDEX(Inventory!$B$4:$B$503,MATCH($B503,Inventory!$A$4:$A$503,0)),""))</f>
        <v/>
      </c>
      <c r="O503" s="27" t="str">
        <f aca="false">IF($B503="","",IFERROR(INDEX(Inventory!$F$4:$F$503,MATCH($B503,Inventory!$A$4:$A$503,0)),""))</f>
        <v/>
      </c>
      <c r="P503" s="27" t="str">
        <f aca="false">IF($B503="","",IFERROR(INDEX(Inventory!$C$4:$C$503,MATCH($B503,Inventory!$A$4:$A$503,0)),""))</f>
        <v/>
      </c>
    </row>
  </sheetData>
  <autoFilter ref="A3:P503"/>
  <conditionalFormatting sqref="L4:L503">
    <cfRule type="expression" priority="2" aboveAverage="0" equalAverage="0" bottom="0" percent="0" rank="0" text="" dxfId="11">
      <formula>AND(ISNUMBER($L4),$L4&lt;0)</formula>
    </cfRule>
  </conditionalFormatting>
  <conditionalFormatting sqref="C4:C503">
    <cfRule type="expression" priority="3" aboveAverage="0" equalAverage="0" bottom="0" percent="0" rank="0" text="" dxfId="12">
      <formula>$C4="SKU not found"</formula>
    </cfRule>
  </conditionalFormatting>
  <conditionalFormatting sqref="D4:D503">
    <cfRule type="expression" priority="4" aboveAverage="0" equalAverage="0" bottom="0" percent="0" rank="0" text="" dxfId="11">
      <formula>AND($D4&lt;&gt;"",ISNA(MATCH($D4,INDIRECT("Settings!$A$4:$A$11"),0)))</formula>
    </cfRule>
  </conditionalFormatting>
  <dataValidations count="1">
    <dataValidation allowBlank="true" errorStyle="stop" operator="between" showDropDown="false" showErrorMessage="false" showInputMessage="false" sqref="D4:D503" type="list">
      <formula1>Settings!$A$4:$A$11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false"/>
  </sheetPr>
  <dimension ref="A1:G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6"/>
  </cols>
  <sheetData>
    <row r="1" customFormat="false" ht="19.7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3" customFormat="false" ht="30" hidden="false" customHeight="true" outlineLevel="0" collapsed="false">
      <c r="A3" s="9" t="s">
        <v>180</v>
      </c>
      <c r="B3" s="9" t="s">
        <v>124</v>
      </c>
      <c r="C3" s="9" t="s">
        <v>181</v>
      </c>
      <c r="D3" s="9" t="s">
        <v>182</v>
      </c>
      <c r="E3" s="9" t="s">
        <v>183</v>
      </c>
      <c r="F3" s="9" t="s">
        <v>184</v>
      </c>
      <c r="G3" s="9" t="s">
        <v>185</v>
      </c>
    </row>
    <row r="4" customFormat="false" ht="15" hidden="false" customHeight="false" outlineLevel="0" collapsed="false">
      <c r="A4" s="19" t="n">
        <v>46027</v>
      </c>
      <c r="B4" s="10" t="s">
        <v>64</v>
      </c>
      <c r="C4" s="10" t="s">
        <v>186</v>
      </c>
      <c r="D4" s="12" t="n">
        <v>24.99</v>
      </c>
      <c r="E4" s="29"/>
      <c r="F4" s="24" t="str">
        <f aca="false">IF(E4="","",E4*Settings!$B$17)</f>
        <v/>
      </c>
      <c r="G4" s="24" t="n">
        <f aca="false">IF(A4="","",N(D4)+N(F4))</f>
        <v>24.99</v>
      </c>
    </row>
    <row r="5" customFormat="false" ht="15" hidden="false" customHeight="false" outlineLevel="0" collapsed="false">
      <c r="A5" s="19" t="n">
        <v>46037</v>
      </c>
      <c r="B5" s="10" t="s">
        <v>71</v>
      </c>
      <c r="C5" s="10" t="s">
        <v>187</v>
      </c>
      <c r="D5" s="12"/>
      <c r="E5" s="29" t="n">
        <v>32</v>
      </c>
      <c r="F5" s="24" t="n">
        <f aca="false">IF(E5="","",E5*Settings!$B$17)</f>
        <v>22.4</v>
      </c>
      <c r="G5" s="24" t="n">
        <f aca="false">IF(A5="","",N(D5)+N(F5))</f>
        <v>22.4</v>
      </c>
    </row>
    <row r="6" customFormat="false" ht="15" hidden="false" customHeight="false" outlineLevel="0" collapsed="false">
      <c r="A6" s="19" t="n">
        <v>46054</v>
      </c>
      <c r="B6" s="10" t="s">
        <v>78</v>
      </c>
      <c r="C6" s="10" t="s">
        <v>188</v>
      </c>
      <c r="D6" s="12" t="n">
        <v>19.99</v>
      </c>
      <c r="E6" s="29"/>
      <c r="F6" s="24" t="str">
        <f aca="false">IF(E6="","",E6*Settings!$B$17)</f>
        <v/>
      </c>
      <c r="G6" s="24" t="n">
        <f aca="false">IF(A6="","",N(D6)+N(F6))</f>
        <v>19.99</v>
      </c>
    </row>
    <row r="7" customFormat="false" ht="15" hidden="false" customHeight="false" outlineLevel="0" collapsed="false">
      <c r="A7" s="19" t="n">
        <v>46091</v>
      </c>
      <c r="B7" s="10" t="s">
        <v>57</v>
      </c>
      <c r="C7" s="10" t="s">
        <v>189</v>
      </c>
      <c r="D7" s="12" t="n">
        <v>38.5</v>
      </c>
      <c r="E7" s="29"/>
      <c r="F7" s="24" t="str">
        <f aca="false">IF(E7="","",E7*Settings!$B$17)</f>
        <v/>
      </c>
      <c r="G7" s="24" t="n">
        <f aca="false">IF(A7="","",N(D7)+N(F7))</f>
        <v>38.5</v>
      </c>
    </row>
    <row r="8" customFormat="false" ht="15" hidden="false" customHeight="false" outlineLevel="0" collapsed="false">
      <c r="A8" s="19"/>
      <c r="B8" s="10"/>
      <c r="C8" s="10"/>
      <c r="D8" s="12"/>
      <c r="E8" s="29"/>
      <c r="F8" s="24" t="str">
        <f aca="false">IF(E8="","",E8*Settings!$B$17)</f>
        <v/>
      </c>
      <c r="G8" s="24" t="str">
        <f aca="false">IF(A8="","",N(D8)+N(F8))</f>
        <v/>
      </c>
    </row>
    <row r="9" customFormat="false" ht="15" hidden="false" customHeight="false" outlineLevel="0" collapsed="false">
      <c r="A9" s="19"/>
      <c r="B9" s="10"/>
      <c r="C9" s="10"/>
      <c r="D9" s="12"/>
      <c r="E9" s="29"/>
      <c r="F9" s="24" t="str">
        <f aca="false">IF(E9="","",E9*Settings!$B$17)</f>
        <v/>
      </c>
      <c r="G9" s="24" t="str">
        <f aca="false">IF(A9="","",N(D9)+N(F9))</f>
        <v/>
      </c>
    </row>
    <row r="10" customFormat="false" ht="15" hidden="false" customHeight="false" outlineLevel="0" collapsed="false">
      <c r="A10" s="19"/>
      <c r="B10" s="10"/>
      <c r="C10" s="10"/>
      <c r="D10" s="12"/>
      <c r="E10" s="29"/>
      <c r="F10" s="24" t="str">
        <f aca="false">IF(E10="","",E10*Settings!$B$17)</f>
        <v/>
      </c>
      <c r="G10" s="24" t="str">
        <f aca="false">IF(A10="","",N(D10)+N(F10))</f>
        <v/>
      </c>
    </row>
    <row r="11" customFormat="false" ht="15" hidden="false" customHeight="false" outlineLevel="0" collapsed="false">
      <c r="A11" s="19"/>
      <c r="B11" s="10"/>
      <c r="C11" s="10"/>
      <c r="D11" s="12"/>
      <c r="E11" s="29"/>
      <c r="F11" s="24" t="str">
        <f aca="false">IF(E11="","",E11*Settings!$B$17)</f>
        <v/>
      </c>
      <c r="G11" s="24" t="str">
        <f aca="false">IF(A11="","",N(D11)+N(F11))</f>
        <v/>
      </c>
    </row>
    <row r="12" customFormat="false" ht="15" hidden="false" customHeight="false" outlineLevel="0" collapsed="false">
      <c r="A12" s="19"/>
      <c r="B12" s="10"/>
      <c r="C12" s="10"/>
      <c r="D12" s="12"/>
      <c r="E12" s="29"/>
      <c r="F12" s="24" t="str">
        <f aca="false">IF(E12="","",E12*Settings!$B$17)</f>
        <v/>
      </c>
      <c r="G12" s="24" t="str">
        <f aca="false">IF(A12="","",N(D12)+N(F12))</f>
        <v/>
      </c>
    </row>
    <row r="13" customFormat="false" ht="15" hidden="false" customHeight="false" outlineLevel="0" collapsed="false">
      <c r="A13" s="19"/>
      <c r="B13" s="10"/>
      <c r="C13" s="10"/>
      <c r="D13" s="12"/>
      <c r="E13" s="29"/>
      <c r="F13" s="24" t="str">
        <f aca="false">IF(E13="","",E13*Settings!$B$17)</f>
        <v/>
      </c>
      <c r="G13" s="24" t="str">
        <f aca="false">IF(A13="","",N(D13)+N(F13))</f>
        <v/>
      </c>
    </row>
    <row r="14" customFormat="false" ht="15" hidden="false" customHeight="false" outlineLevel="0" collapsed="false">
      <c r="A14" s="19"/>
      <c r="B14" s="10"/>
      <c r="C14" s="10"/>
      <c r="D14" s="12"/>
      <c r="E14" s="29"/>
      <c r="F14" s="24" t="str">
        <f aca="false">IF(E14="","",E14*Settings!$B$17)</f>
        <v/>
      </c>
      <c r="G14" s="24" t="str">
        <f aca="false">IF(A14="","",N(D14)+N(F14))</f>
        <v/>
      </c>
    </row>
    <row r="15" customFormat="false" ht="15" hidden="false" customHeight="false" outlineLevel="0" collapsed="false">
      <c r="A15" s="19"/>
      <c r="B15" s="10"/>
      <c r="C15" s="10"/>
      <c r="D15" s="12"/>
      <c r="E15" s="29"/>
      <c r="F15" s="24" t="str">
        <f aca="false">IF(E15="","",E15*Settings!$B$17)</f>
        <v/>
      </c>
      <c r="G15" s="24" t="str">
        <f aca="false">IF(A15="","",N(D15)+N(F15))</f>
        <v/>
      </c>
    </row>
    <row r="16" customFormat="false" ht="15" hidden="false" customHeight="false" outlineLevel="0" collapsed="false">
      <c r="A16" s="19"/>
      <c r="B16" s="10"/>
      <c r="C16" s="10"/>
      <c r="D16" s="12"/>
      <c r="E16" s="29"/>
      <c r="F16" s="24" t="str">
        <f aca="false">IF(E16="","",E16*Settings!$B$17)</f>
        <v/>
      </c>
      <c r="G16" s="24" t="str">
        <f aca="false">IF(A16="","",N(D16)+N(F16))</f>
        <v/>
      </c>
    </row>
    <row r="17" customFormat="false" ht="15" hidden="false" customHeight="false" outlineLevel="0" collapsed="false">
      <c r="A17" s="19"/>
      <c r="B17" s="10"/>
      <c r="C17" s="10"/>
      <c r="D17" s="12"/>
      <c r="E17" s="29"/>
      <c r="F17" s="24" t="str">
        <f aca="false">IF(E17="","",E17*Settings!$B$17)</f>
        <v/>
      </c>
      <c r="G17" s="24" t="str">
        <f aca="false">IF(A17="","",N(D17)+N(F17))</f>
        <v/>
      </c>
    </row>
    <row r="18" customFormat="false" ht="15" hidden="false" customHeight="false" outlineLevel="0" collapsed="false">
      <c r="A18" s="19"/>
      <c r="B18" s="10"/>
      <c r="C18" s="10"/>
      <c r="D18" s="12"/>
      <c r="E18" s="29"/>
      <c r="F18" s="24" t="str">
        <f aca="false">IF(E18="","",E18*Settings!$B$17)</f>
        <v/>
      </c>
      <c r="G18" s="24" t="str">
        <f aca="false">IF(A18="","",N(D18)+N(F18))</f>
        <v/>
      </c>
    </row>
    <row r="19" customFormat="false" ht="15" hidden="false" customHeight="false" outlineLevel="0" collapsed="false">
      <c r="A19" s="19"/>
      <c r="B19" s="10"/>
      <c r="C19" s="10"/>
      <c r="D19" s="12"/>
      <c r="E19" s="29"/>
      <c r="F19" s="24" t="str">
        <f aca="false">IF(E19="","",E19*Settings!$B$17)</f>
        <v/>
      </c>
      <c r="G19" s="24" t="str">
        <f aca="false">IF(A19="","",N(D19)+N(F19))</f>
        <v/>
      </c>
    </row>
    <row r="20" customFormat="false" ht="15" hidden="false" customHeight="false" outlineLevel="0" collapsed="false">
      <c r="A20" s="19"/>
      <c r="B20" s="10"/>
      <c r="C20" s="10"/>
      <c r="D20" s="12"/>
      <c r="E20" s="29"/>
      <c r="F20" s="24" t="str">
        <f aca="false">IF(E20="","",E20*Settings!$B$17)</f>
        <v/>
      </c>
      <c r="G20" s="24" t="str">
        <f aca="false">IF(A20="","",N(D20)+N(F20))</f>
        <v/>
      </c>
    </row>
    <row r="21" customFormat="false" ht="15" hidden="false" customHeight="false" outlineLevel="0" collapsed="false">
      <c r="A21" s="19"/>
      <c r="B21" s="10"/>
      <c r="C21" s="10"/>
      <c r="D21" s="12"/>
      <c r="E21" s="29"/>
      <c r="F21" s="24" t="str">
        <f aca="false">IF(E21="","",E21*Settings!$B$17)</f>
        <v/>
      </c>
      <c r="G21" s="24" t="str">
        <f aca="false">IF(A21="","",N(D21)+N(F21))</f>
        <v/>
      </c>
    </row>
    <row r="22" customFormat="false" ht="15" hidden="false" customHeight="false" outlineLevel="0" collapsed="false">
      <c r="A22" s="19"/>
      <c r="B22" s="10"/>
      <c r="C22" s="10"/>
      <c r="D22" s="12"/>
      <c r="E22" s="29"/>
      <c r="F22" s="24" t="str">
        <f aca="false">IF(E22="","",E22*Settings!$B$17)</f>
        <v/>
      </c>
      <c r="G22" s="24" t="str">
        <f aca="false">IF(A22="","",N(D22)+N(F22))</f>
        <v/>
      </c>
    </row>
    <row r="23" customFormat="false" ht="15" hidden="false" customHeight="false" outlineLevel="0" collapsed="false">
      <c r="A23" s="19"/>
      <c r="B23" s="10"/>
      <c r="C23" s="10"/>
      <c r="D23" s="12"/>
      <c r="E23" s="29"/>
      <c r="F23" s="24" t="str">
        <f aca="false">IF(E23="","",E23*Settings!$B$17)</f>
        <v/>
      </c>
      <c r="G23" s="24" t="str">
        <f aca="false">IF(A23="","",N(D23)+N(F23))</f>
        <v/>
      </c>
    </row>
    <row r="24" customFormat="false" ht="15" hidden="false" customHeight="false" outlineLevel="0" collapsed="false">
      <c r="A24" s="19"/>
      <c r="B24" s="10"/>
      <c r="C24" s="10"/>
      <c r="D24" s="12"/>
      <c r="E24" s="29"/>
      <c r="F24" s="24" t="str">
        <f aca="false">IF(E24="","",E24*Settings!$B$17)</f>
        <v/>
      </c>
      <c r="G24" s="24" t="str">
        <f aca="false">IF(A24="","",N(D24)+N(F24))</f>
        <v/>
      </c>
    </row>
    <row r="25" customFormat="false" ht="15" hidden="false" customHeight="false" outlineLevel="0" collapsed="false">
      <c r="A25" s="19"/>
      <c r="B25" s="10"/>
      <c r="C25" s="10"/>
      <c r="D25" s="12"/>
      <c r="E25" s="29"/>
      <c r="F25" s="24" t="str">
        <f aca="false">IF(E25="","",E25*Settings!$B$17)</f>
        <v/>
      </c>
      <c r="G25" s="24" t="str">
        <f aca="false">IF(A25="","",N(D25)+N(F25))</f>
        <v/>
      </c>
    </row>
    <row r="26" customFormat="false" ht="15" hidden="false" customHeight="false" outlineLevel="0" collapsed="false">
      <c r="A26" s="19"/>
      <c r="B26" s="10"/>
      <c r="C26" s="10"/>
      <c r="D26" s="12"/>
      <c r="E26" s="29"/>
      <c r="F26" s="24" t="str">
        <f aca="false">IF(E26="","",E26*Settings!$B$17)</f>
        <v/>
      </c>
      <c r="G26" s="24" t="str">
        <f aca="false">IF(A26="","",N(D26)+N(F26))</f>
        <v/>
      </c>
    </row>
    <row r="27" customFormat="false" ht="15" hidden="false" customHeight="false" outlineLevel="0" collapsed="false">
      <c r="A27" s="19"/>
      <c r="B27" s="10"/>
      <c r="C27" s="10"/>
      <c r="D27" s="12"/>
      <c r="E27" s="29"/>
      <c r="F27" s="24" t="str">
        <f aca="false">IF(E27="","",E27*Settings!$B$17)</f>
        <v/>
      </c>
      <c r="G27" s="24" t="str">
        <f aca="false">IF(A27="","",N(D27)+N(F27))</f>
        <v/>
      </c>
    </row>
    <row r="28" customFormat="false" ht="15" hidden="false" customHeight="false" outlineLevel="0" collapsed="false">
      <c r="A28" s="19"/>
      <c r="B28" s="10"/>
      <c r="C28" s="10"/>
      <c r="D28" s="12"/>
      <c r="E28" s="29"/>
      <c r="F28" s="24" t="str">
        <f aca="false">IF(E28="","",E28*Settings!$B$17)</f>
        <v/>
      </c>
      <c r="G28" s="24" t="str">
        <f aca="false">IF(A28="","",N(D28)+N(F28))</f>
        <v/>
      </c>
    </row>
    <row r="29" customFormat="false" ht="15" hidden="false" customHeight="false" outlineLevel="0" collapsed="false">
      <c r="A29" s="19"/>
      <c r="B29" s="10"/>
      <c r="C29" s="10"/>
      <c r="D29" s="12"/>
      <c r="E29" s="29"/>
      <c r="F29" s="24" t="str">
        <f aca="false">IF(E29="","",E29*Settings!$B$17)</f>
        <v/>
      </c>
      <c r="G29" s="24" t="str">
        <f aca="false">IF(A29="","",N(D29)+N(F29))</f>
        <v/>
      </c>
    </row>
    <row r="30" customFormat="false" ht="15" hidden="false" customHeight="false" outlineLevel="0" collapsed="false">
      <c r="A30" s="19"/>
      <c r="B30" s="10"/>
      <c r="C30" s="10"/>
      <c r="D30" s="12"/>
      <c r="E30" s="29"/>
      <c r="F30" s="24" t="str">
        <f aca="false">IF(E30="","",E30*Settings!$B$17)</f>
        <v/>
      </c>
      <c r="G30" s="24" t="str">
        <f aca="false">IF(A30="","",N(D30)+N(F30))</f>
        <v/>
      </c>
    </row>
    <row r="31" customFormat="false" ht="15" hidden="false" customHeight="false" outlineLevel="0" collapsed="false">
      <c r="A31" s="19"/>
      <c r="B31" s="10"/>
      <c r="C31" s="10"/>
      <c r="D31" s="12"/>
      <c r="E31" s="29"/>
      <c r="F31" s="24" t="str">
        <f aca="false">IF(E31="","",E31*Settings!$B$17)</f>
        <v/>
      </c>
      <c r="G31" s="24" t="str">
        <f aca="false">IF(A31="","",N(D31)+N(F31))</f>
        <v/>
      </c>
    </row>
    <row r="32" customFormat="false" ht="15" hidden="false" customHeight="false" outlineLevel="0" collapsed="false">
      <c r="A32" s="19"/>
      <c r="B32" s="10"/>
      <c r="C32" s="10"/>
      <c r="D32" s="12"/>
      <c r="E32" s="29"/>
      <c r="F32" s="24" t="str">
        <f aca="false">IF(E32="","",E32*Settings!$B$17)</f>
        <v/>
      </c>
      <c r="G32" s="24" t="str">
        <f aca="false">IF(A32="","",N(D32)+N(F32))</f>
        <v/>
      </c>
    </row>
    <row r="33" customFormat="false" ht="15" hidden="false" customHeight="false" outlineLevel="0" collapsed="false">
      <c r="A33" s="19"/>
      <c r="B33" s="10"/>
      <c r="C33" s="10"/>
      <c r="D33" s="12"/>
      <c r="E33" s="29"/>
      <c r="F33" s="24" t="str">
        <f aca="false">IF(E33="","",E33*Settings!$B$17)</f>
        <v/>
      </c>
      <c r="G33" s="24" t="str">
        <f aca="false">IF(A33="","",N(D33)+N(F33))</f>
        <v/>
      </c>
    </row>
    <row r="34" customFormat="false" ht="15" hidden="false" customHeight="false" outlineLevel="0" collapsed="false">
      <c r="A34" s="19"/>
      <c r="B34" s="10"/>
      <c r="C34" s="10"/>
      <c r="D34" s="12"/>
      <c r="E34" s="29"/>
      <c r="F34" s="24" t="str">
        <f aca="false">IF(E34="","",E34*Settings!$B$17)</f>
        <v/>
      </c>
      <c r="G34" s="24" t="str">
        <f aca="false">IF(A34="","",N(D34)+N(F34))</f>
        <v/>
      </c>
    </row>
    <row r="35" customFormat="false" ht="15" hidden="false" customHeight="false" outlineLevel="0" collapsed="false">
      <c r="A35" s="19"/>
      <c r="B35" s="10"/>
      <c r="C35" s="10"/>
      <c r="D35" s="12"/>
      <c r="E35" s="29"/>
      <c r="F35" s="24" t="str">
        <f aca="false">IF(E35="","",E35*Settings!$B$17)</f>
        <v/>
      </c>
      <c r="G35" s="24" t="str">
        <f aca="false">IF(A35="","",N(D35)+N(F35))</f>
        <v/>
      </c>
    </row>
    <row r="36" customFormat="false" ht="15" hidden="false" customHeight="false" outlineLevel="0" collapsed="false">
      <c r="A36" s="19"/>
      <c r="B36" s="10"/>
      <c r="C36" s="10"/>
      <c r="D36" s="12"/>
      <c r="E36" s="29"/>
      <c r="F36" s="24" t="str">
        <f aca="false">IF(E36="","",E36*Settings!$B$17)</f>
        <v/>
      </c>
      <c r="G36" s="24" t="str">
        <f aca="false">IF(A36="","",N(D36)+N(F36))</f>
        <v/>
      </c>
    </row>
    <row r="37" customFormat="false" ht="15" hidden="false" customHeight="false" outlineLevel="0" collapsed="false">
      <c r="A37" s="19"/>
      <c r="B37" s="10"/>
      <c r="C37" s="10"/>
      <c r="D37" s="12"/>
      <c r="E37" s="29"/>
      <c r="F37" s="24" t="str">
        <f aca="false">IF(E37="","",E37*Settings!$B$17)</f>
        <v/>
      </c>
      <c r="G37" s="24" t="str">
        <f aca="false">IF(A37="","",N(D37)+N(F37))</f>
        <v/>
      </c>
    </row>
    <row r="38" customFormat="false" ht="15" hidden="false" customHeight="false" outlineLevel="0" collapsed="false">
      <c r="A38" s="19"/>
      <c r="B38" s="10"/>
      <c r="C38" s="10"/>
      <c r="D38" s="12"/>
      <c r="E38" s="29"/>
      <c r="F38" s="24" t="str">
        <f aca="false">IF(E38="","",E38*Settings!$B$17)</f>
        <v/>
      </c>
      <c r="G38" s="24" t="str">
        <f aca="false">IF(A38="","",N(D38)+N(F38))</f>
        <v/>
      </c>
    </row>
    <row r="39" customFormat="false" ht="15" hidden="false" customHeight="false" outlineLevel="0" collapsed="false">
      <c r="A39" s="19"/>
      <c r="B39" s="10"/>
      <c r="C39" s="10"/>
      <c r="D39" s="12"/>
      <c r="E39" s="29"/>
      <c r="F39" s="24" t="str">
        <f aca="false">IF(E39="","",E39*Settings!$B$17)</f>
        <v/>
      </c>
      <c r="G39" s="24" t="str">
        <f aca="false">IF(A39="","",N(D39)+N(F39))</f>
        <v/>
      </c>
    </row>
    <row r="40" customFormat="false" ht="15" hidden="false" customHeight="false" outlineLevel="0" collapsed="false">
      <c r="A40" s="19"/>
      <c r="B40" s="10"/>
      <c r="C40" s="10"/>
      <c r="D40" s="12"/>
      <c r="E40" s="29"/>
      <c r="F40" s="24" t="str">
        <f aca="false">IF(E40="","",E40*Settings!$B$17)</f>
        <v/>
      </c>
      <c r="G40" s="24" t="str">
        <f aca="false">IF(A40="","",N(D40)+N(F40))</f>
        <v/>
      </c>
    </row>
    <row r="41" customFormat="false" ht="15" hidden="false" customHeight="false" outlineLevel="0" collapsed="false">
      <c r="A41" s="19"/>
      <c r="B41" s="10"/>
      <c r="C41" s="10"/>
      <c r="D41" s="12"/>
      <c r="E41" s="29"/>
      <c r="F41" s="24" t="str">
        <f aca="false">IF(E41="","",E41*Settings!$B$17)</f>
        <v/>
      </c>
      <c r="G41" s="24" t="str">
        <f aca="false">IF(A41="","",N(D41)+N(F41))</f>
        <v/>
      </c>
    </row>
    <row r="42" customFormat="false" ht="15" hidden="false" customHeight="false" outlineLevel="0" collapsed="false">
      <c r="A42" s="19"/>
      <c r="B42" s="10"/>
      <c r="C42" s="10"/>
      <c r="D42" s="12"/>
      <c r="E42" s="29"/>
      <c r="F42" s="24" t="str">
        <f aca="false">IF(E42="","",E42*Settings!$B$17)</f>
        <v/>
      </c>
      <c r="G42" s="24" t="str">
        <f aca="false">IF(A42="","",N(D42)+N(F42))</f>
        <v/>
      </c>
    </row>
    <row r="43" customFormat="false" ht="15" hidden="false" customHeight="false" outlineLevel="0" collapsed="false">
      <c r="A43" s="19"/>
      <c r="B43" s="10"/>
      <c r="C43" s="10"/>
      <c r="D43" s="12"/>
      <c r="E43" s="29"/>
      <c r="F43" s="24" t="str">
        <f aca="false">IF(E43="","",E43*Settings!$B$17)</f>
        <v/>
      </c>
      <c r="G43" s="24" t="str">
        <f aca="false">IF(A43="","",N(D43)+N(F43))</f>
        <v/>
      </c>
    </row>
    <row r="44" customFormat="false" ht="15" hidden="false" customHeight="false" outlineLevel="0" collapsed="false">
      <c r="A44" s="19"/>
      <c r="B44" s="10"/>
      <c r="C44" s="10"/>
      <c r="D44" s="12"/>
      <c r="E44" s="29"/>
      <c r="F44" s="24" t="str">
        <f aca="false">IF(E44="","",E44*Settings!$B$17)</f>
        <v/>
      </c>
      <c r="G44" s="24" t="str">
        <f aca="false">IF(A44="","",N(D44)+N(F44))</f>
        <v/>
      </c>
    </row>
    <row r="45" customFormat="false" ht="15" hidden="false" customHeight="false" outlineLevel="0" collapsed="false">
      <c r="A45" s="19"/>
      <c r="B45" s="10"/>
      <c r="C45" s="10"/>
      <c r="D45" s="12"/>
      <c r="E45" s="29"/>
      <c r="F45" s="24" t="str">
        <f aca="false">IF(E45="","",E45*Settings!$B$17)</f>
        <v/>
      </c>
      <c r="G45" s="24" t="str">
        <f aca="false">IF(A45="","",N(D45)+N(F45))</f>
        <v/>
      </c>
    </row>
    <row r="46" customFormat="false" ht="15" hidden="false" customHeight="false" outlineLevel="0" collapsed="false">
      <c r="A46" s="19"/>
      <c r="B46" s="10"/>
      <c r="C46" s="10"/>
      <c r="D46" s="12"/>
      <c r="E46" s="29"/>
      <c r="F46" s="24" t="str">
        <f aca="false">IF(E46="","",E46*Settings!$B$17)</f>
        <v/>
      </c>
      <c r="G46" s="24" t="str">
        <f aca="false">IF(A46="","",N(D46)+N(F46))</f>
        <v/>
      </c>
    </row>
    <row r="47" customFormat="false" ht="15" hidden="false" customHeight="false" outlineLevel="0" collapsed="false">
      <c r="A47" s="19"/>
      <c r="B47" s="10"/>
      <c r="C47" s="10"/>
      <c r="D47" s="12"/>
      <c r="E47" s="29"/>
      <c r="F47" s="24" t="str">
        <f aca="false">IF(E47="","",E47*Settings!$B$17)</f>
        <v/>
      </c>
      <c r="G47" s="24" t="str">
        <f aca="false">IF(A47="","",N(D47)+N(F47))</f>
        <v/>
      </c>
    </row>
    <row r="48" customFormat="false" ht="15" hidden="false" customHeight="false" outlineLevel="0" collapsed="false">
      <c r="A48" s="19"/>
      <c r="B48" s="10"/>
      <c r="C48" s="10"/>
      <c r="D48" s="12"/>
      <c r="E48" s="29"/>
      <c r="F48" s="24" t="str">
        <f aca="false">IF(E48="","",E48*Settings!$B$17)</f>
        <v/>
      </c>
      <c r="G48" s="24" t="str">
        <f aca="false">IF(A48="","",N(D48)+N(F48))</f>
        <v/>
      </c>
    </row>
    <row r="49" customFormat="false" ht="15" hidden="false" customHeight="false" outlineLevel="0" collapsed="false">
      <c r="A49" s="19"/>
      <c r="B49" s="10"/>
      <c r="C49" s="10"/>
      <c r="D49" s="12"/>
      <c r="E49" s="29"/>
      <c r="F49" s="24" t="str">
        <f aca="false">IF(E49="","",E49*Settings!$B$17)</f>
        <v/>
      </c>
      <c r="G49" s="24" t="str">
        <f aca="false">IF(A49="","",N(D49)+N(F49))</f>
        <v/>
      </c>
    </row>
    <row r="50" customFormat="false" ht="15" hidden="false" customHeight="false" outlineLevel="0" collapsed="false">
      <c r="A50" s="19"/>
      <c r="B50" s="10"/>
      <c r="C50" s="10"/>
      <c r="D50" s="12"/>
      <c r="E50" s="29"/>
      <c r="F50" s="24" t="str">
        <f aca="false">IF(E50="","",E50*Settings!$B$17)</f>
        <v/>
      </c>
      <c r="G50" s="24" t="str">
        <f aca="false">IF(A50="","",N(D50)+N(F50))</f>
        <v/>
      </c>
    </row>
    <row r="51" customFormat="false" ht="15" hidden="false" customHeight="false" outlineLevel="0" collapsed="false">
      <c r="A51" s="19"/>
      <c r="B51" s="10"/>
      <c r="C51" s="10"/>
      <c r="D51" s="12"/>
      <c r="E51" s="29"/>
      <c r="F51" s="24" t="str">
        <f aca="false">IF(E51="","",E51*Settings!$B$17)</f>
        <v/>
      </c>
      <c r="G51" s="24" t="str">
        <f aca="false">IF(A51="","",N(D51)+N(F51))</f>
        <v/>
      </c>
    </row>
    <row r="52" customFormat="false" ht="15" hidden="false" customHeight="false" outlineLevel="0" collapsed="false">
      <c r="A52" s="19"/>
      <c r="B52" s="10"/>
      <c r="C52" s="10"/>
      <c r="D52" s="12"/>
      <c r="E52" s="29"/>
      <c r="F52" s="24" t="str">
        <f aca="false">IF(E52="","",E52*Settings!$B$17)</f>
        <v/>
      </c>
      <c r="G52" s="24" t="str">
        <f aca="false">IF(A52="","",N(D52)+N(F52))</f>
        <v/>
      </c>
    </row>
    <row r="53" customFormat="false" ht="15" hidden="false" customHeight="false" outlineLevel="0" collapsed="false">
      <c r="A53" s="19"/>
      <c r="B53" s="10"/>
      <c r="C53" s="10"/>
      <c r="D53" s="12"/>
      <c r="E53" s="29"/>
      <c r="F53" s="24" t="str">
        <f aca="false">IF(E53="","",E53*Settings!$B$17)</f>
        <v/>
      </c>
      <c r="G53" s="24" t="str">
        <f aca="false">IF(A53="","",N(D53)+N(F53))</f>
        <v/>
      </c>
    </row>
    <row r="54" customFormat="false" ht="15" hidden="false" customHeight="false" outlineLevel="0" collapsed="false">
      <c r="A54" s="19"/>
      <c r="B54" s="10"/>
      <c r="C54" s="10"/>
      <c r="D54" s="12"/>
      <c r="E54" s="29"/>
      <c r="F54" s="24" t="str">
        <f aca="false">IF(E54="","",E54*Settings!$B$17)</f>
        <v/>
      </c>
      <c r="G54" s="24" t="str">
        <f aca="false">IF(A54="","",N(D54)+N(F54))</f>
        <v/>
      </c>
    </row>
    <row r="55" customFormat="false" ht="15" hidden="false" customHeight="false" outlineLevel="0" collapsed="false">
      <c r="A55" s="19"/>
      <c r="B55" s="10"/>
      <c r="C55" s="10"/>
      <c r="D55" s="12"/>
      <c r="E55" s="29"/>
      <c r="F55" s="24" t="str">
        <f aca="false">IF(E55="","",E55*Settings!$B$17)</f>
        <v/>
      </c>
      <c r="G55" s="24" t="str">
        <f aca="false">IF(A55="","",N(D55)+N(F55))</f>
        <v/>
      </c>
    </row>
    <row r="56" customFormat="false" ht="15" hidden="false" customHeight="false" outlineLevel="0" collapsed="false">
      <c r="A56" s="19"/>
      <c r="B56" s="10"/>
      <c r="C56" s="10"/>
      <c r="D56" s="12"/>
      <c r="E56" s="29"/>
      <c r="F56" s="24" t="str">
        <f aca="false">IF(E56="","",E56*Settings!$B$17)</f>
        <v/>
      </c>
      <c r="G56" s="24" t="str">
        <f aca="false">IF(A56="","",N(D56)+N(F56))</f>
        <v/>
      </c>
    </row>
    <row r="57" customFormat="false" ht="15" hidden="false" customHeight="false" outlineLevel="0" collapsed="false">
      <c r="A57" s="19"/>
      <c r="B57" s="10"/>
      <c r="C57" s="10"/>
      <c r="D57" s="12"/>
      <c r="E57" s="29"/>
      <c r="F57" s="24" t="str">
        <f aca="false">IF(E57="","",E57*Settings!$B$17)</f>
        <v/>
      </c>
      <c r="G57" s="24" t="str">
        <f aca="false">IF(A57="","",N(D57)+N(F57))</f>
        <v/>
      </c>
    </row>
    <row r="58" customFormat="false" ht="15" hidden="false" customHeight="false" outlineLevel="0" collapsed="false">
      <c r="A58" s="19"/>
      <c r="B58" s="10"/>
      <c r="C58" s="10"/>
      <c r="D58" s="12"/>
      <c r="E58" s="29"/>
      <c r="F58" s="24" t="str">
        <f aca="false">IF(E58="","",E58*Settings!$B$17)</f>
        <v/>
      </c>
      <c r="G58" s="24" t="str">
        <f aca="false">IF(A58="","",N(D58)+N(F58))</f>
        <v/>
      </c>
    </row>
    <row r="59" customFormat="false" ht="15" hidden="false" customHeight="false" outlineLevel="0" collapsed="false">
      <c r="A59" s="19"/>
      <c r="B59" s="10"/>
      <c r="C59" s="10"/>
      <c r="D59" s="12"/>
      <c r="E59" s="29"/>
      <c r="F59" s="24" t="str">
        <f aca="false">IF(E59="","",E59*Settings!$B$17)</f>
        <v/>
      </c>
      <c r="G59" s="24" t="str">
        <f aca="false">IF(A59="","",N(D59)+N(F59))</f>
        <v/>
      </c>
    </row>
    <row r="60" customFormat="false" ht="15" hidden="false" customHeight="false" outlineLevel="0" collapsed="false">
      <c r="A60" s="19"/>
      <c r="B60" s="10"/>
      <c r="C60" s="10"/>
      <c r="D60" s="12"/>
      <c r="E60" s="29"/>
      <c r="F60" s="24" t="str">
        <f aca="false">IF(E60="","",E60*Settings!$B$17)</f>
        <v/>
      </c>
      <c r="G60" s="24" t="str">
        <f aca="false">IF(A60="","",N(D60)+N(F60))</f>
        <v/>
      </c>
    </row>
    <row r="61" customFormat="false" ht="15" hidden="false" customHeight="false" outlineLevel="0" collapsed="false">
      <c r="A61" s="19"/>
      <c r="B61" s="10"/>
      <c r="C61" s="10"/>
      <c r="D61" s="12"/>
      <c r="E61" s="29"/>
      <c r="F61" s="24" t="str">
        <f aca="false">IF(E61="","",E61*Settings!$B$17)</f>
        <v/>
      </c>
      <c r="G61" s="24" t="str">
        <f aca="false">IF(A61="","",N(D61)+N(F61))</f>
        <v/>
      </c>
    </row>
    <row r="62" customFormat="false" ht="15" hidden="false" customHeight="false" outlineLevel="0" collapsed="false">
      <c r="A62" s="19"/>
      <c r="B62" s="10"/>
      <c r="C62" s="10"/>
      <c r="D62" s="12"/>
      <c r="E62" s="29"/>
      <c r="F62" s="24" t="str">
        <f aca="false">IF(E62="","",E62*Settings!$B$17)</f>
        <v/>
      </c>
      <c r="G62" s="24" t="str">
        <f aca="false">IF(A62="","",N(D62)+N(F62))</f>
        <v/>
      </c>
    </row>
    <row r="63" customFormat="false" ht="15" hidden="false" customHeight="false" outlineLevel="0" collapsed="false">
      <c r="A63" s="19"/>
      <c r="B63" s="10"/>
      <c r="C63" s="10"/>
      <c r="D63" s="12"/>
      <c r="E63" s="29"/>
      <c r="F63" s="24" t="str">
        <f aca="false">IF(E63="","",E63*Settings!$B$17)</f>
        <v/>
      </c>
      <c r="G63" s="24" t="str">
        <f aca="false">IF(A63="","",N(D63)+N(F63))</f>
        <v/>
      </c>
    </row>
    <row r="64" customFormat="false" ht="15" hidden="false" customHeight="false" outlineLevel="0" collapsed="false">
      <c r="A64" s="19"/>
      <c r="B64" s="10"/>
      <c r="C64" s="10"/>
      <c r="D64" s="12"/>
      <c r="E64" s="29"/>
      <c r="F64" s="24" t="str">
        <f aca="false">IF(E64="","",E64*Settings!$B$17)</f>
        <v/>
      </c>
      <c r="G64" s="24" t="str">
        <f aca="false">IF(A64="","",N(D64)+N(F64))</f>
        <v/>
      </c>
    </row>
    <row r="65" customFormat="false" ht="15" hidden="false" customHeight="false" outlineLevel="0" collapsed="false">
      <c r="A65" s="19"/>
      <c r="B65" s="10"/>
      <c r="C65" s="10"/>
      <c r="D65" s="12"/>
      <c r="E65" s="29"/>
      <c r="F65" s="24" t="str">
        <f aca="false">IF(E65="","",E65*Settings!$B$17)</f>
        <v/>
      </c>
      <c r="G65" s="24" t="str">
        <f aca="false">IF(A65="","",N(D65)+N(F65))</f>
        <v/>
      </c>
    </row>
    <row r="66" customFormat="false" ht="15" hidden="false" customHeight="false" outlineLevel="0" collapsed="false">
      <c r="A66" s="19"/>
      <c r="B66" s="10"/>
      <c r="C66" s="10"/>
      <c r="D66" s="12"/>
      <c r="E66" s="29"/>
      <c r="F66" s="24" t="str">
        <f aca="false">IF(E66="","",E66*Settings!$B$17)</f>
        <v/>
      </c>
      <c r="G66" s="24" t="str">
        <f aca="false">IF(A66="","",N(D66)+N(F66))</f>
        <v/>
      </c>
    </row>
    <row r="67" customFormat="false" ht="15" hidden="false" customHeight="false" outlineLevel="0" collapsed="false">
      <c r="A67" s="19"/>
      <c r="B67" s="10"/>
      <c r="C67" s="10"/>
      <c r="D67" s="12"/>
      <c r="E67" s="29"/>
      <c r="F67" s="24" t="str">
        <f aca="false">IF(E67="","",E67*Settings!$B$17)</f>
        <v/>
      </c>
      <c r="G67" s="24" t="str">
        <f aca="false">IF(A67="","",N(D67)+N(F67))</f>
        <v/>
      </c>
    </row>
    <row r="68" customFormat="false" ht="15" hidden="false" customHeight="false" outlineLevel="0" collapsed="false">
      <c r="A68" s="19"/>
      <c r="B68" s="10"/>
      <c r="C68" s="10"/>
      <c r="D68" s="12"/>
      <c r="E68" s="29"/>
      <c r="F68" s="24" t="str">
        <f aca="false">IF(E68="","",E68*Settings!$B$17)</f>
        <v/>
      </c>
      <c r="G68" s="24" t="str">
        <f aca="false">IF(A68="","",N(D68)+N(F68))</f>
        <v/>
      </c>
    </row>
    <row r="69" customFormat="false" ht="15" hidden="false" customHeight="false" outlineLevel="0" collapsed="false">
      <c r="A69" s="19"/>
      <c r="B69" s="10"/>
      <c r="C69" s="10"/>
      <c r="D69" s="12"/>
      <c r="E69" s="29"/>
      <c r="F69" s="24" t="str">
        <f aca="false">IF(E69="","",E69*Settings!$B$17)</f>
        <v/>
      </c>
      <c r="G69" s="24" t="str">
        <f aca="false">IF(A69="","",N(D69)+N(F69))</f>
        <v/>
      </c>
    </row>
    <row r="70" customFormat="false" ht="15" hidden="false" customHeight="false" outlineLevel="0" collapsed="false">
      <c r="A70" s="19"/>
      <c r="B70" s="10"/>
      <c r="C70" s="10"/>
      <c r="D70" s="12"/>
      <c r="E70" s="29"/>
      <c r="F70" s="24" t="str">
        <f aca="false">IF(E70="","",E70*Settings!$B$17)</f>
        <v/>
      </c>
      <c r="G70" s="24" t="str">
        <f aca="false">IF(A70="","",N(D70)+N(F70))</f>
        <v/>
      </c>
    </row>
    <row r="71" customFormat="false" ht="15" hidden="false" customHeight="false" outlineLevel="0" collapsed="false">
      <c r="A71" s="19"/>
      <c r="B71" s="10"/>
      <c r="C71" s="10"/>
      <c r="D71" s="12"/>
      <c r="E71" s="29"/>
      <c r="F71" s="24" t="str">
        <f aca="false">IF(E71="","",E71*Settings!$B$17)</f>
        <v/>
      </c>
      <c r="G71" s="24" t="str">
        <f aca="false">IF(A71="","",N(D71)+N(F71))</f>
        <v/>
      </c>
    </row>
    <row r="72" customFormat="false" ht="15" hidden="false" customHeight="false" outlineLevel="0" collapsed="false">
      <c r="A72" s="19"/>
      <c r="B72" s="10"/>
      <c r="C72" s="10"/>
      <c r="D72" s="12"/>
      <c r="E72" s="29"/>
      <c r="F72" s="24" t="str">
        <f aca="false">IF(E72="","",E72*Settings!$B$17)</f>
        <v/>
      </c>
      <c r="G72" s="24" t="str">
        <f aca="false">IF(A72="","",N(D72)+N(F72))</f>
        <v/>
      </c>
    </row>
    <row r="73" customFormat="false" ht="15" hidden="false" customHeight="false" outlineLevel="0" collapsed="false">
      <c r="A73" s="19"/>
      <c r="B73" s="10"/>
      <c r="C73" s="10"/>
      <c r="D73" s="12"/>
      <c r="E73" s="29"/>
      <c r="F73" s="24" t="str">
        <f aca="false">IF(E73="","",E73*Settings!$B$17)</f>
        <v/>
      </c>
      <c r="G73" s="24" t="str">
        <f aca="false">IF(A73="","",N(D73)+N(F73))</f>
        <v/>
      </c>
    </row>
    <row r="74" customFormat="false" ht="15" hidden="false" customHeight="false" outlineLevel="0" collapsed="false">
      <c r="A74" s="19"/>
      <c r="B74" s="10"/>
      <c r="C74" s="10"/>
      <c r="D74" s="12"/>
      <c r="E74" s="29"/>
      <c r="F74" s="24" t="str">
        <f aca="false">IF(E74="","",E74*Settings!$B$17)</f>
        <v/>
      </c>
      <c r="G74" s="24" t="str">
        <f aca="false">IF(A74="","",N(D74)+N(F74))</f>
        <v/>
      </c>
    </row>
    <row r="75" customFormat="false" ht="15" hidden="false" customHeight="false" outlineLevel="0" collapsed="false">
      <c r="A75" s="19"/>
      <c r="B75" s="10"/>
      <c r="C75" s="10"/>
      <c r="D75" s="12"/>
      <c r="E75" s="29"/>
      <c r="F75" s="24" t="str">
        <f aca="false">IF(E75="","",E75*Settings!$B$17)</f>
        <v/>
      </c>
      <c r="G75" s="24" t="str">
        <f aca="false">IF(A75="","",N(D75)+N(F75))</f>
        <v/>
      </c>
    </row>
    <row r="76" customFormat="false" ht="15" hidden="false" customHeight="false" outlineLevel="0" collapsed="false">
      <c r="A76" s="19"/>
      <c r="B76" s="10"/>
      <c r="C76" s="10"/>
      <c r="D76" s="12"/>
      <c r="E76" s="29"/>
      <c r="F76" s="24" t="str">
        <f aca="false">IF(E76="","",E76*Settings!$B$17)</f>
        <v/>
      </c>
      <c r="G76" s="24" t="str">
        <f aca="false">IF(A76="","",N(D76)+N(F76))</f>
        <v/>
      </c>
    </row>
    <row r="77" customFormat="false" ht="15" hidden="false" customHeight="false" outlineLevel="0" collapsed="false">
      <c r="A77" s="19"/>
      <c r="B77" s="10"/>
      <c r="C77" s="10"/>
      <c r="D77" s="12"/>
      <c r="E77" s="29"/>
      <c r="F77" s="24" t="str">
        <f aca="false">IF(E77="","",E77*Settings!$B$17)</f>
        <v/>
      </c>
      <c r="G77" s="24" t="str">
        <f aca="false">IF(A77="","",N(D77)+N(F77))</f>
        <v/>
      </c>
    </row>
    <row r="78" customFormat="false" ht="15" hidden="false" customHeight="false" outlineLevel="0" collapsed="false">
      <c r="A78" s="19"/>
      <c r="B78" s="10"/>
      <c r="C78" s="10"/>
      <c r="D78" s="12"/>
      <c r="E78" s="29"/>
      <c r="F78" s="24" t="str">
        <f aca="false">IF(E78="","",E78*Settings!$B$17)</f>
        <v/>
      </c>
      <c r="G78" s="24" t="str">
        <f aca="false">IF(A78="","",N(D78)+N(F78))</f>
        <v/>
      </c>
    </row>
    <row r="79" customFormat="false" ht="15" hidden="false" customHeight="false" outlineLevel="0" collapsed="false">
      <c r="A79" s="19"/>
      <c r="B79" s="10"/>
      <c r="C79" s="10"/>
      <c r="D79" s="12"/>
      <c r="E79" s="29"/>
      <c r="F79" s="24" t="str">
        <f aca="false">IF(E79="","",E79*Settings!$B$17)</f>
        <v/>
      </c>
      <c r="G79" s="24" t="str">
        <f aca="false">IF(A79="","",N(D79)+N(F79))</f>
        <v/>
      </c>
    </row>
    <row r="80" customFormat="false" ht="15" hidden="false" customHeight="false" outlineLevel="0" collapsed="false">
      <c r="A80" s="19"/>
      <c r="B80" s="10"/>
      <c r="C80" s="10"/>
      <c r="D80" s="12"/>
      <c r="E80" s="29"/>
      <c r="F80" s="24" t="str">
        <f aca="false">IF(E80="","",E80*Settings!$B$17)</f>
        <v/>
      </c>
      <c r="G80" s="24" t="str">
        <f aca="false">IF(A80="","",N(D80)+N(F80))</f>
        <v/>
      </c>
    </row>
    <row r="81" customFormat="false" ht="15" hidden="false" customHeight="false" outlineLevel="0" collapsed="false">
      <c r="A81" s="19"/>
      <c r="B81" s="10"/>
      <c r="C81" s="10"/>
      <c r="D81" s="12"/>
      <c r="E81" s="29"/>
      <c r="F81" s="24" t="str">
        <f aca="false">IF(E81="","",E81*Settings!$B$17)</f>
        <v/>
      </c>
      <c r="G81" s="24" t="str">
        <f aca="false">IF(A81="","",N(D81)+N(F81))</f>
        <v/>
      </c>
    </row>
    <row r="82" customFormat="false" ht="15" hidden="false" customHeight="false" outlineLevel="0" collapsed="false">
      <c r="A82" s="19"/>
      <c r="B82" s="10"/>
      <c r="C82" s="10"/>
      <c r="D82" s="12"/>
      <c r="E82" s="29"/>
      <c r="F82" s="24" t="str">
        <f aca="false">IF(E82="","",E82*Settings!$B$17)</f>
        <v/>
      </c>
      <c r="G82" s="24" t="str">
        <f aca="false">IF(A82="","",N(D82)+N(F82))</f>
        <v/>
      </c>
    </row>
    <row r="83" customFormat="false" ht="15" hidden="false" customHeight="false" outlineLevel="0" collapsed="false">
      <c r="A83" s="19"/>
      <c r="B83" s="10"/>
      <c r="C83" s="10"/>
      <c r="D83" s="12"/>
      <c r="E83" s="29"/>
      <c r="F83" s="24" t="str">
        <f aca="false">IF(E83="","",E83*Settings!$B$17)</f>
        <v/>
      </c>
      <c r="G83" s="24" t="str">
        <f aca="false">IF(A83="","",N(D83)+N(F83))</f>
        <v/>
      </c>
    </row>
    <row r="84" customFormat="false" ht="15" hidden="false" customHeight="false" outlineLevel="0" collapsed="false">
      <c r="A84" s="19"/>
      <c r="B84" s="10"/>
      <c r="C84" s="10"/>
      <c r="D84" s="12"/>
      <c r="E84" s="29"/>
      <c r="F84" s="24" t="str">
        <f aca="false">IF(E84="","",E84*Settings!$B$17)</f>
        <v/>
      </c>
      <c r="G84" s="24" t="str">
        <f aca="false">IF(A84="","",N(D84)+N(F84))</f>
        <v/>
      </c>
    </row>
    <row r="85" customFormat="false" ht="15" hidden="false" customHeight="false" outlineLevel="0" collapsed="false">
      <c r="A85" s="19"/>
      <c r="B85" s="10"/>
      <c r="C85" s="10"/>
      <c r="D85" s="12"/>
      <c r="E85" s="29"/>
      <c r="F85" s="24" t="str">
        <f aca="false">IF(E85="","",E85*Settings!$B$17)</f>
        <v/>
      </c>
      <c r="G85" s="24" t="str">
        <f aca="false">IF(A85="","",N(D85)+N(F85))</f>
        <v/>
      </c>
    </row>
    <row r="86" customFormat="false" ht="15" hidden="false" customHeight="false" outlineLevel="0" collapsed="false">
      <c r="A86" s="19"/>
      <c r="B86" s="10"/>
      <c r="C86" s="10"/>
      <c r="D86" s="12"/>
      <c r="E86" s="29"/>
      <c r="F86" s="24" t="str">
        <f aca="false">IF(E86="","",E86*Settings!$B$17)</f>
        <v/>
      </c>
      <c r="G86" s="24" t="str">
        <f aca="false">IF(A86="","",N(D86)+N(F86))</f>
        <v/>
      </c>
    </row>
    <row r="87" customFormat="false" ht="15" hidden="false" customHeight="false" outlineLevel="0" collapsed="false">
      <c r="A87" s="19"/>
      <c r="B87" s="10"/>
      <c r="C87" s="10"/>
      <c r="D87" s="12"/>
      <c r="E87" s="29"/>
      <c r="F87" s="24" t="str">
        <f aca="false">IF(E87="","",E87*Settings!$B$17)</f>
        <v/>
      </c>
      <c r="G87" s="24" t="str">
        <f aca="false">IF(A87="","",N(D87)+N(F87))</f>
        <v/>
      </c>
    </row>
    <row r="88" customFormat="false" ht="15" hidden="false" customHeight="false" outlineLevel="0" collapsed="false">
      <c r="A88" s="19"/>
      <c r="B88" s="10"/>
      <c r="C88" s="10"/>
      <c r="D88" s="12"/>
      <c r="E88" s="29"/>
      <c r="F88" s="24" t="str">
        <f aca="false">IF(E88="","",E88*Settings!$B$17)</f>
        <v/>
      </c>
      <c r="G88" s="24" t="str">
        <f aca="false">IF(A88="","",N(D88)+N(F88))</f>
        <v/>
      </c>
    </row>
    <row r="89" customFormat="false" ht="15" hidden="false" customHeight="false" outlineLevel="0" collapsed="false">
      <c r="A89" s="19"/>
      <c r="B89" s="10"/>
      <c r="C89" s="10"/>
      <c r="D89" s="12"/>
      <c r="E89" s="29"/>
      <c r="F89" s="24" t="str">
        <f aca="false">IF(E89="","",E89*Settings!$B$17)</f>
        <v/>
      </c>
      <c r="G89" s="24" t="str">
        <f aca="false">IF(A89="","",N(D89)+N(F89))</f>
        <v/>
      </c>
    </row>
    <row r="90" customFormat="false" ht="15" hidden="false" customHeight="false" outlineLevel="0" collapsed="false">
      <c r="A90" s="19"/>
      <c r="B90" s="10"/>
      <c r="C90" s="10"/>
      <c r="D90" s="12"/>
      <c r="E90" s="29"/>
      <c r="F90" s="24" t="str">
        <f aca="false">IF(E90="","",E90*Settings!$B$17)</f>
        <v/>
      </c>
      <c r="G90" s="24" t="str">
        <f aca="false">IF(A90="","",N(D90)+N(F90))</f>
        <v/>
      </c>
    </row>
    <row r="91" customFormat="false" ht="15" hidden="false" customHeight="false" outlineLevel="0" collapsed="false">
      <c r="A91" s="19"/>
      <c r="B91" s="10"/>
      <c r="C91" s="10"/>
      <c r="D91" s="12"/>
      <c r="E91" s="29"/>
      <c r="F91" s="24" t="str">
        <f aca="false">IF(E91="","",E91*Settings!$B$17)</f>
        <v/>
      </c>
      <c r="G91" s="24" t="str">
        <f aca="false">IF(A91="","",N(D91)+N(F91))</f>
        <v/>
      </c>
    </row>
    <row r="92" customFormat="false" ht="15" hidden="false" customHeight="false" outlineLevel="0" collapsed="false">
      <c r="A92" s="19"/>
      <c r="B92" s="10"/>
      <c r="C92" s="10"/>
      <c r="D92" s="12"/>
      <c r="E92" s="29"/>
      <c r="F92" s="24" t="str">
        <f aca="false">IF(E92="","",E92*Settings!$B$17)</f>
        <v/>
      </c>
      <c r="G92" s="24" t="str">
        <f aca="false">IF(A92="","",N(D92)+N(F92))</f>
        <v/>
      </c>
    </row>
    <row r="93" customFormat="false" ht="15" hidden="false" customHeight="false" outlineLevel="0" collapsed="false">
      <c r="A93" s="19"/>
      <c r="B93" s="10"/>
      <c r="C93" s="10"/>
      <c r="D93" s="12"/>
      <c r="E93" s="29"/>
      <c r="F93" s="24" t="str">
        <f aca="false">IF(E93="","",E93*Settings!$B$17)</f>
        <v/>
      </c>
      <c r="G93" s="24" t="str">
        <f aca="false">IF(A93="","",N(D93)+N(F93))</f>
        <v/>
      </c>
    </row>
    <row r="94" customFormat="false" ht="15" hidden="false" customHeight="false" outlineLevel="0" collapsed="false">
      <c r="A94" s="19"/>
      <c r="B94" s="10"/>
      <c r="C94" s="10"/>
      <c r="D94" s="12"/>
      <c r="E94" s="29"/>
      <c r="F94" s="24" t="str">
        <f aca="false">IF(E94="","",E94*Settings!$B$17)</f>
        <v/>
      </c>
      <c r="G94" s="24" t="str">
        <f aca="false">IF(A94="","",N(D94)+N(F94))</f>
        <v/>
      </c>
    </row>
    <row r="95" customFormat="false" ht="15" hidden="false" customHeight="false" outlineLevel="0" collapsed="false">
      <c r="A95" s="19"/>
      <c r="B95" s="10"/>
      <c r="C95" s="10"/>
      <c r="D95" s="12"/>
      <c r="E95" s="29"/>
      <c r="F95" s="24" t="str">
        <f aca="false">IF(E95="","",E95*Settings!$B$17)</f>
        <v/>
      </c>
      <c r="G95" s="24" t="str">
        <f aca="false">IF(A95="","",N(D95)+N(F95))</f>
        <v/>
      </c>
    </row>
    <row r="96" customFormat="false" ht="15" hidden="false" customHeight="false" outlineLevel="0" collapsed="false">
      <c r="A96" s="19"/>
      <c r="B96" s="10"/>
      <c r="C96" s="10"/>
      <c r="D96" s="12"/>
      <c r="E96" s="29"/>
      <c r="F96" s="24" t="str">
        <f aca="false">IF(E96="","",E96*Settings!$B$17)</f>
        <v/>
      </c>
      <c r="G96" s="24" t="str">
        <f aca="false">IF(A96="","",N(D96)+N(F96))</f>
        <v/>
      </c>
    </row>
    <row r="97" customFormat="false" ht="15" hidden="false" customHeight="false" outlineLevel="0" collapsed="false">
      <c r="A97" s="19"/>
      <c r="B97" s="10"/>
      <c r="C97" s="10"/>
      <c r="D97" s="12"/>
      <c r="E97" s="29"/>
      <c r="F97" s="24" t="str">
        <f aca="false">IF(E97="","",E97*Settings!$B$17)</f>
        <v/>
      </c>
      <c r="G97" s="24" t="str">
        <f aca="false">IF(A97="","",N(D97)+N(F97))</f>
        <v/>
      </c>
    </row>
    <row r="98" customFormat="false" ht="15" hidden="false" customHeight="false" outlineLevel="0" collapsed="false">
      <c r="A98" s="19"/>
      <c r="B98" s="10"/>
      <c r="C98" s="10"/>
      <c r="D98" s="12"/>
      <c r="E98" s="29"/>
      <c r="F98" s="24" t="str">
        <f aca="false">IF(E98="","",E98*Settings!$B$17)</f>
        <v/>
      </c>
      <c r="G98" s="24" t="str">
        <f aca="false">IF(A98="","",N(D98)+N(F98))</f>
        <v/>
      </c>
    </row>
    <row r="99" customFormat="false" ht="15" hidden="false" customHeight="false" outlineLevel="0" collapsed="false">
      <c r="A99" s="19"/>
      <c r="B99" s="10"/>
      <c r="C99" s="10"/>
      <c r="D99" s="12"/>
      <c r="E99" s="29"/>
      <c r="F99" s="24" t="str">
        <f aca="false">IF(E99="","",E99*Settings!$B$17)</f>
        <v/>
      </c>
      <c r="G99" s="24" t="str">
        <f aca="false">IF(A99="","",N(D99)+N(F99))</f>
        <v/>
      </c>
    </row>
    <row r="100" customFormat="false" ht="15" hidden="false" customHeight="false" outlineLevel="0" collapsed="false">
      <c r="A100" s="19"/>
      <c r="B100" s="10"/>
      <c r="C100" s="10"/>
      <c r="D100" s="12"/>
      <c r="E100" s="29"/>
      <c r="F100" s="24" t="str">
        <f aca="false">IF(E100="","",E100*Settings!$B$17)</f>
        <v/>
      </c>
      <c r="G100" s="24" t="str">
        <f aca="false">IF(A100="","",N(D100)+N(F100))</f>
        <v/>
      </c>
    </row>
    <row r="101" customFormat="false" ht="15" hidden="false" customHeight="false" outlineLevel="0" collapsed="false">
      <c r="A101" s="19"/>
      <c r="B101" s="10"/>
      <c r="C101" s="10"/>
      <c r="D101" s="12"/>
      <c r="E101" s="29"/>
      <c r="F101" s="24" t="str">
        <f aca="false">IF(E101="","",E101*Settings!$B$17)</f>
        <v/>
      </c>
      <c r="G101" s="24" t="str">
        <f aca="false">IF(A101="","",N(D101)+N(F101))</f>
        <v/>
      </c>
    </row>
    <row r="102" customFormat="false" ht="15" hidden="false" customHeight="false" outlineLevel="0" collapsed="false">
      <c r="A102" s="19"/>
      <c r="B102" s="10"/>
      <c r="C102" s="10"/>
      <c r="D102" s="12"/>
      <c r="E102" s="29"/>
      <c r="F102" s="24" t="str">
        <f aca="false">IF(E102="","",E102*Settings!$B$17)</f>
        <v/>
      </c>
      <c r="G102" s="24" t="str">
        <f aca="false">IF(A102="","",N(D102)+N(F102))</f>
        <v/>
      </c>
    </row>
    <row r="103" customFormat="false" ht="15" hidden="false" customHeight="false" outlineLevel="0" collapsed="false">
      <c r="A103" s="19"/>
      <c r="B103" s="10"/>
      <c r="C103" s="10"/>
      <c r="D103" s="12"/>
      <c r="E103" s="29"/>
      <c r="F103" s="24" t="str">
        <f aca="false">IF(E103="","",E103*Settings!$B$17)</f>
        <v/>
      </c>
      <c r="G103" s="24" t="str">
        <f aca="false">IF(A103="","",N(D103)+N(F103))</f>
        <v/>
      </c>
    </row>
    <row r="104" customFormat="false" ht="15" hidden="false" customHeight="false" outlineLevel="0" collapsed="false">
      <c r="A104" s="19"/>
      <c r="B104" s="10"/>
      <c r="C104" s="10"/>
      <c r="D104" s="12"/>
      <c r="E104" s="29"/>
      <c r="F104" s="24" t="str">
        <f aca="false">IF(E104="","",E104*Settings!$B$17)</f>
        <v/>
      </c>
      <c r="G104" s="24" t="str">
        <f aca="false">IF(A104="","",N(D104)+N(F104))</f>
        <v/>
      </c>
    </row>
    <row r="105" customFormat="false" ht="15" hidden="false" customHeight="false" outlineLevel="0" collapsed="false">
      <c r="A105" s="19"/>
      <c r="B105" s="10"/>
      <c r="C105" s="10"/>
      <c r="D105" s="12"/>
      <c r="E105" s="29"/>
      <c r="F105" s="24" t="str">
        <f aca="false">IF(E105="","",E105*Settings!$B$17)</f>
        <v/>
      </c>
      <c r="G105" s="24" t="str">
        <f aca="false">IF(A105="","",N(D105)+N(F105))</f>
        <v/>
      </c>
    </row>
    <row r="106" customFormat="false" ht="15" hidden="false" customHeight="false" outlineLevel="0" collapsed="false">
      <c r="A106" s="19"/>
      <c r="B106" s="10"/>
      <c r="C106" s="10"/>
      <c r="D106" s="12"/>
      <c r="E106" s="29"/>
      <c r="F106" s="24" t="str">
        <f aca="false">IF(E106="","",E106*Settings!$B$17)</f>
        <v/>
      </c>
      <c r="G106" s="24" t="str">
        <f aca="false">IF(A106="","",N(D106)+N(F106))</f>
        <v/>
      </c>
    </row>
    <row r="107" customFormat="false" ht="15" hidden="false" customHeight="false" outlineLevel="0" collapsed="false">
      <c r="A107" s="19"/>
      <c r="B107" s="10"/>
      <c r="C107" s="10"/>
      <c r="D107" s="12"/>
      <c r="E107" s="29"/>
      <c r="F107" s="24" t="str">
        <f aca="false">IF(E107="","",E107*Settings!$B$17)</f>
        <v/>
      </c>
      <c r="G107" s="24" t="str">
        <f aca="false">IF(A107="","",N(D107)+N(F107))</f>
        <v/>
      </c>
    </row>
    <row r="108" customFormat="false" ht="15" hidden="false" customHeight="false" outlineLevel="0" collapsed="false">
      <c r="A108" s="19"/>
      <c r="B108" s="10"/>
      <c r="C108" s="10"/>
      <c r="D108" s="12"/>
      <c r="E108" s="29"/>
      <c r="F108" s="24" t="str">
        <f aca="false">IF(E108="","",E108*Settings!$B$17)</f>
        <v/>
      </c>
      <c r="G108" s="24" t="str">
        <f aca="false">IF(A108="","",N(D108)+N(F108))</f>
        <v/>
      </c>
    </row>
    <row r="109" customFormat="false" ht="15" hidden="false" customHeight="false" outlineLevel="0" collapsed="false">
      <c r="A109" s="19"/>
      <c r="B109" s="10"/>
      <c r="C109" s="10"/>
      <c r="D109" s="12"/>
      <c r="E109" s="29"/>
      <c r="F109" s="24" t="str">
        <f aca="false">IF(E109="","",E109*Settings!$B$17)</f>
        <v/>
      </c>
      <c r="G109" s="24" t="str">
        <f aca="false">IF(A109="","",N(D109)+N(F109))</f>
        <v/>
      </c>
    </row>
    <row r="110" customFormat="false" ht="15" hidden="false" customHeight="false" outlineLevel="0" collapsed="false">
      <c r="A110" s="19"/>
      <c r="B110" s="10"/>
      <c r="C110" s="10"/>
      <c r="D110" s="12"/>
      <c r="E110" s="29"/>
      <c r="F110" s="24" t="str">
        <f aca="false">IF(E110="","",E110*Settings!$B$17)</f>
        <v/>
      </c>
      <c r="G110" s="24" t="str">
        <f aca="false">IF(A110="","",N(D110)+N(F110))</f>
        <v/>
      </c>
    </row>
    <row r="111" customFormat="false" ht="15" hidden="false" customHeight="false" outlineLevel="0" collapsed="false">
      <c r="A111" s="19"/>
      <c r="B111" s="10"/>
      <c r="C111" s="10"/>
      <c r="D111" s="12"/>
      <c r="E111" s="29"/>
      <c r="F111" s="24" t="str">
        <f aca="false">IF(E111="","",E111*Settings!$B$17)</f>
        <v/>
      </c>
      <c r="G111" s="24" t="str">
        <f aca="false">IF(A111="","",N(D111)+N(F111))</f>
        <v/>
      </c>
    </row>
    <row r="112" customFormat="false" ht="15" hidden="false" customHeight="false" outlineLevel="0" collapsed="false">
      <c r="A112" s="19"/>
      <c r="B112" s="10"/>
      <c r="C112" s="10"/>
      <c r="D112" s="12"/>
      <c r="E112" s="29"/>
      <c r="F112" s="24" t="str">
        <f aca="false">IF(E112="","",E112*Settings!$B$17)</f>
        <v/>
      </c>
      <c r="G112" s="24" t="str">
        <f aca="false">IF(A112="","",N(D112)+N(F112))</f>
        <v/>
      </c>
    </row>
    <row r="113" customFormat="false" ht="15" hidden="false" customHeight="false" outlineLevel="0" collapsed="false">
      <c r="A113" s="19"/>
      <c r="B113" s="10"/>
      <c r="C113" s="10"/>
      <c r="D113" s="12"/>
      <c r="E113" s="29"/>
      <c r="F113" s="24" t="str">
        <f aca="false">IF(E113="","",E113*Settings!$B$17)</f>
        <v/>
      </c>
      <c r="G113" s="24" t="str">
        <f aca="false">IF(A113="","",N(D113)+N(F113))</f>
        <v/>
      </c>
    </row>
    <row r="114" customFormat="false" ht="15" hidden="false" customHeight="false" outlineLevel="0" collapsed="false">
      <c r="A114" s="19"/>
      <c r="B114" s="10"/>
      <c r="C114" s="10"/>
      <c r="D114" s="12"/>
      <c r="E114" s="29"/>
      <c r="F114" s="24" t="str">
        <f aca="false">IF(E114="","",E114*Settings!$B$17)</f>
        <v/>
      </c>
      <c r="G114" s="24" t="str">
        <f aca="false">IF(A114="","",N(D114)+N(F114))</f>
        <v/>
      </c>
    </row>
    <row r="115" customFormat="false" ht="15" hidden="false" customHeight="false" outlineLevel="0" collapsed="false">
      <c r="A115" s="19"/>
      <c r="B115" s="10"/>
      <c r="C115" s="10"/>
      <c r="D115" s="12"/>
      <c r="E115" s="29"/>
      <c r="F115" s="24" t="str">
        <f aca="false">IF(E115="","",E115*Settings!$B$17)</f>
        <v/>
      </c>
      <c r="G115" s="24" t="str">
        <f aca="false">IF(A115="","",N(D115)+N(F115))</f>
        <v/>
      </c>
    </row>
    <row r="116" customFormat="false" ht="15" hidden="false" customHeight="false" outlineLevel="0" collapsed="false">
      <c r="A116" s="19"/>
      <c r="B116" s="10"/>
      <c r="C116" s="10"/>
      <c r="D116" s="12"/>
      <c r="E116" s="29"/>
      <c r="F116" s="24" t="str">
        <f aca="false">IF(E116="","",E116*Settings!$B$17)</f>
        <v/>
      </c>
      <c r="G116" s="24" t="str">
        <f aca="false">IF(A116="","",N(D116)+N(F116))</f>
        <v/>
      </c>
    </row>
    <row r="117" customFormat="false" ht="15" hidden="false" customHeight="false" outlineLevel="0" collapsed="false">
      <c r="A117" s="19"/>
      <c r="B117" s="10"/>
      <c r="C117" s="10"/>
      <c r="D117" s="12"/>
      <c r="E117" s="29"/>
      <c r="F117" s="24" t="str">
        <f aca="false">IF(E117="","",E117*Settings!$B$17)</f>
        <v/>
      </c>
      <c r="G117" s="24" t="str">
        <f aca="false">IF(A117="","",N(D117)+N(F117))</f>
        <v/>
      </c>
    </row>
    <row r="118" customFormat="false" ht="15" hidden="false" customHeight="false" outlineLevel="0" collapsed="false">
      <c r="A118" s="19"/>
      <c r="B118" s="10"/>
      <c r="C118" s="10"/>
      <c r="D118" s="12"/>
      <c r="E118" s="29"/>
      <c r="F118" s="24" t="str">
        <f aca="false">IF(E118="","",E118*Settings!$B$17)</f>
        <v/>
      </c>
      <c r="G118" s="24" t="str">
        <f aca="false">IF(A118="","",N(D118)+N(F118))</f>
        <v/>
      </c>
    </row>
    <row r="119" customFormat="false" ht="15" hidden="false" customHeight="false" outlineLevel="0" collapsed="false">
      <c r="A119" s="19"/>
      <c r="B119" s="10"/>
      <c r="C119" s="10"/>
      <c r="D119" s="12"/>
      <c r="E119" s="29"/>
      <c r="F119" s="24" t="str">
        <f aca="false">IF(E119="","",E119*Settings!$B$17)</f>
        <v/>
      </c>
      <c r="G119" s="24" t="str">
        <f aca="false">IF(A119="","",N(D119)+N(F119))</f>
        <v/>
      </c>
    </row>
    <row r="120" customFormat="false" ht="15" hidden="false" customHeight="false" outlineLevel="0" collapsed="false">
      <c r="A120" s="19"/>
      <c r="B120" s="10"/>
      <c r="C120" s="10"/>
      <c r="D120" s="12"/>
      <c r="E120" s="29"/>
      <c r="F120" s="24" t="str">
        <f aca="false">IF(E120="","",E120*Settings!$B$17)</f>
        <v/>
      </c>
      <c r="G120" s="24" t="str">
        <f aca="false">IF(A120="","",N(D120)+N(F120))</f>
        <v/>
      </c>
    </row>
    <row r="121" customFormat="false" ht="15" hidden="false" customHeight="false" outlineLevel="0" collapsed="false">
      <c r="A121" s="19"/>
      <c r="B121" s="10"/>
      <c r="C121" s="10"/>
      <c r="D121" s="12"/>
      <c r="E121" s="29"/>
      <c r="F121" s="24" t="str">
        <f aca="false">IF(E121="","",E121*Settings!$B$17)</f>
        <v/>
      </c>
      <c r="G121" s="24" t="str">
        <f aca="false">IF(A121="","",N(D121)+N(F121))</f>
        <v/>
      </c>
    </row>
    <row r="122" customFormat="false" ht="15" hidden="false" customHeight="false" outlineLevel="0" collapsed="false">
      <c r="A122" s="19"/>
      <c r="B122" s="10"/>
      <c r="C122" s="10"/>
      <c r="D122" s="12"/>
      <c r="E122" s="29"/>
      <c r="F122" s="24" t="str">
        <f aca="false">IF(E122="","",E122*Settings!$B$17)</f>
        <v/>
      </c>
      <c r="G122" s="24" t="str">
        <f aca="false">IF(A122="","",N(D122)+N(F122))</f>
        <v/>
      </c>
    </row>
    <row r="123" customFormat="false" ht="15" hidden="false" customHeight="false" outlineLevel="0" collapsed="false">
      <c r="A123" s="19"/>
      <c r="B123" s="10"/>
      <c r="C123" s="10"/>
      <c r="D123" s="12"/>
      <c r="E123" s="29"/>
      <c r="F123" s="24" t="str">
        <f aca="false">IF(E123="","",E123*Settings!$B$17)</f>
        <v/>
      </c>
      <c r="G123" s="24" t="str">
        <f aca="false">IF(A123="","",N(D123)+N(F123))</f>
        <v/>
      </c>
    </row>
    <row r="124" customFormat="false" ht="15" hidden="false" customHeight="false" outlineLevel="0" collapsed="false">
      <c r="A124" s="19"/>
      <c r="B124" s="10"/>
      <c r="C124" s="10"/>
      <c r="D124" s="12"/>
      <c r="E124" s="29"/>
      <c r="F124" s="24" t="str">
        <f aca="false">IF(E124="","",E124*Settings!$B$17)</f>
        <v/>
      </c>
      <c r="G124" s="24" t="str">
        <f aca="false">IF(A124="","",N(D124)+N(F124))</f>
        <v/>
      </c>
    </row>
    <row r="125" customFormat="false" ht="15" hidden="false" customHeight="false" outlineLevel="0" collapsed="false">
      <c r="A125" s="19"/>
      <c r="B125" s="10"/>
      <c r="C125" s="10"/>
      <c r="D125" s="12"/>
      <c r="E125" s="29"/>
      <c r="F125" s="24" t="str">
        <f aca="false">IF(E125="","",E125*Settings!$B$17)</f>
        <v/>
      </c>
      <c r="G125" s="24" t="str">
        <f aca="false">IF(A125="","",N(D125)+N(F125))</f>
        <v/>
      </c>
    </row>
    <row r="126" customFormat="false" ht="15" hidden="false" customHeight="false" outlineLevel="0" collapsed="false">
      <c r="A126" s="19"/>
      <c r="B126" s="10"/>
      <c r="C126" s="10"/>
      <c r="D126" s="12"/>
      <c r="E126" s="29"/>
      <c r="F126" s="24" t="str">
        <f aca="false">IF(E126="","",E126*Settings!$B$17)</f>
        <v/>
      </c>
      <c r="G126" s="24" t="str">
        <f aca="false">IF(A126="","",N(D126)+N(F126))</f>
        <v/>
      </c>
    </row>
    <row r="127" customFormat="false" ht="15" hidden="false" customHeight="false" outlineLevel="0" collapsed="false">
      <c r="A127" s="19"/>
      <c r="B127" s="10"/>
      <c r="C127" s="10"/>
      <c r="D127" s="12"/>
      <c r="E127" s="29"/>
      <c r="F127" s="24" t="str">
        <f aca="false">IF(E127="","",E127*Settings!$B$17)</f>
        <v/>
      </c>
      <c r="G127" s="24" t="str">
        <f aca="false">IF(A127="","",N(D127)+N(F127))</f>
        <v/>
      </c>
    </row>
    <row r="128" customFormat="false" ht="15" hidden="false" customHeight="false" outlineLevel="0" collapsed="false">
      <c r="A128" s="19"/>
      <c r="B128" s="10"/>
      <c r="C128" s="10"/>
      <c r="D128" s="12"/>
      <c r="E128" s="29"/>
      <c r="F128" s="24" t="str">
        <f aca="false">IF(E128="","",E128*Settings!$B$17)</f>
        <v/>
      </c>
      <c r="G128" s="24" t="str">
        <f aca="false">IF(A128="","",N(D128)+N(F128))</f>
        <v/>
      </c>
    </row>
    <row r="129" customFormat="false" ht="15" hidden="false" customHeight="false" outlineLevel="0" collapsed="false">
      <c r="A129" s="19"/>
      <c r="B129" s="10"/>
      <c r="C129" s="10"/>
      <c r="D129" s="12"/>
      <c r="E129" s="29"/>
      <c r="F129" s="24" t="str">
        <f aca="false">IF(E129="","",E129*Settings!$B$17)</f>
        <v/>
      </c>
      <c r="G129" s="24" t="str">
        <f aca="false">IF(A129="","",N(D129)+N(F129))</f>
        <v/>
      </c>
    </row>
    <row r="130" customFormat="false" ht="15" hidden="false" customHeight="false" outlineLevel="0" collapsed="false">
      <c r="A130" s="19"/>
      <c r="B130" s="10"/>
      <c r="C130" s="10"/>
      <c r="D130" s="12"/>
      <c r="E130" s="29"/>
      <c r="F130" s="24" t="str">
        <f aca="false">IF(E130="","",E130*Settings!$B$17)</f>
        <v/>
      </c>
      <c r="G130" s="24" t="str">
        <f aca="false">IF(A130="","",N(D130)+N(F130))</f>
        <v/>
      </c>
    </row>
    <row r="131" customFormat="false" ht="15" hidden="false" customHeight="false" outlineLevel="0" collapsed="false">
      <c r="A131" s="19"/>
      <c r="B131" s="10"/>
      <c r="C131" s="10"/>
      <c r="D131" s="12"/>
      <c r="E131" s="29"/>
      <c r="F131" s="24" t="str">
        <f aca="false">IF(E131="","",E131*Settings!$B$17)</f>
        <v/>
      </c>
      <c r="G131" s="24" t="str">
        <f aca="false">IF(A131="","",N(D131)+N(F131))</f>
        <v/>
      </c>
    </row>
    <row r="132" customFormat="false" ht="15" hidden="false" customHeight="false" outlineLevel="0" collapsed="false">
      <c r="A132" s="19"/>
      <c r="B132" s="10"/>
      <c r="C132" s="10"/>
      <c r="D132" s="12"/>
      <c r="E132" s="29"/>
      <c r="F132" s="24" t="str">
        <f aca="false">IF(E132="","",E132*Settings!$B$17)</f>
        <v/>
      </c>
      <c r="G132" s="24" t="str">
        <f aca="false">IF(A132="","",N(D132)+N(F132))</f>
        <v/>
      </c>
    </row>
    <row r="133" customFormat="false" ht="15" hidden="false" customHeight="false" outlineLevel="0" collapsed="false">
      <c r="A133" s="19"/>
      <c r="B133" s="10"/>
      <c r="C133" s="10"/>
      <c r="D133" s="12"/>
      <c r="E133" s="29"/>
      <c r="F133" s="24" t="str">
        <f aca="false">IF(E133="","",E133*Settings!$B$17)</f>
        <v/>
      </c>
      <c r="G133" s="24" t="str">
        <f aca="false">IF(A133="","",N(D133)+N(F133))</f>
        <v/>
      </c>
    </row>
    <row r="134" customFormat="false" ht="15" hidden="false" customHeight="false" outlineLevel="0" collapsed="false">
      <c r="A134" s="19"/>
      <c r="B134" s="10"/>
      <c r="C134" s="10"/>
      <c r="D134" s="12"/>
      <c r="E134" s="29"/>
      <c r="F134" s="24" t="str">
        <f aca="false">IF(E134="","",E134*Settings!$B$17)</f>
        <v/>
      </c>
      <c r="G134" s="24" t="str">
        <f aca="false">IF(A134="","",N(D134)+N(F134))</f>
        <v/>
      </c>
    </row>
    <row r="135" customFormat="false" ht="15" hidden="false" customHeight="false" outlineLevel="0" collapsed="false">
      <c r="A135" s="19"/>
      <c r="B135" s="10"/>
      <c r="C135" s="10"/>
      <c r="D135" s="12"/>
      <c r="E135" s="29"/>
      <c r="F135" s="24" t="str">
        <f aca="false">IF(E135="","",E135*Settings!$B$17)</f>
        <v/>
      </c>
      <c r="G135" s="24" t="str">
        <f aca="false">IF(A135="","",N(D135)+N(F135))</f>
        <v/>
      </c>
    </row>
    <row r="136" customFormat="false" ht="15" hidden="false" customHeight="false" outlineLevel="0" collapsed="false">
      <c r="A136" s="19"/>
      <c r="B136" s="10"/>
      <c r="C136" s="10"/>
      <c r="D136" s="12"/>
      <c r="E136" s="29"/>
      <c r="F136" s="24" t="str">
        <f aca="false">IF(E136="","",E136*Settings!$B$17)</f>
        <v/>
      </c>
      <c r="G136" s="24" t="str">
        <f aca="false">IF(A136="","",N(D136)+N(F136))</f>
        <v/>
      </c>
    </row>
    <row r="137" customFormat="false" ht="15" hidden="false" customHeight="false" outlineLevel="0" collapsed="false">
      <c r="A137" s="19"/>
      <c r="B137" s="10"/>
      <c r="C137" s="10"/>
      <c r="D137" s="12"/>
      <c r="E137" s="29"/>
      <c r="F137" s="24" t="str">
        <f aca="false">IF(E137="","",E137*Settings!$B$17)</f>
        <v/>
      </c>
      <c r="G137" s="24" t="str">
        <f aca="false">IF(A137="","",N(D137)+N(F137))</f>
        <v/>
      </c>
    </row>
    <row r="138" customFormat="false" ht="15" hidden="false" customHeight="false" outlineLevel="0" collapsed="false">
      <c r="A138" s="19"/>
      <c r="B138" s="10"/>
      <c r="C138" s="10"/>
      <c r="D138" s="12"/>
      <c r="E138" s="29"/>
      <c r="F138" s="24" t="str">
        <f aca="false">IF(E138="","",E138*Settings!$B$17)</f>
        <v/>
      </c>
      <c r="G138" s="24" t="str">
        <f aca="false">IF(A138="","",N(D138)+N(F138))</f>
        <v/>
      </c>
    </row>
    <row r="139" customFormat="false" ht="15" hidden="false" customHeight="false" outlineLevel="0" collapsed="false">
      <c r="A139" s="19"/>
      <c r="B139" s="10"/>
      <c r="C139" s="10"/>
      <c r="D139" s="12"/>
      <c r="E139" s="29"/>
      <c r="F139" s="24" t="str">
        <f aca="false">IF(E139="","",E139*Settings!$B$17)</f>
        <v/>
      </c>
      <c r="G139" s="24" t="str">
        <f aca="false">IF(A139="","",N(D139)+N(F139))</f>
        <v/>
      </c>
    </row>
    <row r="140" customFormat="false" ht="15" hidden="false" customHeight="false" outlineLevel="0" collapsed="false">
      <c r="A140" s="19"/>
      <c r="B140" s="10"/>
      <c r="C140" s="10"/>
      <c r="D140" s="12"/>
      <c r="E140" s="29"/>
      <c r="F140" s="24" t="str">
        <f aca="false">IF(E140="","",E140*Settings!$B$17)</f>
        <v/>
      </c>
      <c r="G140" s="24" t="str">
        <f aca="false">IF(A140="","",N(D140)+N(F140))</f>
        <v/>
      </c>
    </row>
    <row r="141" customFormat="false" ht="15" hidden="false" customHeight="false" outlineLevel="0" collapsed="false">
      <c r="A141" s="19"/>
      <c r="B141" s="10"/>
      <c r="C141" s="10"/>
      <c r="D141" s="12"/>
      <c r="E141" s="29"/>
      <c r="F141" s="24" t="str">
        <f aca="false">IF(E141="","",E141*Settings!$B$17)</f>
        <v/>
      </c>
      <c r="G141" s="24" t="str">
        <f aca="false">IF(A141="","",N(D141)+N(F141))</f>
        <v/>
      </c>
    </row>
    <row r="142" customFormat="false" ht="15" hidden="false" customHeight="false" outlineLevel="0" collapsed="false">
      <c r="A142" s="19"/>
      <c r="B142" s="10"/>
      <c r="C142" s="10"/>
      <c r="D142" s="12"/>
      <c r="E142" s="29"/>
      <c r="F142" s="24" t="str">
        <f aca="false">IF(E142="","",E142*Settings!$B$17)</f>
        <v/>
      </c>
      <c r="G142" s="24" t="str">
        <f aca="false">IF(A142="","",N(D142)+N(F142))</f>
        <v/>
      </c>
    </row>
    <row r="143" customFormat="false" ht="15" hidden="false" customHeight="false" outlineLevel="0" collapsed="false">
      <c r="A143" s="19"/>
      <c r="B143" s="10"/>
      <c r="C143" s="10"/>
      <c r="D143" s="12"/>
      <c r="E143" s="29"/>
      <c r="F143" s="24" t="str">
        <f aca="false">IF(E143="","",E143*Settings!$B$17)</f>
        <v/>
      </c>
      <c r="G143" s="24" t="str">
        <f aca="false">IF(A143="","",N(D143)+N(F143))</f>
        <v/>
      </c>
    </row>
    <row r="144" customFormat="false" ht="15" hidden="false" customHeight="false" outlineLevel="0" collapsed="false">
      <c r="A144" s="19"/>
      <c r="B144" s="10"/>
      <c r="C144" s="10"/>
      <c r="D144" s="12"/>
      <c r="E144" s="29"/>
      <c r="F144" s="24" t="str">
        <f aca="false">IF(E144="","",E144*Settings!$B$17)</f>
        <v/>
      </c>
      <c r="G144" s="24" t="str">
        <f aca="false">IF(A144="","",N(D144)+N(F144))</f>
        <v/>
      </c>
    </row>
    <row r="145" customFormat="false" ht="15" hidden="false" customHeight="false" outlineLevel="0" collapsed="false">
      <c r="A145" s="19"/>
      <c r="B145" s="10"/>
      <c r="C145" s="10"/>
      <c r="D145" s="12"/>
      <c r="E145" s="29"/>
      <c r="F145" s="24" t="str">
        <f aca="false">IF(E145="","",E145*Settings!$B$17)</f>
        <v/>
      </c>
      <c r="G145" s="24" t="str">
        <f aca="false">IF(A145="","",N(D145)+N(F145))</f>
        <v/>
      </c>
    </row>
    <row r="146" customFormat="false" ht="15" hidden="false" customHeight="false" outlineLevel="0" collapsed="false">
      <c r="A146" s="19"/>
      <c r="B146" s="10"/>
      <c r="C146" s="10"/>
      <c r="D146" s="12"/>
      <c r="E146" s="29"/>
      <c r="F146" s="24" t="str">
        <f aca="false">IF(E146="","",E146*Settings!$B$17)</f>
        <v/>
      </c>
      <c r="G146" s="24" t="str">
        <f aca="false">IF(A146="","",N(D146)+N(F146))</f>
        <v/>
      </c>
    </row>
    <row r="147" customFormat="false" ht="15" hidden="false" customHeight="false" outlineLevel="0" collapsed="false">
      <c r="A147" s="19"/>
      <c r="B147" s="10"/>
      <c r="C147" s="10"/>
      <c r="D147" s="12"/>
      <c r="E147" s="29"/>
      <c r="F147" s="24" t="str">
        <f aca="false">IF(E147="","",E147*Settings!$B$17)</f>
        <v/>
      </c>
      <c r="G147" s="24" t="str">
        <f aca="false">IF(A147="","",N(D147)+N(F147))</f>
        <v/>
      </c>
    </row>
    <row r="148" customFormat="false" ht="15" hidden="false" customHeight="false" outlineLevel="0" collapsed="false">
      <c r="A148" s="19"/>
      <c r="B148" s="10"/>
      <c r="C148" s="10"/>
      <c r="D148" s="12"/>
      <c r="E148" s="29"/>
      <c r="F148" s="24" t="str">
        <f aca="false">IF(E148="","",E148*Settings!$B$17)</f>
        <v/>
      </c>
      <c r="G148" s="24" t="str">
        <f aca="false">IF(A148="","",N(D148)+N(F148))</f>
        <v/>
      </c>
    </row>
    <row r="149" customFormat="false" ht="15" hidden="false" customHeight="false" outlineLevel="0" collapsed="false">
      <c r="A149" s="19"/>
      <c r="B149" s="10"/>
      <c r="C149" s="10"/>
      <c r="D149" s="12"/>
      <c r="E149" s="29"/>
      <c r="F149" s="24" t="str">
        <f aca="false">IF(E149="","",E149*Settings!$B$17)</f>
        <v/>
      </c>
      <c r="G149" s="24" t="str">
        <f aca="false">IF(A149="","",N(D149)+N(F149))</f>
        <v/>
      </c>
    </row>
    <row r="150" customFormat="false" ht="15" hidden="false" customHeight="false" outlineLevel="0" collapsed="false">
      <c r="A150" s="19"/>
      <c r="B150" s="10"/>
      <c r="C150" s="10"/>
      <c r="D150" s="12"/>
      <c r="E150" s="29"/>
      <c r="F150" s="24" t="str">
        <f aca="false">IF(E150="","",E150*Settings!$B$17)</f>
        <v/>
      </c>
      <c r="G150" s="24" t="str">
        <f aca="false">IF(A150="","",N(D150)+N(F150))</f>
        <v/>
      </c>
    </row>
    <row r="151" customFormat="false" ht="15" hidden="false" customHeight="false" outlineLevel="0" collapsed="false">
      <c r="A151" s="19"/>
      <c r="B151" s="10"/>
      <c r="C151" s="10"/>
      <c r="D151" s="12"/>
      <c r="E151" s="29"/>
      <c r="F151" s="24" t="str">
        <f aca="false">IF(E151="","",E151*Settings!$B$17)</f>
        <v/>
      </c>
      <c r="G151" s="24" t="str">
        <f aca="false">IF(A151="","",N(D151)+N(F151))</f>
        <v/>
      </c>
    </row>
    <row r="152" customFormat="false" ht="15" hidden="false" customHeight="false" outlineLevel="0" collapsed="false">
      <c r="A152" s="19"/>
      <c r="B152" s="10"/>
      <c r="C152" s="10"/>
      <c r="D152" s="12"/>
      <c r="E152" s="29"/>
      <c r="F152" s="24" t="str">
        <f aca="false">IF(E152="","",E152*Settings!$B$17)</f>
        <v/>
      </c>
      <c r="G152" s="24" t="str">
        <f aca="false">IF(A152="","",N(D152)+N(F152))</f>
        <v/>
      </c>
    </row>
    <row r="153" customFormat="false" ht="15" hidden="false" customHeight="false" outlineLevel="0" collapsed="false">
      <c r="A153" s="19"/>
      <c r="B153" s="10"/>
      <c r="C153" s="10"/>
      <c r="D153" s="12"/>
      <c r="E153" s="29"/>
      <c r="F153" s="24" t="str">
        <f aca="false">IF(E153="","",E153*Settings!$B$17)</f>
        <v/>
      </c>
      <c r="G153" s="24" t="str">
        <f aca="false">IF(A153="","",N(D153)+N(F153))</f>
        <v/>
      </c>
    </row>
    <row r="154" customFormat="false" ht="15" hidden="false" customHeight="false" outlineLevel="0" collapsed="false">
      <c r="A154" s="19"/>
      <c r="B154" s="10"/>
      <c r="C154" s="10"/>
      <c r="D154" s="12"/>
      <c r="E154" s="29"/>
      <c r="F154" s="24" t="str">
        <f aca="false">IF(E154="","",E154*Settings!$B$17)</f>
        <v/>
      </c>
      <c r="G154" s="24" t="str">
        <f aca="false">IF(A154="","",N(D154)+N(F154))</f>
        <v/>
      </c>
    </row>
    <row r="155" customFormat="false" ht="15" hidden="false" customHeight="false" outlineLevel="0" collapsed="false">
      <c r="A155" s="19"/>
      <c r="B155" s="10"/>
      <c r="C155" s="10"/>
      <c r="D155" s="12"/>
      <c r="E155" s="29"/>
      <c r="F155" s="24" t="str">
        <f aca="false">IF(E155="","",E155*Settings!$B$17)</f>
        <v/>
      </c>
      <c r="G155" s="24" t="str">
        <f aca="false">IF(A155="","",N(D155)+N(F155))</f>
        <v/>
      </c>
    </row>
    <row r="156" customFormat="false" ht="15" hidden="false" customHeight="false" outlineLevel="0" collapsed="false">
      <c r="A156" s="19"/>
      <c r="B156" s="10"/>
      <c r="C156" s="10"/>
      <c r="D156" s="12"/>
      <c r="E156" s="29"/>
      <c r="F156" s="24" t="str">
        <f aca="false">IF(E156="","",E156*Settings!$B$17)</f>
        <v/>
      </c>
      <c r="G156" s="24" t="str">
        <f aca="false">IF(A156="","",N(D156)+N(F156))</f>
        <v/>
      </c>
    </row>
    <row r="157" customFormat="false" ht="15" hidden="false" customHeight="false" outlineLevel="0" collapsed="false">
      <c r="A157" s="19"/>
      <c r="B157" s="10"/>
      <c r="C157" s="10"/>
      <c r="D157" s="12"/>
      <c r="E157" s="29"/>
      <c r="F157" s="24" t="str">
        <f aca="false">IF(E157="","",E157*Settings!$B$17)</f>
        <v/>
      </c>
      <c r="G157" s="24" t="str">
        <f aca="false">IF(A157="","",N(D157)+N(F157))</f>
        <v/>
      </c>
    </row>
    <row r="158" customFormat="false" ht="15" hidden="false" customHeight="false" outlineLevel="0" collapsed="false">
      <c r="A158" s="19"/>
      <c r="B158" s="10"/>
      <c r="C158" s="10"/>
      <c r="D158" s="12"/>
      <c r="E158" s="29"/>
      <c r="F158" s="24" t="str">
        <f aca="false">IF(E158="","",E158*Settings!$B$17)</f>
        <v/>
      </c>
      <c r="G158" s="24" t="str">
        <f aca="false">IF(A158="","",N(D158)+N(F158))</f>
        <v/>
      </c>
    </row>
    <row r="159" customFormat="false" ht="15" hidden="false" customHeight="false" outlineLevel="0" collapsed="false">
      <c r="A159" s="19"/>
      <c r="B159" s="10"/>
      <c r="C159" s="10"/>
      <c r="D159" s="12"/>
      <c r="E159" s="29"/>
      <c r="F159" s="24" t="str">
        <f aca="false">IF(E159="","",E159*Settings!$B$17)</f>
        <v/>
      </c>
      <c r="G159" s="24" t="str">
        <f aca="false">IF(A159="","",N(D159)+N(F159))</f>
        <v/>
      </c>
    </row>
    <row r="160" customFormat="false" ht="15" hidden="false" customHeight="false" outlineLevel="0" collapsed="false">
      <c r="A160" s="19"/>
      <c r="B160" s="10"/>
      <c r="C160" s="10"/>
      <c r="D160" s="12"/>
      <c r="E160" s="29"/>
      <c r="F160" s="24" t="str">
        <f aca="false">IF(E160="","",E160*Settings!$B$17)</f>
        <v/>
      </c>
      <c r="G160" s="24" t="str">
        <f aca="false">IF(A160="","",N(D160)+N(F160))</f>
        <v/>
      </c>
    </row>
    <row r="161" customFormat="false" ht="15" hidden="false" customHeight="false" outlineLevel="0" collapsed="false">
      <c r="A161" s="19"/>
      <c r="B161" s="10"/>
      <c r="C161" s="10"/>
      <c r="D161" s="12"/>
      <c r="E161" s="29"/>
      <c r="F161" s="24" t="str">
        <f aca="false">IF(E161="","",E161*Settings!$B$17)</f>
        <v/>
      </c>
      <c r="G161" s="24" t="str">
        <f aca="false">IF(A161="","",N(D161)+N(F161))</f>
        <v/>
      </c>
    </row>
    <row r="162" customFormat="false" ht="15" hidden="false" customHeight="false" outlineLevel="0" collapsed="false">
      <c r="A162" s="19"/>
      <c r="B162" s="10"/>
      <c r="C162" s="10"/>
      <c r="D162" s="12"/>
      <c r="E162" s="29"/>
      <c r="F162" s="24" t="str">
        <f aca="false">IF(E162="","",E162*Settings!$B$17)</f>
        <v/>
      </c>
      <c r="G162" s="24" t="str">
        <f aca="false">IF(A162="","",N(D162)+N(F162))</f>
        <v/>
      </c>
    </row>
    <row r="163" customFormat="false" ht="15" hidden="false" customHeight="false" outlineLevel="0" collapsed="false">
      <c r="A163" s="19"/>
      <c r="B163" s="10"/>
      <c r="C163" s="10"/>
      <c r="D163" s="12"/>
      <c r="E163" s="29"/>
      <c r="F163" s="24" t="str">
        <f aca="false">IF(E163="","",E163*Settings!$B$17)</f>
        <v/>
      </c>
      <c r="G163" s="24" t="str">
        <f aca="false">IF(A163="","",N(D163)+N(F163))</f>
        <v/>
      </c>
    </row>
    <row r="164" customFormat="false" ht="15" hidden="false" customHeight="false" outlineLevel="0" collapsed="false">
      <c r="A164" s="19"/>
      <c r="B164" s="10"/>
      <c r="C164" s="10"/>
      <c r="D164" s="12"/>
      <c r="E164" s="29"/>
      <c r="F164" s="24" t="str">
        <f aca="false">IF(E164="","",E164*Settings!$B$17)</f>
        <v/>
      </c>
      <c r="G164" s="24" t="str">
        <f aca="false">IF(A164="","",N(D164)+N(F164))</f>
        <v/>
      </c>
    </row>
    <row r="165" customFormat="false" ht="15" hidden="false" customHeight="false" outlineLevel="0" collapsed="false">
      <c r="A165" s="19"/>
      <c r="B165" s="10"/>
      <c r="C165" s="10"/>
      <c r="D165" s="12"/>
      <c r="E165" s="29"/>
      <c r="F165" s="24" t="str">
        <f aca="false">IF(E165="","",E165*Settings!$B$17)</f>
        <v/>
      </c>
      <c r="G165" s="24" t="str">
        <f aca="false">IF(A165="","",N(D165)+N(F165))</f>
        <v/>
      </c>
    </row>
    <row r="166" customFormat="false" ht="15" hidden="false" customHeight="false" outlineLevel="0" collapsed="false">
      <c r="A166" s="19"/>
      <c r="B166" s="10"/>
      <c r="C166" s="10"/>
      <c r="D166" s="12"/>
      <c r="E166" s="29"/>
      <c r="F166" s="24" t="str">
        <f aca="false">IF(E166="","",E166*Settings!$B$17)</f>
        <v/>
      </c>
      <c r="G166" s="24" t="str">
        <f aca="false">IF(A166="","",N(D166)+N(F166))</f>
        <v/>
      </c>
    </row>
    <row r="167" customFormat="false" ht="15" hidden="false" customHeight="false" outlineLevel="0" collapsed="false">
      <c r="A167" s="19"/>
      <c r="B167" s="10"/>
      <c r="C167" s="10"/>
      <c r="D167" s="12"/>
      <c r="E167" s="29"/>
      <c r="F167" s="24" t="str">
        <f aca="false">IF(E167="","",E167*Settings!$B$17)</f>
        <v/>
      </c>
      <c r="G167" s="24" t="str">
        <f aca="false">IF(A167="","",N(D167)+N(F167))</f>
        <v/>
      </c>
    </row>
    <row r="168" customFormat="false" ht="15" hidden="false" customHeight="false" outlineLevel="0" collapsed="false">
      <c r="A168" s="19"/>
      <c r="B168" s="10"/>
      <c r="C168" s="10"/>
      <c r="D168" s="12"/>
      <c r="E168" s="29"/>
      <c r="F168" s="24" t="str">
        <f aca="false">IF(E168="","",E168*Settings!$B$17)</f>
        <v/>
      </c>
      <c r="G168" s="24" t="str">
        <f aca="false">IF(A168="","",N(D168)+N(F168))</f>
        <v/>
      </c>
    </row>
    <row r="169" customFormat="false" ht="15" hidden="false" customHeight="false" outlineLevel="0" collapsed="false">
      <c r="A169" s="19"/>
      <c r="B169" s="10"/>
      <c r="C169" s="10"/>
      <c r="D169" s="12"/>
      <c r="E169" s="29"/>
      <c r="F169" s="24" t="str">
        <f aca="false">IF(E169="","",E169*Settings!$B$17)</f>
        <v/>
      </c>
      <c r="G169" s="24" t="str">
        <f aca="false">IF(A169="","",N(D169)+N(F169))</f>
        <v/>
      </c>
    </row>
    <row r="170" customFormat="false" ht="15" hidden="false" customHeight="false" outlineLevel="0" collapsed="false">
      <c r="A170" s="19"/>
      <c r="B170" s="10"/>
      <c r="C170" s="10"/>
      <c r="D170" s="12"/>
      <c r="E170" s="29"/>
      <c r="F170" s="24" t="str">
        <f aca="false">IF(E170="","",E170*Settings!$B$17)</f>
        <v/>
      </c>
      <c r="G170" s="24" t="str">
        <f aca="false">IF(A170="","",N(D170)+N(F170))</f>
        <v/>
      </c>
    </row>
    <row r="171" customFormat="false" ht="15" hidden="false" customHeight="false" outlineLevel="0" collapsed="false">
      <c r="A171" s="19"/>
      <c r="B171" s="10"/>
      <c r="C171" s="10"/>
      <c r="D171" s="12"/>
      <c r="E171" s="29"/>
      <c r="F171" s="24" t="str">
        <f aca="false">IF(E171="","",E171*Settings!$B$17)</f>
        <v/>
      </c>
      <c r="G171" s="24" t="str">
        <f aca="false">IF(A171="","",N(D171)+N(F171))</f>
        <v/>
      </c>
    </row>
    <row r="172" customFormat="false" ht="15" hidden="false" customHeight="false" outlineLevel="0" collapsed="false">
      <c r="A172" s="19"/>
      <c r="B172" s="10"/>
      <c r="C172" s="10"/>
      <c r="D172" s="12"/>
      <c r="E172" s="29"/>
      <c r="F172" s="24" t="str">
        <f aca="false">IF(E172="","",E172*Settings!$B$17)</f>
        <v/>
      </c>
      <c r="G172" s="24" t="str">
        <f aca="false">IF(A172="","",N(D172)+N(F172))</f>
        <v/>
      </c>
    </row>
    <row r="173" customFormat="false" ht="15" hidden="false" customHeight="false" outlineLevel="0" collapsed="false">
      <c r="A173" s="19"/>
      <c r="B173" s="10"/>
      <c r="C173" s="10"/>
      <c r="D173" s="12"/>
      <c r="E173" s="29"/>
      <c r="F173" s="24" t="str">
        <f aca="false">IF(E173="","",E173*Settings!$B$17)</f>
        <v/>
      </c>
      <c r="G173" s="24" t="str">
        <f aca="false">IF(A173="","",N(D173)+N(F173))</f>
        <v/>
      </c>
    </row>
    <row r="174" customFormat="false" ht="15" hidden="false" customHeight="false" outlineLevel="0" collapsed="false">
      <c r="A174" s="19"/>
      <c r="B174" s="10"/>
      <c r="C174" s="10"/>
      <c r="D174" s="12"/>
      <c r="E174" s="29"/>
      <c r="F174" s="24" t="str">
        <f aca="false">IF(E174="","",E174*Settings!$B$17)</f>
        <v/>
      </c>
      <c r="G174" s="24" t="str">
        <f aca="false">IF(A174="","",N(D174)+N(F174))</f>
        <v/>
      </c>
    </row>
    <row r="175" customFormat="false" ht="15" hidden="false" customHeight="false" outlineLevel="0" collapsed="false">
      <c r="A175" s="19"/>
      <c r="B175" s="10"/>
      <c r="C175" s="10"/>
      <c r="D175" s="12"/>
      <c r="E175" s="29"/>
      <c r="F175" s="24" t="str">
        <f aca="false">IF(E175="","",E175*Settings!$B$17)</f>
        <v/>
      </c>
      <c r="G175" s="24" t="str">
        <f aca="false">IF(A175="","",N(D175)+N(F175))</f>
        <v/>
      </c>
    </row>
    <row r="176" customFormat="false" ht="15" hidden="false" customHeight="false" outlineLevel="0" collapsed="false">
      <c r="A176" s="19"/>
      <c r="B176" s="10"/>
      <c r="C176" s="10"/>
      <c r="D176" s="12"/>
      <c r="E176" s="29"/>
      <c r="F176" s="24" t="str">
        <f aca="false">IF(E176="","",E176*Settings!$B$17)</f>
        <v/>
      </c>
      <c r="G176" s="24" t="str">
        <f aca="false">IF(A176="","",N(D176)+N(F176))</f>
        <v/>
      </c>
    </row>
    <row r="177" customFormat="false" ht="15" hidden="false" customHeight="false" outlineLevel="0" collapsed="false">
      <c r="A177" s="19"/>
      <c r="B177" s="10"/>
      <c r="C177" s="10"/>
      <c r="D177" s="12"/>
      <c r="E177" s="29"/>
      <c r="F177" s="24" t="str">
        <f aca="false">IF(E177="","",E177*Settings!$B$17)</f>
        <v/>
      </c>
      <c r="G177" s="24" t="str">
        <f aca="false">IF(A177="","",N(D177)+N(F177))</f>
        <v/>
      </c>
    </row>
    <row r="178" customFormat="false" ht="15" hidden="false" customHeight="false" outlineLevel="0" collapsed="false">
      <c r="A178" s="19"/>
      <c r="B178" s="10"/>
      <c r="C178" s="10"/>
      <c r="D178" s="12"/>
      <c r="E178" s="29"/>
      <c r="F178" s="24" t="str">
        <f aca="false">IF(E178="","",E178*Settings!$B$17)</f>
        <v/>
      </c>
      <c r="G178" s="24" t="str">
        <f aca="false">IF(A178="","",N(D178)+N(F178))</f>
        <v/>
      </c>
    </row>
    <row r="179" customFormat="false" ht="15" hidden="false" customHeight="false" outlineLevel="0" collapsed="false">
      <c r="A179" s="19"/>
      <c r="B179" s="10"/>
      <c r="C179" s="10"/>
      <c r="D179" s="12"/>
      <c r="E179" s="29"/>
      <c r="F179" s="24" t="str">
        <f aca="false">IF(E179="","",E179*Settings!$B$17)</f>
        <v/>
      </c>
      <c r="G179" s="24" t="str">
        <f aca="false">IF(A179="","",N(D179)+N(F179))</f>
        <v/>
      </c>
    </row>
    <row r="180" customFormat="false" ht="15" hidden="false" customHeight="false" outlineLevel="0" collapsed="false">
      <c r="A180" s="19"/>
      <c r="B180" s="10"/>
      <c r="C180" s="10"/>
      <c r="D180" s="12"/>
      <c r="E180" s="29"/>
      <c r="F180" s="24" t="str">
        <f aca="false">IF(E180="","",E180*Settings!$B$17)</f>
        <v/>
      </c>
      <c r="G180" s="24" t="str">
        <f aca="false">IF(A180="","",N(D180)+N(F180))</f>
        <v/>
      </c>
    </row>
    <row r="181" customFormat="false" ht="15" hidden="false" customHeight="false" outlineLevel="0" collapsed="false">
      <c r="A181" s="19"/>
      <c r="B181" s="10"/>
      <c r="C181" s="10"/>
      <c r="D181" s="12"/>
      <c r="E181" s="29"/>
      <c r="F181" s="24" t="str">
        <f aca="false">IF(E181="","",E181*Settings!$B$17)</f>
        <v/>
      </c>
      <c r="G181" s="24" t="str">
        <f aca="false">IF(A181="","",N(D181)+N(F181))</f>
        <v/>
      </c>
    </row>
    <row r="182" customFormat="false" ht="15" hidden="false" customHeight="false" outlineLevel="0" collapsed="false">
      <c r="A182" s="19"/>
      <c r="B182" s="10"/>
      <c r="C182" s="10"/>
      <c r="D182" s="12"/>
      <c r="E182" s="29"/>
      <c r="F182" s="24" t="str">
        <f aca="false">IF(E182="","",E182*Settings!$B$17)</f>
        <v/>
      </c>
      <c r="G182" s="24" t="str">
        <f aca="false">IF(A182="","",N(D182)+N(F182))</f>
        <v/>
      </c>
    </row>
    <row r="183" customFormat="false" ht="15" hidden="false" customHeight="false" outlineLevel="0" collapsed="false">
      <c r="A183" s="19"/>
      <c r="B183" s="10"/>
      <c r="C183" s="10"/>
      <c r="D183" s="12"/>
      <c r="E183" s="29"/>
      <c r="F183" s="24" t="str">
        <f aca="false">IF(E183="","",E183*Settings!$B$17)</f>
        <v/>
      </c>
      <c r="G183" s="24" t="str">
        <f aca="false">IF(A183="","",N(D183)+N(F183))</f>
        <v/>
      </c>
    </row>
    <row r="184" customFormat="false" ht="15" hidden="false" customHeight="false" outlineLevel="0" collapsed="false">
      <c r="A184" s="19"/>
      <c r="B184" s="10"/>
      <c r="C184" s="10"/>
      <c r="D184" s="12"/>
      <c r="E184" s="29"/>
      <c r="F184" s="24" t="str">
        <f aca="false">IF(E184="","",E184*Settings!$B$17)</f>
        <v/>
      </c>
      <c r="G184" s="24" t="str">
        <f aca="false">IF(A184="","",N(D184)+N(F184))</f>
        <v/>
      </c>
    </row>
    <row r="185" customFormat="false" ht="15" hidden="false" customHeight="false" outlineLevel="0" collapsed="false">
      <c r="A185" s="19"/>
      <c r="B185" s="10"/>
      <c r="C185" s="10"/>
      <c r="D185" s="12"/>
      <c r="E185" s="29"/>
      <c r="F185" s="24" t="str">
        <f aca="false">IF(E185="","",E185*Settings!$B$17)</f>
        <v/>
      </c>
      <c r="G185" s="24" t="str">
        <f aca="false">IF(A185="","",N(D185)+N(F185))</f>
        <v/>
      </c>
    </row>
    <row r="186" customFormat="false" ht="15" hidden="false" customHeight="false" outlineLevel="0" collapsed="false">
      <c r="A186" s="19"/>
      <c r="B186" s="10"/>
      <c r="C186" s="10"/>
      <c r="D186" s="12"/>
      <c r="E186" s="29"/>
      <c r="F186" s="24" t="str">
        <f aca="false">IF(E186="","",E186*Settings!$B$17)</f>
        <v/>
      </c>
      <c r="G186" s="24" t="str">
        <f aca="false">IF(A186="","",N(D186)+N(F186))</f>
        <v/>
      </c>
    </row>
    <row r="187" customFormat="false" ht="15" hidden="false" customHeight="false" outlineLevel="0" collapsed="false">
      <c r="A187" s="19"/>
      <c r="B187" s="10"/>
      <c r="C187" s="10"/>
      <c r="D187" s="12"/>
      <c r="E187" s="29"/>
      <c r="F187" s="24" t="str">
        <f aca="false">IF(E187="","",E187*Settings!$B$17)</f>
        <v/>
      </c>
      <c r="G187" s="24" t="str">
        <f aca="false">IF(A187="","",N(D187)+N(F187))</f>
        <v/>
      </c>
    </row>
    <row r="188" customFormat="false" ht="15" hidden="false" customHeight="false" outlineLevel="0" collapsed="false">
      <c r="A188" s="19"/>
      <c r="B188" s="10"/>
      <c r="C188" s="10"/>
      <c r="D188" s="12"/>
      <c r="E188" s="29"/>
      <c r="F188" s="24" t="str">
        <f aca="false">IF(E188="","",E188*Settings!$B$17)</f>
        <v/>
      </c>
      <c r="G188" s="24" t="str">
        <f aca="false">IF(A188="","",N(D188)+N(F188))</f>
        <v/>
      </c>
    </row>
    <row r="189" customFormat="false" ht="15" hidden="false" customHeight="false" outlineLevel="0" collapsed="false">
      <c r="A189" s="19"/>
      <c r="B189" s="10"/>
      <c r="C189" s="10"/>
      <c r="D189" s="12"/>
      <c r="E189" s="29"/>
      <c r="F189" s="24" t="str">
        <f aca="false">IF(E189="","",E189*Settings!$B$17)</f>
        <v/>
      </c>
      <c r="G189" s="24" t="str">
        <f aca="false">IF(A189="","",N(D189)+N(F189))</f>
        <v/>
      </c>
    </row>
    <row r="190" customFormat="false" ht="15" hidden="false" customHeight="false" outlineLevel="0" collapsed="false">
      <c r="A190" s="19"/>
      <c r="B190" s="10"/>
      <c r="C190" s="10"/>
      <c r="D190" s="12"/>
      <c r="E190" s="29"/>
      <c r="F190" s="24" t="str">
        <f aca="false">IF(E190="","",E190*Settings!$B$17)</f>
        <v/>
      </c>
      <c r="G190" s="24" t="str">
        <f aca="false">IF(A190="","",N(D190)+N(F190))</f>
        <v/>
      </c>
    </row>
    <row r="191" customFormat="false" ht="15" hidden="false" customHeight="false" outlineLevel="0" collapsed="false">
      <c r="A191" s="19"/>
      <c r="B191" s="10"/>
      <c r="C191" s="10"/>
      <c r="D191" s="12"/>
      <c r="E191" s="29"/>
      <c r="F191" s="24" t="str">
        <f aca="false">IF(E191="","",E191*Settings!$B$17)</f>
        <v/>
      </c>
      <c r="G191" s="24" t="str">
        <f aca="false">IF(A191="","",N(D191)+N(F191))</f>
        <v/>
      </c>
    </row>
    <row r="192" customFormat="false" ht="15" hidden="false" customHeight="false" outlineLevel="0" collapsed="false">
      <c r="A192" s="19"/>
      <c r="B192" s="10"/>
      <c r="C192" s="10"/>
      <c r="D192" s="12"/>
      <c r="E192" s="29"/>
      <c r="F192" s="24" t="str">
        <f aca="false">IF(E192="","",E192*Settings!$B$17)</f>
        <v/>
      </c>
      <c r="G192" s="24" t="str">
        <f aca="false">IF(A192="","",N(D192)+N(F192))</f>
        <v/>
      </c>
    </row>
    <row r="193" customFormat="false" ht="15" hidden="false" customHeight="false" outlineLevel="0" collapsed="false">
      <c r="A193" s="19"/>
      <c r="B193" s="10"/>
      <c r="C193" s="10"/>
      <c r="D193" s="12"/>
      <c r="E193" s="29"/>
      <c r="F193" s="24" t="str">
        <f aca="false">IF(E193="","",E193*Settings!$B$17)</f>
        <v/>
      </c>
      <c r="G193" s="24" t="str">
        <f aca="false">IF(A193="","",N(D193)+N(F193))</f>
        <v/>
      </c>
    </row>
    <row r="194" customFormat="false" ht="15" hidden="false" customHeight="false" outlineLevel="0" collapsed="false">
      <c r="A194" s="19"/>
      <c r="B194" s="10"/>
      <c r="C194" s="10"/>
      <c r="D194" s="12"/>
      <c r="E194" s="29"/>
      <c r="F194" s="24" t="str">
        <f aca="false">IF(E194="","",E194*Settings!$B$17)</f>
        <v/>
      </c>
      <c r="G194" s="24" t="str">
        <f aca="false">IF(A194="","",N(D194)+N(F194))</f>
        <v/>
      </c>
    </row>
    <row r="195" customFormat="false" ht="15" hidden="false" customHeight="false" outlineLevel="0" collapsed="false">
      <c r="A195" s="19"/>
      <c r="B195" s="10"/>
      <c r="C195" s="10"/>
      <c r="D195" s="12"/>
      <c r="E195" s="29"/>
      <c r="F195" s="24" t="str">
        <f aca="false">IF(E195="","",E195*Settings!$B$17)</f>
        <v/>
      </c>
      <c r="G195" s="24" t="str">
        <f aca="false">IF(A195="","",N(D195)+N(F195))</f>
        <v/>
      </c>
    </row>
    <row r="196" customFormat="false" ht="15" hidden="false" customHeight="false" outlineLevel="0" collapsed="false">
      <c r="A196" s="19"/>
      <c r="B196" s="10"/>
      <c r="C196" s="10"/>
      <c r="D196" s="12"/>
      <c r="E196" s="29"/>
      <c r="F196" s="24" t="str">
        <f aca="false">IF(E196="","",E196*Settings!$B$17)</f>
        <v/>
      </c>
      <c r="G196" s="24" t="str">
        <f aca="false">IF(A196="","",N(D196)+N(F196))</f>
        <v/>
      </c>
    </row>
    <row r="197" customFormat="false" ht="15" hidden="false" customHeight="false" outlineLevel="0" collapsed="false">
      <c r="A197" s="19"/>
      <c r="B197" s="10"/>
      <c r="C197" s="10"/>
      <c r="D197" s="12"/>
      <c r="E197" s="29"/>
      <c r="F197" s="24" t="str">
        <f aca="false">IF(E197="","",E197*Settings!$B$17)</f>
        <v/>
      </c>
      <c r="G197" s="24" t="str">
        <f aca="false">IF(A197="","",N(D197)+N(F197))</f>
        <v/>
      </c>
    </row>
    <row r="198" customFormat="false" ht="15" hidden="false" customHeight="false" outlineLevel="0" collapsed="false">
      <c r="A198" s="19"/>
      <c r="B198" s="10"/>
      <c r="C198" s="10"/>
      <c r="D198" s="12"/>
      <c r="E198" s="29"/>
      <c r="F198" s="24" t="str">
        <f aca="false">IF(E198="","",E198*Settings!$B$17)</f>
        <v/>
      </c>
      <c r="G198" s="24" t="str">
        <f aca="false">IF(A198="","",N(D198)+N(F198))</f>
        <v/>
      </c>
    </row>
    <row r="199" customFormat="false" ht="15" hidden="false" customHeight="false" outlineLevel="0" collapsed="false">
      <c r="A199" s="19"/>
      <c r="B199" s="10"/>
      <c r="C199" s="10"/>
      <c r="D199" s="12"/>
      <c r="E199" s="29"/>
      <c r="F199" s="24" t="str">
        <f aca="false">IF(E199="","",E199*Settings!$B$17)</f>
        <v/>
      </c>
      <c r="G199" s="24" t="str">
        <f aca="false">IF(A199="","",N(D199)+N(F199))</f>
        <v/>
      </c>
    </row>
    <row r="200" customFormat="false" ht="15" hidden="false" customHeight="false" outlineLevel="0" collapsed="false">
      <c r="A200" s="19"/>
      <c r="B200" s="10"/>
      <c r="C200" s="10"/>
      <c r="D200" s="12"/>
      <c r="E200" s="29"/>
      <c r="F200" s="24" t="str">
        <f aca="false">IF(E200="","",E200*Settings!$B$17)</f>
        <v/>
      </c>
      <c r="G200" s="24" t="str">
        <f aca="false">IF(A200="","",N(D200)+N(F200))</f>
        <v/>
      </c>
    </row>
    <row r="201" customFormat="false" ht="15" hidden="false" customHeight="false" outlineLevel="0" collapsed="false">
      <c r="A201" s="19"/>
      <c r="B201" s="10"/>
      <c r="C201" s="10"/>
      <c r="D201" s="12"/>
      <c r="E201" s="29"/>
      <c r="F201" s="24" t="str">
        <f aca="false">IF(E201="","",E201*Settings!$B$17)</f>
        <v/>
      </c>
      <c r="G201" s="24" t="str">
        <f aca="false">IF(A201="","",N(D201)+N(F201))</f>
        <v/>
      </c>
    </row>
    <row r="202" customFormat="false" ht="15" hidden="false" customHeight="false" outlineLevel="0" collapsed="false">
      <c r="A202" s="19"/>
      <c r="B202" s="10"/>
      <c r="C202" s="10"/>
      <c r="D202" s="12"/>
      <c r="E202" s="29"/>
      <c r="F202" s="24" t="str">
        <f aca="false">IF(E202="","",E202*Settings!$B$17)</f>
        <v/>
      </c>
      <c r="G202" s="24" t="str">
        <f aca="false">IF(A202="","",N(D202)+N(F202))</f>
        <v/>
      </c>
    </row>
    <row r="203" customFormat="false" ht="15" hidden="false" customHeight="false" outlineLevel="0" collapsed="false">
      <c r="A203" s="19"/>
      <c r="B203" s="10"/>
      <c r="C203" s="10"/>
      <c r="D203" s="12"/>
      <c r="E203" s="29"/>
      <c r="F203" s="24" t="str">
        <f aca="false">IF(E203="","",E203*Settings!$B$17)</f>
        <v/>
      </c>
      <c r="G203" s="24" t="str">
        <f aca="false">IF(A203="","",N(D203)+N(F203))</f>
        <v/>
      </c>
    </row>
    <row r="204" customFormat="false" ht="15" hidden="false" customHeight="false" outlineLevel="0" collapsed="false">
      <c r="A204" s="19"/>
      <c r="B204" s="10"/>
      <c r="C204" s="10"/>
      <c r="D204" s="12"/>
      <c r="E204" s="29"/>
      <c r="F204" s="24" t="str">
        <f aca="false">IF(E204="","",E204*Settings!$B$17)</f>
        <v/>
      </c>
      <c r="G204" s="24" t="str">
        <f aca="false">IF(A204="","",N(D204)+N(F204))</f>
        <v/>
      </c>
    </row>
    <row r="205" customFormat="false" ht="15" hidden="false" customHeight="false" outlineLevel="0" collapsed="false">
      <c r="A205" s="19"/>
      <c r="B205" s="10"/>
      <c r="C205" s="10"/>
      <c r="D205" s="12"/>
      <c r="E205" s="29"/>
      <c r="F205" s="24" t="str">
        <f aca="false">IF(E205="","",E205*Settings!$B$17)</f>
        <v/>
      </c>
      <c r="G205" s="24" t="str">
        <f aca="false">IF(A205="","",N(D205)+N(F205))</f>
        <v/>
      </c>
    </row>
    <row r="206" customFormat="false" ht="15" hidden="false" customHeight="false" outlineLevel="0" collapsed="false">
      <c r="A206" s="19"/>
      <c r="B206" s="10"/>
      <c r="C206" s="10"/>
      <c r="D206" s="12"/>
      <c r="E206" s="29"/>
      <c r="F206" s="24" t="str">
        <f aca="false">IF(E206="","",E206*Settings!$B$17)</f>
        <v/>
      </c>
      <c r="G206" s="24" t="str">
        <f aca="false">IF(A206="","",N(D206)+N(F206))</f>
        <v/>
      </c>
    </row>
    <row r="207" customFormat="false" ht="15" hidden="false" customHeight="false" outlineLevel="0" collapsed="false">
      <c r="A207" s="19"/>
      <c r="B207" s="10"/>
      <c r="C207" s="10"/>
      <c r="D207" s="12"/>
      <c r="E207" s="29"/>
      <c r="F207" s="24" t="str">
        <f aca="false">IF(E207="","",E207*Settings!$B$17)</f>
        <v/>
      </c>
      <c r="G207" s="24" t="str">
        <f aca="false">IF(A207="","",N(D207)+N(F207))</f>
        <v/>
      </c>
    </row>
    <row r="208" customFormat="false" ht="15" hidden="false" customHeight="false" outlineLevel="0" collapsed="false">
      <c r="A208" s="19"/>
      <c r="B208" s="10"/>
      <c r="C208" s="10"/>
      <c r="D208" s="12"/>
      <c r="E208" s="29"/>
      <c r="F208" s="24" t="str">
        <f aca="false">IF(E208="","",E208*Settings!$B$17)</f>
        <v/>
      </c>
      <c r="G208" s="24" t="str">
        <f aca="false">IF(A208="","",N(D208)+N(F208))</f>
        <v/>
      </c>
    </row>
    <row r="209" customFormat="false" ht="15" hidden="false" customHeight="false" outlineLevel="0" collapsed="false">
      <c r="A209" s="19"/>
      <c r="B209" s="10"/>
      <c r="C209" s="10"/>
      <c r="D209" s="12"/>
      <c r="E209" s="29"/>
      <c r="F209" s="24" t="str">
        <f aca="false">IF(E209="","",E209*Settings!$B$17)</f>
        <v/>
      </c>
      <c r="G209" s="24" t="str">
        <f aca="false">IF(A209="","",N(D209)+N(F209))</f>
        <v/>
      </c>
    </row>
    <row r="210" customFormat="false" ht="15" hidden="false" customHeight="false" outlineLevel="0" collapsed="false">
      <c r="A210" s="19"/>
      <c r="B210" s="10"/>
      <c r="C210" s="10"/>
      <c r="D210" s="12"/>
      <c r="E210" s="29"/>
      <c r="F210" s="24" t="str">
        <f aca="false">IF(E210="","",E210*Settings!$B$17)</f>
        <v/>
      </c>
      <c r="G210" s="24" t="str">
        <f aca="false">IF(A210="","",N(D210)+N(F210))</f>
        <v/>
      </c>
    </row>
    <row r="211" customFormat="false" ht="15" hidden="false" customHeight="false" outlineLevel="0" collapsed="false">
      <c r="A211" s="19"/>
      <c r="B211" s="10"/>
      <c r="C211" s="10"/>
      <c r="D211" s="12"/>
      <c r="E211" s="29"/>
      <c r="F211" s="24" t="str">
        <f aca="false">IF(E211="","",E211*Settings!$B$17)</f>
        <v/>
      </c>
      <c r="G211" s="24" t="str">
        <f aca="false">IF(A211="","",N(D211)+N(F211))</f>
        <v/>
      </c>
    </row>
    <row r="212" customFormat="false" ht="15" hidden="false" customHeight="false" outlineLevel="0" collapsed="false">
      <c r="A212" s="19"/>
      <c r="B212" s="10"/>
      <c r="C212" s="10"/>
      <c r="D212" s="12"/>
      <c r="E212" s="29"/>
      <c r="F212" s="24" t="str">
        <f aca="false">IF(E212="","",E212*Settings!$B$17)</f>
        <v/>
      </c>
      <c r="G212" s="24" t="str">
        <f aca="false">IF(A212="","",N(D212)+N(F212))</f>
        <v/>
      </c>
    </row>
    <row r="213" customFormat="false" ht="15" hidden="false" customHeight="false" outlineLevel="0" collapsed="false">
      <c r="A213" s="19"/>
      <c r="B213" s="10"/>
      <c r="C213" s="10"/>
      <c r="D213" s="12"/>
      <c r="E213" s="29"/>
      <c r="F213" s="24" t="str">
        <f aca="false">IF(E213="","",E213*Settings!$B$17)</f>
        <v/>
      </c>
      <c r="G213" s="24" t="str">
        <f aca="false">IF(A213="","",N(D213)+N(F213))</f>
        <v/>
      </c>
    </row>
    <row r="214" customFormat="false" ht="15" hidden="false" customHeight="false" outlineLevel="0" collapsed="false">
      <c r="A214" s="19"/>
      <c r="B214" s="10"/>
      <c r="C214" s="10"/>
      <c r="D214" s="12"/>
      <c r="E214" s="29"/>
      <c r="F214" s="24" t="str">
        <f aca="false">IF(E214="","",E214*Settings!$B$17)</f>
        <v/>
      </c>
      <c r="G214" s="24" t="str">
        <f aca="false">IF(A214="","",N(D214)+N(F214))</f>
        <v/>
      </c>
    </row>
    <row r="215" customFormat="false" ht="15" hidden="false" customHeight="false" outlineLevel="0" collapsed="false">
      <c r="A215" s="19"/>
      <c r="B215" s="10"/>
      <c r="C215" s="10"/>
      <c r="D215" s="12"/>
      <c r="E215" s="29"/>
      <c r="F215" s="24" t="str">
        <f aca="false">IF(E215="","",E215*Settings!$B$17)</f>
        <v/>
      </c>
      <c r="G215" s="24" t="str">
        <f aca="false">IF(A215="","",N(D215)+N(F215))</f>
        <v/>
      </c>
    </row>
    <row r="216" customFormat="false" ht="15" hidden="false" customHeight="false" outlineLevel="0" collapsed="false">
      <c r="A216" s="19"/>
      <c r="B216" s="10"/>
      <c r="C216" s="10"/>
      <c r="D216" s="12"/>
      <c r="E216" s="29"/>
      <c r="F216" s="24" t="str">
        <f aca="false">IF(E216="","",E216*Settings!$B$17)</f>
        <v/>
      </c>
      <c r="G216" s="24" t="str">
        <f aca="false">IF(A216="","",N(D216)+N(F216))</f>
        <v/>
      </c>
    </row>
    <row r="217" customFormat="false" ht="15" hidden="false" customHeight="false" outlineLevel="0" collapsed="false">
      <c r="A217" s="19"/>
      <c r="B217" s="10"/>
      <c r="C217" s="10"/>
      <c r="D217" s="12"/>
      <c r="E217" s="29"/>
      <c r="F217" s="24" t="str">
        <f aca="false">IF(E217="","",E217*Settings!$B$17)</f>
        <v/>
      </c>
      <c r="G217" s="24" t="str">
        <f aca="false">IF(A217="","",N(D217)+N(F217))</f>
        <v/>
      </c>
    </row>
    <row r="218" customFormat="false" ht="15" hidden="false" customHeight="false" outlineLevel="0" collapsed="false">
      <c r="A218" s="19"/>
      <c r="B218" s="10"/>
      <c r="C218" s="10"/>
      <c r="D218" s="12"/>
      <c r="E218" s="29"/>
      <c r="F218" s="24" t="str">
        <f aca="false">IF(E218="","",E218*Settings!$B$17)</f>
        <v/>
      </c>
      <c r="G218" s="24" t="str">
        <f aca="false">IF(A218="","",N(D218)+N(F218))</f>
        <v/>
      </c>
    </row>
    <row r="219" customFormat="false" ht="15" hidden="false" customHeight="false" outlineLevel="0" collapsed="false">
      <c r="A219" s="19"/>
      <c r="B219" s="10"/>
      <c r="C219" s="10"/>
      <c r="D219" s="12"/>
      <c r="E219" s="29"/>
      <c r="F219" s="24" t="str">
        <f aca="false">IF(E219="","",E219*Settings!$B$17)</f>
        <v/>
      </c>
      <c r="G219" s="24" t="str">
        <f aca="false">IF(A219="","",N(D219)+N(F219))</f>
        <v/>
      </c>
    </row>
    <row r="220" customFormat="false" ht="15" hidden="false" customHeight="false" outlineLevel="0" collapsed="false">
      <c r="A220" s="19"/>
      <c r="B220" s="10"/>
      <c r="C220" s="10"/>
      <c r="D220" s="12"/>
      <c r="E220" s="29"/>
      <c r="F220" s="24" t="str">
        <f aca="false">IF(E220="","",E220*Settings!$B$17)</f>
        <v/>
      </c>
      <c r="G220" s="24" t="str">
        <f aca="false">IF(A220="","",N(D220)+N(F220))</f>
        <v/>
      </c>
    </row>
    <row r="221" customFormat="false" ht="15" hidden="false" customHeight="false" outlineLevel="0" collapsed="false">
      <c r="A221" s="19"/>
      <c r="B221" s="10"/>
      <c r="C221" s="10"/>
      <c r="D221" s="12"/>
      <c r="E221" s="29"/>
      <c r="F221" s="24" t="str">
        <f aca="false">IF(E221="","",E221*Settings!$B$17)</f>
        <v/>
      </c>
      <c r="G221" s="24" t="str">
        <f aca="false">IF(A221="","",N(D221)+N(F221))</f>
        <v/>
      </c>
    </row>
    <row r="222" customFormat="false" ht="15" hidden="false" customHeight="false" outlineLevel="0" collapsed="false">
      <c r="A222" s="19"/>
      <c r="B222" s="10"/>
      <c r="C222" s="10"/>
      <c r="D222" s="12"/>
      <c r="E222" s="29"/>
      <c r="F222" s="24" t="str">
        <f aca="false">IF(E222="","",E222*Settings!$B$17)</f>
        <v/>
      </c>
      <c r="G222" s="24" t="str">
        <f aca="false">IF(A222="","",N(D222)+N(F222))</f>
        <v/>
      </c>
    </row>
    <row r="223" customFormat="false" ht="15" hidden="false" customHeight="false" outlineLevel="0" collapsed="false">
      <c r="A223" s="19"/>
      <c r="B223" s="10"/>
      <c r="C223" s="10"/>
      <c r="D223" s="12"/>
      <c r="E223" s="29"/>
      <c r="F223" s="24" t="str">
        <f aca="false">IF(E223="","",E223*Settings!$B$17)</f>
        <v/>
      </c>
      <c r="G223" s="24" t="str">
        <f aca="false">IF(A223="","",N(D223)+N(F223))</f>
        <v/>
      </c>
    </row>
    <row r="224" customFormat="false" ht="15" hidden="false" customHeight="false" outlineLevel="0" collapsed="false">
      <c r="A224" s="19"/>
      <c r="B224" s="10"/>
      <c r="C224" s="10"/>
      <c r="D224" s="12"/>
      <c r="E224" s="29"/>
      <c r="F224" s="24" t="str">
        <f aca="false">IF(E224="","",E224*Settings!$B$17)</f>
        <v/>
      </c>
      <c r="G224" s="24" t="str">
        <f aca="false">IF(A224="","",N(D224)+N(F224))</f>
        <v/>
      </c>
    </row>
    <row r="225" customFormat="false" ht="15" hidden="false" customHeight="false" outlineLevel="0" collapsed="false">
      <c r="A225" s="19"/>
      <c r="B225" s="10"/>
      <c r="C225" s="10"/>
      <c r="D225" s="12"/>
      <c r="E225" s="29"/>
      <c r="F225" s="24" t="str">
        <f aca="false">IF(E225="","",E225*Settings!$B$17)</f>
        <v/>
      </c>
      <c r="G225" s="24" t="str">
        <f aca="false">IF(A225="","",N(D225)+N(F225))</f>
        <v/>
      </c>
    </row>
    <row r="226" customFormat="false" ht="15" hidden="false" customHeight="false" outlineLevel="0" collapsed="false">
      <c r="A226" s="19"/>
      <c r="B226" s="10"/>
      <c r="C226" s="10"/>
      <c r="D226" s="12"/>
      <c r="E226" s="29"/>
      <c r="F226" s="24" t="str">
        <f aca="false">IF(E226="","",E226*Settings!$B$17)</f>
        <v/>
      </c>
      <c r="G226" s="24" t="str">
        <f aca="false">IF(A226="","",N(D226)+N(F226))</f>
        <v/>
      </c>
    </row>
    <row r="227" customFormat="false" ht="15" hidden="false" customHeight="false" outlineLevel="0" collapsed="false">
      <c r="A227" s="19"/>
      <c r="B227" s="10"/>
      <c r="C227" s="10"/>
      <c r="D227" s="12"/>
      <c r="E227" s="29"/>
      <c r="F227" s="24" t="str">
        <f aca="false">IF(E227="","",E227*Settings!$B$17)</f>
        <v/>
      </c>
      <c r="G227" s="24" t="str">
        <f aca="false">IF(A227="","",N(D227)+N(F227))</f>
        <v/>
      </c>
    </row>
    <row r="228" customFormat="false" ht="15" hidden="false" customHeight="false" outlineLevel="0" collapsed="false">
      <c r="A228" s="19"/>
      <c r="B228" s="10"/>
      <c r="C228" s="10"/>
      <c r="D228" s="12"/>
      <c r="E228" s="29"/>
      <c r="F228" s="24" t="str">
        <f aca="false">IF(E228="","",E228*Settings!$B$17)</f>
        <v/>
      </c>
      <c r="G228" s="24" t="str">
        <f aca="false">IF(A228="","",N(D228)+N(F228))</f>
        <v/>
      </c>
    </row>
    <row r="229" customFormat="false" ht="15" hidden="false" customHeight="false" outlineLevel="0" collapsed="false">
      <c r="A229" s="19"/>
      <c r="B229" s="10"/>
      <c r="C229" s="10"/>
      <c r="D229" s="12"/>
      <c r="E229" s="29"/>
      <c r="F229" s="24" t="str">
        <f aca="false">IF(E229="","",E229*Settings!$B$17)</f>
        <v/>
      </c>
      <c r="G229" s="24" t="str">
        <f aca="false">IF(A229="","",N(D229)+N(F229))</f>
        <v/>
      </c>
    </row>
    <row r="230" customFormat="false" ht="15" hidden="false" customHeight="false" outlineLevel="0" collapsed="false">
      <c r="A230" s="19"/>
      <c r="B230" s="10"/>
      <c r="C230" s="10"/>
      <c r="D230" s="12"/>
      <c r="E230" s="29"/>
      <c r="F230" s="24" t="str">
        <f aca="false">IF(E230="","",E230*Settings!$B$17)</f>
        <v/>
      </c>
      <c r="G230" s="24" t="str">
        <f aca="false">IF(A230="","",N(D230)+N(F230))</f>
        <v/>
      </c>
    </row>
    <row r="231" customFormat="false" ht="15" hidden="false" customHeight="false" outlineLevel="0" collapsed="false">
      <c r="A231" s="19"/>
      <c r="B231" s="10"/>
      <c r="C231" s="10"/>
      <c r="D231" s="12"/>
      <c r="E231" s="29"/>
      <c r="F231" s="24" t="str">
        <f aca="false">IF(E231="","",E231*Settings!$B$17)</f>
        <v/>
      </c>
      <c r="G231" s="24" t="str">
        <f aca="false">IF(A231="","",N(D231)+N(F231))</f>
        <v/>
      </c>
    </row>
    <row r="232" customFormat="false" ht="15" hidden="false" customHeight="false" outlineLevel="0" collapsed="false">
      <c r="A232" s="19"/>
      <c r="B232" s="10"/>
      <c r="C232" s="10"/>
      <c r="D232" s="12"/>
      <c r="E232" s="29"/>
      <c r="F232" s="24" t="str">
        <f aca="false">IF(E232="","",E232*Settings!$B$17)</f>
        <v/>
      </c>
      <c r="G232" s="24" t="str">
        <f aca="false">IF(A232="","",N(D232)+N(F232))</f>
        <v/>
      </c>
    </row>
    <row r="233" customFormat="false" ht="15" hidden="false" customHeight="false" outlineLevel="0" collapsed="false">
      <c r="A233" s="19"/>
      <c r="B233" s="10"/>
      <c r="C233" s="10"/>
      <c r="D233" s="12"/>
      <c r="E233" s="29"/>
      <c r="F233" s="24" t="str">
        <f aca="false">IF(E233="","",E233*Settings!$B$17)</f>
        <v/>
      </c>
      <c r="G233" s="24" t="str">
        <f aca="false">IF(A233="","",N(D233)+N(F233))</f>
        <v/>
      </c>
    </row>
    <row r="234" customFormat="false" ht="15" hidden="false" customHeight="false" outlineLevel="0" collapsed="false">
      <c r="A234" s="19"/>
      <c r="B234" s="10"/>
      <c r="C234" s="10"/>
      <c r="D234" s="12"/>
      <c r="E234" s="29"/>
      <c r="F234" s="24" t="str">
        <f aca="false">IF(E234="","",E234*Settings!$B$17)</f>
        <v/>
      </c>
      <c r="G234" s="24" t="str">
        <f aca="false">IF(A234="","",N(D234)+N(F234))</f>
        <v/>
      </c>
    </row>
    <row r="235" customFormat="false" ht="15" hidden="false" customHeight="false" outlineLevel="0" collapsed="false">
      <c r="A235" s="19"/>
      <c r="B235" s="10"/>
      <c r="C235" s="10"/>
      <c r="D235" s="12"/>
      <c r="E235" s="29"/>
      <c r="F235" s="24" t="str">
        <f aca="false">IF(E235="","",E235*Settings!$B$17)</f>
        <v/>
      </c>
      <c r="G235" s="24" t="str">
        <f aca="false">IF(A235="","",N(D235)+N(F235))</f>
        <v/>
      </c>
    </row>
    <row r="236" customFormat="false" ht="15" hidden="false" customHeight="false" outlineLevel="0" collapsed="false">
      <c r="A236" s="19"/>
      <c r="B236" s="10"/>
      <c r="C236" s="10"/>
      <c r="D236" s="12"/>
      <c r="E236" s="29"/>
      <c r="F236" s="24" t="str">
        <f aca="false">IF(E236="","",E236*Settings!$B$17)</f>
        <v/>
      </c>
      <c r="G236" s="24" t="str">
        <f aca="false">IF(A236="","",N(D236)+N(F236))</f>
        <v/>
      </c>
    </row>
    <row r="237" customFormat="false" ht="15" hidden="false" customHeight="false" outlineLevel="0" collapsed="false">
      <c r="A237" s="19"/>
      <c r="B237" s="10"/>
      <c r="C237" s="10"/>
      <c r="D237" s="12"/>
      <c r="E237" s="29"/>
      <c r="F237" s="24" t="str">
        <f aca="false">IF(E237="","",E237*Settings!$B$17)</f>
        <v/>
      </c>
      <c r="G237" s="24" t="str">
        <f aca="false">IF(A237="","",N(D237)+N(F237))</f>
        <v/>
      </c>
    </row>
    <row r="238" customFormat="false" ht="15" hidden="false" customHeight="false" outlineLevel="0" collapsed="false">
      <c r="A238" s="19"/>
      <c r="B238" s="10"/>
      <c r="C238" s="10"/>
      <c r="D238" s="12"/>
      <c r="E238" s="29"/>
      <c r="F238" s="24" t="str">
        <f aca="false">IF(E238="","",E238*Settings!$B$17)</f>
        <v/>
      </c>
      <c r="G238" s="24" t="str">
        <f aca="false">IF(A238="","",N(D238)+N(F238))</f>
        <v/>
      </c>
    </row>
    <row r="239" customFormat="false" ht="15" hidden="false" customHeight="false" outlineLevel="0" collapsed="false">
      <c r="A239" s="19"/>
      <c r="B239" s="10"/>
      <c r="C239" s="10"/>
      <c r="D239" s="12"/>
      <c r="E239" s="29"/>
      <c r="F239" s="24" t="str">
        <f aca="false">IF(E239="","",E239*Settings!$B$17)</f>
        <v/>
      </c>
      <c r="G239" s="24" t="str">
        <f aca="false">IF(A239="","",N(D239)+N(F239))</f>
        <v/>
      </c>
    </row>
    <row r="240" customFormat="false" ht="15" hidden="false" customHeight="false" outlineLevel="0" collapsed="false">
      <c r="A240" s="19"/>
      <c r="B240" s="10"/>
      <c r="C240" s="10"/>
      <c r="D240" s="12"/>
      <c r="E240" s="29"/>
      <c r="F240" s="24" t="str">
        <f aca="false">IF(E240="","",E240*Settings!$B$17)</f>
        <v/>
      </c>
      <c r="G240" s="24" t="str">
        <f aca="false">IF(A240="","",N(D240)+N(F240))</f>
        <v/>
      </c>
    </row>
    <row r="241" customFormat="false" ht="15" hidden="false" customHeight="false" outlineLevel="0" collapsed="false">
      <c r="A241" s="19"/>
      <c r="B241" s="10"/>
      <c r="C241" s="10"/>
      <c r="D241" s="12"/>
      <c r="E241" s="29"/>
      <c r="F241" s="24" t="str">
        <f aca="false">IF(E241="","",E241*Settings!$B$17)</f>
        <v/>
      </c>
      <c r="G241" s="24" t="str">
        <f aca="false">IF(A241="","",N(D241)+N(F241))</f>
        <v/>
      </c>
    </row>
    <row r="242" customFormat="false" ht="15" hidden="false" customHeight="false" outlineLevel="0" collapsed="false">
      <c r="A242" s="19"/>
      <c r="B242" s="10"/>
      <c r="C242" s="10"/>
      <c r="D242" s="12"/>
      <c r="E242" s="29"/>
      <c r="F242" s="24" t="str">
        <f aca="false">IF(E242="","",E242*Settings!$B$17)</f>
        <v/>
      </c>
      <c r="G242" s="24" t="str">
        <f aca="false">IF(A242="","",N(D242)+N(F242))</f>
        <v/>
      </c>
    </row>
    <row r="243" customFormat="false" ht="15" hidden="false" customHeight="false" outlineLevel="0" collapsed="false">
      <c r="A243" s="19"/>
      <c r="B243" s="10"/>
      <c r="C243" s="10"/>
      <c r="D243" s="12"/>
      <c r="E243" s="29"/>
      <c r="F243" s="24" t="str">
        <f aca="false">IF(E243="","",E243*Settings!$B$17)</f>
        <v/>
      </c>
      <c r="G243" s="24" t="str">
        <f aca="false">IF(A243="","",N(D243)+N(F243))</f>
        <v/>
      </c>
    </row>
    <row r="244" customFormat="false" ht="15" hidden="false" customHeight="false" outlineLevel="0" collapsed="false">
      <c r="A244" s="19"/>
      <c r="B244" s="10"/>
      <c r="C244" s="10"/>
      <c r="D244" s="12"/>
      <c r="E244" s="29"/>
      <c r="F244" s="24" t="str">
        <f aca="false">IF(E244="","",E244*Settings!$B$17)</f>
        <v/>
      </c>
      <c r="G244" s="24" t="str">
        <f aca="false">IF(A244="","",N(D244)+N(F244))</f>
        <v/>
      </c>
    </row>
    <row r="245" customFormat="false" ht="15" hidden="false" customHeight="false" outlineLevel="0" collapsed="false">
      <c r="A245" s="19"/>
      <c r="B245" s="10"/>
      <c r="C245" s="10"/>
      <c r="D245" s="12"/>
      <c r="E245" s="29"/>
      <c r="F245" s="24" t="str">
        <f aca="false">IF(E245="","",E245*Settings!$B$17)</f>
        <v/>
      </c>
      <c r="G245" s="24" t="str">
        <f aca="false">IF(A245="","",N(D245)+N(F245))</f>
        <v/>
      </c>
    </row>
    <row r="246" customFormat="false" ht="15" hidden="false" customHeight="false" outlineLevel="0" collapsed="false">
      <c r="A246" s="19"/>
      <c r="B246" s="10"/>
      <c r="C246" s="10"/>
      <c r="D246" s="12"/>
      <c r="E246" s="29"/>
      <c r="F246" s="24" t="str">
        <f aca="false">IF(E246="","",E246*Settings!$B$17)</f>
        <v/>
      </c>
      <c r="G246" s="24" t="str">
        <f aca="false">IF(A246="","",N(D246)+N(F246))</f>
        <v/>
      </c>
    </row>
    <row r="247" customFormat="false" ht="15" hidden="false" customHeight="false" outlineLevel="0" collapsed="false">
      <c r="A247" s="19"/>
      <c r="B247" s="10"/>
      <c r="C247" s="10"/>
      <c r="D247" s="12"/>
      <c r="E247" s="29"/>
      <c r="F247" s="24" t="str">
        <f aca="false">IF(E247="","",E247*Settings!$B$17)</f>
        <v/>
      </c>
      <c r="G247" s="24" t="str">
        <f aca="false">IF(A247="","",N(D247)+N(F247))</f>
        <v/>
      </c>
    </row>
    <row r="248" customFormat="false" ht="15" hidden="false" customHeight="false" outlineLevel="0" collapsed="false">
      <c r="A248" s="19"/>
      <c r="B248" s="10"/>
      <c r="C248" s="10"/>
      <c r="D248" s="12"/>
      <c r="E248" s="29"/>
      <c r="F248" s="24" t="str">
        <f aca="false">IF(E248="","",E248*Settings!$B$17)</f>
        <v/>
      </c>
      <c r="G248" s="24" t="str">
        <f aca="false">IF(A248="","",N(D248)+N(F248))</f>
        <v/>
      </c>
    </row>
    <row r="249" customFormat="false" ht="15" hidden="false" customHeight="false" outlineLevel="0" collapsed="false">
      <c r="A249" s="19"/>
      <c r="B249" s="10"/>
      <c r="C249" s="10"/>
      <c r="D249" s="12"/>
      <c r="E249" s="29"/>
      <c r="F249" s="24" t="str">
        <f aca="false">IF(E249="","",E249*Settings!$B$17)</f>
        <v/>
      </c>
      <c r="G249" s="24" t="str">
        <f aca="false">IF(A249="","",N(D249)+N(F249))</f>
        <v/>
      </c>
    </row>
    <row r="250" customFormat="false" ht="15" hidden="false" customHeight="false" outlineLevel="0" collapsed="false">
      <c r="A250" s="19"/>
      <c r="B250" s="10"/>
      <c r="C250" s="10"/>
      <c r="D250" s="12"/>
      <c r="E250" s="29"/>
      <c r="F250" s="24" t="str">
        <f aca="false">IF(E250="","",E250*Settings!$B$17)</f>
        <v/>
      </c>
      <c r="G250" s="24" t="str">
        <f aca="false">IF(A250="","",N(D250)+N(F250))</f>
        <v/>
      </c>
    </row>
    <row r="251" customFormat="false" ht="15" hidden="false" customHeight="false" outlineLevel="0" collapsed="false">
      <c r="A251" s="19"/>
      <c r="B251" s="10"/>
      <c r="C251" s="10"/>
      <c r="D251" s="12"/>
      <c r="E251" s="29"/>
      <c r="F251" s="24" t="str">
        <f aca="false">IF(E251="","",E251*Settings!$B$17)</f>
        <v/>
      </c>
      <c r="G251" s="24" t="str">
        <f aca="false">IF(A251="","",N(D251)+N(F251))</f>
        <v/>
      </c>
    </row>
    <row r="252" customFormat="false" ht="15" hidden="false" customHeight="false" outlineLevel="0" collapsed="false">
      <c r="A252" s="19"/>
      <c r="B252" s="10"/>
      <c r="C252" s="10"/>
      <c r="D252" s="12"/>
      <c r="E252" s="29"/>
      <c r="F252" s="24" t="str">
        <f aca="false">IF(E252="","",E252*Settings!$B$17)</f>
        <v/>
      </c>
      <c r="G252" s="24" t="str">
        <f aca="false">IF(A252="","",N(D252)+N(F252))</f>
        <v/>
      </c>
    </row>
    <row r="253" customFormat="false" ht="15" hidden="false" customHeight="false" outlineLevel="0" collapsed="false">
      <c r="A253" s="19"/>
      <c r="B253" s="10"/>
      <c r="C253" s="10"/>
      <c r="D253" s="12"/>
      <c r="E253" s="29"/>
      <c r="F253" s="24" t="str">
        <f aca="false">IF(E253="","",E253*Settings!$B$17)</f>
        <v/>
      </c>
      <c r="G253" s="24" t="str">
        <f aca="false">IF(A253="","",N(D253)+N(F253))</f>
        <v/>
      </c>
    </row>
    <row r="254" customFormat="false" ht="15" hidden="false" customHeight="false" outlineLevel="0" collapsed="false">
      <c r="A254" s="19"/>
      <c r="B254" s="10"/>
      <c r="C254" s="10"/>
      <c r="D254" s="12"/>
      <c r="E254" s="29"/>
      <c r="F254" s="24" t="str">
        <f aca="false">IF(E254="","",E254*Settings!$B$17)</f>
        <v/>
      </c>
      <c r="G254" s="24" t="str">
        <f aca="false">IF(A254="","",N(D254)+N(F254))</f>
        <v/>
      </c>
    </row>
    <row r="255" customFormat="false" ht="15" hidden="false" customHeight="false" outlineLevel="0" collapsed="false">
      <c r="A255" s="19"/>
      <c r="B255" s="10"/>
      <c r="C255" s="10"/>
      <c r="D255" s="12"/>
      <c r="E255" s="29"/>
      <c r="F255" s="24" t="str">
        <f aca="false">IF(E255="","",E255*Settings!$B$17)</f>
        <v/>
      </c>
      <c r="G255" s="24" t="str">
        <f aca="false">IF(A255="","",N(D255)+N(F255))</f>
        <v/>
      </c>
    </row>
    <row r="256" customFormat="false" ht="15" hidden="false" customHeight="false" outlineLevel="0" collapsed="false">
      <c r="A256" s="19"/>
      <c r="B256" s="10"/>
      <c r="C256" s="10"/>
      <c r="D256" s="12"/>
      <c r="E256" s="29"/>
      <c r="F256" s="24" t="str">
        <f aca="false">IF(E256="","",E256*Settings!$B$17)</f>
        <v/>
      </c>
      <c r="G256" s="24" t="str">
        <f aca="false">IF(A256="","",N(D256)+N(F256))</f>
        <v/>
      </c>
    </row>
    <row r="257" customFormat="false" ht="15" hidden="false" customHeight="false" outlineLevel="0" collapsed="false">
      <c r="A257" s="19"/>
      <c r="B257" s="10"/>
      <c r="C257" s="10"/>
      <c r="D257" s="12"/>
      <c r="E257" s="29"/>
      <c r="F257" s="24" t="str">
        <f aca="false">IF(E257="","",E257*Settings!$B$17)</f>
        <v/>
      </c>
      <c r="G257" s="24" t="str">
        <f aca="false">IF(A257="","",N(D257)+N(F257))</f>
        <v/>
      </c>
    </row>
    <row r="258" customFormat="false" ht="15" hidden="false" customHeight="false" outlineLevel="0" collapsed="false">
      <c r="A258" s="19"/>
      <c r="B258" s="10"/>
      <c r="C258" s="10"/>
      <c r="D258" s="12"/>
      <c r="E258" s="29"/>
      <c r="F258" s="24" t="str">
        <f aca="false">IF(E258="","",E258*Settings!$B$17)</f>
        <v/>
      </c>
      <c r="G258" s="24" t="str">
        <f aca="false">IF(A258="","",N(D258)+N(F258))</f>
        <v/>
      </c>
    </row>
    <row r="259" customFormat="false" ht="15" hidden="false" customHeight="false" outlineLevel="0" collapsed="false">
      <c r="A259" s="19"/>
      <c r="B259" s="10"/>
      <c r="C259" s="10"/>
      <c r="D259" s="12"/>
      <c r="E259" s="29"/>
      <c r="F259" s="24" t="str">
        <f aca="false">IF(E259="","",E259*Settings!$B$17)</f>
        <v/>
      </c>
      <c r="G259" s="24" t="str">
        <f aca="false">IF(A259="","",N(D259)+N(F259))</f>
        <v/>
      </c>
    </row>
    <row r="260" customFormat="false" ht="15" hidden="false" customHeight="false" outlineLevel="0" collapsed="false">
      <c r="A260" s="19"/>
      <c r="B260" s="10"/>
      <c r="C260" s="10"/>
      <c r="D260" s="12"/>
      <c r="E260" s="29"/>
      <c r="F260" s="24" t="str">
        <f aca="false">IF(E260="","",E260*Settings!$B$17)</f>
        <v/>
      </c>
      <c r="G260" s="24" t="str">
        <f aca="false">IF(A260="","",N(D260)+N(F260))</f>
        <v/>
      </c>
    </row>
    <row r="261" customFormat="false" ht="15" hidden="false" customHeight="false" outlineLevel="0" collapsed="false">
      <c r="A261" s="19"/>
      <c r="B261" s="10"/>
      <c r="C261" s="10"/>
      <c r="D261" s="12"/>
      <c r="E261" s="29"/>
      <c r="F261" s="24" t="str">
        <f aca="false">IF(E261="","",E261*Settings!$B$17)</f>
        <v/>
      </c>
      <c r="G261" s="24" t="str">
        <f aca="false">IF(A261="","",N(D261)+N(F261))</f>
        <v/>
      </c>
    </row>
    <row r="262" customFormat="false" ht="15" hidden="false" customHeight="false" outlineLevel="0" collapsed="false">
      <c r="A262" s="19"/>
      <c r="B262" s="10"/>
      <c r="C262" s="10"/>
      <c r="D262" s="12"/>
      <c r="E262" s="29"/>
      <c r="F262" s="24" t="str">
        <f aca="false">IF(E262="","",E262*Settings!$B$17)</f>
        <v/>
      </c>
      <c r="G262" s="24" t="str">
        <f aca="false">IF(A262="","",N(D262)+N(F262))</f>
        <v/>
      </c>
    </row>
    <row r="263" customFormat="false" ht="15" hidden="false" customHeight="false" outlineLevel="0" collapsed="false">
      <c r="A263" s="19"/>
      <c r="B263" s="10"/>
      <c r="C263" s="10"/>
      <c r="D263" s="12"/>
      <c r="E263" s="29"/>
      <c r="F263" s="24" t="str">
        <f aca="false">IF(E263="","",E263*Settings!$B$17)</f>
        <v/>
      </c>
      <c r="G263" s="24" t="str">
        <f aca="false">IF(A263="","",N(D263)+N(F263))</f>
        <v/>
      </c>
    </row>
    <row r="264" customFormat="false" ht="15" hidden="false" customHeight="false" outlineLevel="0" collapsed="false">
      <c r="A264" s="19"/>
      <c r="B264" s="10"/>
      <c r="C264" s="10"/>
      <c r="D264" s="12"/>
      <c r="E264" s="29"/>
      <c r="F264" s="24" t="str">
        <f aca="false">IF(E264="","",E264*Settings!$B$17)</f>
        <v/>
      </c>
      <c r="G264" s="24" t="str">
        <f aca="false">IF(A264="","",N(D264)+N(F264))</f>
        <v/>
      </c>
    </row>
    <row r="265" customFormat="false" ht="15" hidden="false" customHeight="false" outlineLevel="0" collapsed="false">
      <c r="A265" s="19"/>
      <c r="B265" s="10"/>
      <c r="C265" s="10"/>
      <c r="D265" s="12"/>
      <c r="E265" s="29"/>
      <c r="F265" s="24" t="str">
        <f aca="false">IF(E265="","",E265*Settings!$B$17)</f>
        <v/>
      </c>
      <c r="G265" s="24" t="str">
        <f aca="false">IF(A265="","",N(D265)+N(F265))</f>
        <v/>
      </c>
    </row>
    <row r="266" customFormat="false" ht="15" hidden="false" customHeight="false" outlineLevel="0" collapsed="false">
      <c r="A266" s="19"/>
      <c r="B266" s="10"/>
      <c r="C266" s="10"/>
      <c r="D266" s="12"/>
      <c r="E266" s="29"/>
      <c r="F266" s="24" t="str">
        <f aca="false">IF(E266="","",E266*Settings!$B$17)</f>
        <v/>
      </c>
      <c r="G266" s="24" t="str">
        <f aca="false">IF(A266="","",N(D266)+N(F266))</f>
        <v/>
      </c>
    </row>
    <row r="267" customFormat="false" ht="15" hidden="false" customHeight="false" outlineLevel="0" collapsed="false">
      <c r="A267" s="19"/>
      <c r="B267" s="10"/>
      <c r="C267" s="10"/>
      <c r="D267" s="12"/>
      <c r="E267" s="29"/>
      <c r="F267" s="24" t="str">
        <f aca="false">IF(E267="","",E267*Settings!$B$17)</f>
        <v/>
      </c>
      <c r="G267" s="24" t="str">
        <f aca="false">IF(A267="","",N(D267)+N(F267))</f>
        <v/>
      </c>
    </row>
    <row r="268" customFormat="false" ht="15" hidden="false" customHeight="false" outlineLevel="0" collapsed="false">
      <c r="A268" s="19"/>
      <c r="B268" s="10"/>
      <c r="C268" s="10"/>
      <c r="D268" s="12"/>
      <c r="E268" s="29"/>
      <c r="F268" s="24" t="str">
        <f aca="false">IF(E268="","",E268*Settings!$B$17)</f>
        <v/>
      </c>
      <c r="G268" s="24" t="str">
        <f aca="false">IF(A268="","",N(D268)+N(F268))</f>
        <v/>
      </c>
    </row>
    <row r="269" customFormat="false" ht="15" hidden="false" customHeight="false" outlineLevel="0" collapsed="false">
      <c r="A269" s="19"/>
      <c r="B269" s="10"/>
      <c r="C269" s="10"/>
      <c r="D269" s="12"/>
      <c r="E269" s="29"/>
      <c r="F269" s="24" t="str">
        <f aca="false">IF(E269="","",E269*Settings!$B$17)</f>
        <v/>
      </c>
      <c r="G269" s="24" t="str">
        <f aca="false">IF(A269="","",N(D269)+N(F269))</f>
        <v/>
      </c>
    </row>
    <row r="270" customFormat="false" ht="15" hidden="false" customHeight="false" outlineLevel="0" collapsed="false">
      <c r="A270" s="19"/>
      <c r="B270" s="10"/>
      <c r="C270" s="10"/>
      <c r="D270" s="12"/>
      <c r="E270" s="29"/>
      <c r="F270" s="24" t="str">
        <f aca="false">IF(E270="","",E270*Settings!$B$17)</f>
        <v/>
      </c>
      <c r="G270" s="24" t="str">
        <f aca="false">IF(A270="","",N(D270)+N(F270))</f>
        <v/>
      </c>
    </row>
    <row r="271" customFormat="false" ht="15" hidden="false" customHeight="false" outlineLevel="0" collapsed="false">
      <c r="A271" s="19"/>
      <c r="B271" s="10"/>
      <c r="C271" s="10"/>
      <c r="D271" s="12"/>
      <c r="E271" s="29"/>
      <c r="F271" s="24" t="str">
        <f aca="false">IF(E271="","",E271*Settings!$B$17)</f>
        <v/>
      </c>
      <c r="G271" s="24" t="str">
        <f aca="false">IF(A271="","",N(D271)+N(F271))</f>
        <v/>
      </c>
    </row>
    <row r="272" customFormat="false" ht="15" hidden="false" customHeight="false" outlineLevel="0" collapsed="false">
      <c r="A272" s="19"/>
      <c r="B272" s="10"/>
      <c r="C272" s="10"/>
      <c r="D272" s="12"/>
      <c r="E272" s="29"/>
      <c r="F272" s="24" t="str">
        <f aca="false">IF(E272="","",E272*Settings!$B$17)</f>
        <v/>
      </c>
      <c r="G272" s="24" t="str">
        <f aca="false">IF(A272="","",N(D272)+N(F272))</f>
        <v/>
      </c>
    </row>
    <row r="273" customFormat="false" ht="15" hidden="false" customHeight="false" outlineLevel="0" collapsed="false">
      <c r="A273" s="19"/>
      <c r="B273" s="10"/>
      <c r="C273" s="10"/>
      <c r="D273" s="12"/>
      <c r="E273" s="29"/>
      <c r="F273" s="24" t="str">
        <f aca="false">IF(E273="","",E273*Settings!$B$17)</f>
        <v/>
      </c>
      <c r="G273" s="24" t="str">
        <f aca="false">IF(A273="","",N(D273)+N(F273))</f>
        <v/>
      </c>
    </row>
    <row r="274" customFormat="false" ht="15" hidden="false" customHeight="false" outlineLevel="0" collapsed="false">
      <c r="A274" s="19"/>
      <c r="B274" s="10"/>
      <c r="C274" s="10"/>
      <c r="D274" s="12"/>
      <c r="E274" s="29"/>
      <c r="F274" s="24" t="str">
        <f aca="false">IF(E274="","",E274*Settings!$B$17)</f>
        <v/>
      </c>
      <c r="G274" s="24" t="str">
        <f aca="false">IF(A274="","",N(D274)+N(F274))</f>
        <v/>
      </c>
    </row>
    <row r="275" customFormat="false" ht="15" hidden="false" customHeight="false" outlineLevel="0" collapsed="false">
      <c r="A275" s="19"/>
      <c r="B275" s="10"/>
      <c r="C275" s="10"/>
      <c r="D275" s="12"/>
      <c r="E275" s="29"/>
      <c r="F275" s="24" t="str">
        <f aca="false">IF(E275="","",E275*Settings!$B$17)</f>
        <v/>
      </c>
      <c r="G275" s="24" t="str">
        <f aca="false">IF(A275="","",N(D275)+N(F275))</f>
        <v/>
      </c>
    </row>
    <row r="276" customFormat="false" ht="15" hidden="false" customHeight="false" outlineLevel="0" collapsed="false">
      <c r="A276" s="19"/>
      <c r="B276" s="10"/>
      <c r="C276" s="10"/>
      <c r="D276" s="12"/>
      <c r="E276" s="29"/>
      <c r="F276" s="24" t="str">
        <f aca="false">IF(E276="","",E276*Settings!$B$17)</f>
        <v/>
      </c>
      <c r="G276" s="24" t="str">
        <f aca="false">IF(A276="","",N(D276)+N(F276))</f>
        <v/>
      </c>
    </row>
    <row r="277" customFormat="false" ht="15" hidden="false" customHeight="false" outlineLevel="0" collapsed="false">
      <c r="A277" s="19"/>
      <c r="B277" s="10"/>
      <c r="C277" s="10"/>
      <c r="D277" s="12"/>
      <c r="E277" s="29"/>
      <c r="F277" s="24" t="str">
        <f aca="false">IF(E277="","",E277*Settings!$B$17)</f>
        <v/>
      </c>
      <c r="G277" s="24" t="str">
        <f aca="false">IF(A277="","",N(D277)+N(F277))</f>
        <v/>
      </c>
    </row>
    <row r="278" customFormat="false" ht="15" hidden="false" customHeight="false" outlineLevel="0" collapsed="false">
      <c r="A278" s="19"/>
      <c r="B278" s="10"/>
      <c r="C278" s="10"/>
      <c r="D278" s="12"/>
      <c r="E278" s="29"/>
      <c r="F278" s="24" t="str">
        <f aca="false">IF(E278="","",E278*Settings!$B$17)</f>
        <v/>
      </c>
      <c r="G278" s="24" t="str">
        <f aca="false">IF(A278="","",N(D278)+N(F278))</f>
        <v/>
      </c>
    </row>
    <row r="279" customFormat="false" ht="15" hidden="false" customHeight="false" outlineLevel="0" collapsed="false">
      <c r="A279" s="19"/>
      <c r="B279" s="10"/>
      <c r="C279" s="10"/>
      <c r="D279" s="12"/>
      <c r="E279" s="29"/>
      <c r="F279" s="24" t="str">
        <f aca="false">IF(E279="","",E279*Settings!$B$17)</f>
        <v/>
      </c>
      <c r="G279" s="24" t="str">
        <f aca="false">IF(A279="","",N(D279)+N(F279))</f>
        <v/>
      </c>
    </row>
    <row r="280" customFormat="false" ht="15" hidden="false" customHeight="false" outlineLevel="0" collapsed="false">
      <c r="A280" s="19"/>
      <c r="B280" s="10"/>
      <c r="C280" s="10"/>
      <c r="D280" s="12"/>
      <c r="E280" s="29"/>
      <c r="F280" s="24" t="str">
        <f aca="false">IF(E280="","",E280*Settings!$B$17)</f>
        <v/>
      </c>
      <c r="G280" s="24" t="str">
        <f aca="false">IF(A280="","",N(D280)+N(F280))</f>
        <v/>
      </c>
    </row>
    <row r="281" customFormat="false" ht="15" hidden="false" customHeight="false" outlineLevel="0" collapsed="false">
      <c r="A281" s="19"/>
      <c r="B281" s="10"/>
      <c r="C281" s="10"/>
      <c r="D281" s="12"/>
      <c r="E281" s="29"/>
      <c r="F281" s="24" t="str">
        <f aca="false">IF(E281="","",E281*Settings!$B$17)</f>
        <v/>
      </c>
      <c r="G281" s="24" t="str">
        <f aca="false">IF(A281="","",N(D281)+N(F281))</f>
        <v/>
      </c>
    </row>
    <row r="282" customFormat="false" ht="15" hidden="false" customHeight="false" outlineLevel="0" collapsed="false">
      <c r="A282" s="19"/>
      <c r="B282" s="10"/>
      <c r="C282" s="10"/>
      <c r="D282" s="12"/>
      <c r="E282" s="29"/>
      <c r="F282" s="24" t="str">
        <f aca="false">IF(E282="","",E282*Settings!$B$17)</f>
        <v/>
      </c>
      <c r="G282" s="24" t="str">
        <f aca="false">IF(A282="","",N(D282)+N(F282))</f>
        <v/>
      </c>
    </row>
    <row r="283" customFormat="false" ht="15" hidden="false" customHeight="false" outlineLevel="0" collapsed="false">
      <c r="A283" s="19"/>
      <c r="B283" s="10"/>
      <c r="C283" s="10"/>
      <c r="D283" s="12"/>
      <c r="E283" s="29"/>
      <c r="F283" s="24" t="str">
        <f aca="false">IF(E283="","",E283*Settings!$B$17)</f>
        <v/>
      </c>
      <c r="G283" s="24" t="str">
        <f aca="false">IF(A283="","",N(D283)+N(F283))</f>
        <v/>
      </c>
    </row>
    <row r="284" customFormat="false" ht="15" hidden="false" customHeight="false" outlineLevel="0" collapsed="false">
      <c r="A284" s="19"/>
      <c r="B284" s="10"/>
      <c r="C284" s="10"/>
      <c r="D284" s="12"/>
      <c r="E284" s="29"/>
      <c r="F284" s="24" t="str">
        <f aca="false">IF(E284="","",E284*Settings!$B$17)</f>
        <v/>
      </c>
      <c r="G284" s="24" t="str">
        <f aca="false">IF(A284="","",N(D284)+N(F284))</f>
        <v/>
      </c>
    </row>
    <row r="285" customFormat="false" ht="15" hidden="false" customHeight="false" outlineLevel="0" collapsed="false">
      <c r="A285" s="19"/>
      <c r="B285" s="10"/>
      <c r="C285" s="10"/>
      <c r="D285" s="12"/>
      <c r="E285" s="29"/>
      <c r="F285" s="24" t="str">
        <f aca="false">IF(E285="","",E285*Settings!$B$17)</f>
        <v/>
      </c>
      <c r="G285" s="24" t="str">
        <f aca="false">IF(A285="","",N(D285)+N(F285))</f>
        <v/>
      </c>
    </row>
    <row r="286" customFormat="false" ht="15" hidden="false" customHeight="false" outlineLevel="0" collapsed="false">
      <c r="A286" s="19"/>
      <c r="B286" s="10"/>
      <c r="C286" s="10"/>
      <c r="D286" s="12"/>
      <c r="E286" s="29"/>
      <c r="F286" s="24" t="str">
        <f aca="false">IF(E286="","",E286*Settings!$B$17)</f>
        <v/>
      </c>
      <c r="G286" s="24" t="str">
        <f aca="false">IF(A286="","",N(D286)+N(F286))</f>
        <v/>
      </c>
    </row>
    <row r="287" customFormat="false" ht="15" hidden="false" customHeight="false" outlineLevel="0" collapsed="false">
      <c r="A287" s="19"/>
      <c r="B287" s="10"/>
      <c r="C287" s="10"/>
      <c r="D287" s="12"/>
      <c r="E287" s="29"/>
      <c r="F287" s="24" t="str">
        <f aca="false">IF(E287="","",E287*Settings!$B$17)</f>
        <v/>
      </c>
      <c r="G287" s="24" t="str">
        <f aca="false">IF(A287="","",N(D287)+N(F287))</f>
        <v/>
      </c>
    </row>
    <row r="288" customFormat="false" ht="15" hidden="false" customHeight="false" outlineLevel="0" collapsed="false">
      <c r="A288" s="19"/>
      <c r="B288" s="10"/>
      <c r="C288" s="10"/>
      <c r="D288" s="12"/>
      <c r="E288" s="29"/>
      <c r="F288" s="24" t="str">
        <f aca="false">IF(E288="","",E288*Settings!$B$17)</f>
        <v/>
      </c>
      <c r="G288" s="24" t="str">
        <f aca="false">IF(A288="","",N(D288)+N(F288))</f>
        <v/>
      </c>
    </row>
    <row r="289" customFormat="false" ht="15" hidden="false" customHeight="false" outlineLevel="0" collapsed="false">
      <c r="A289" s="19"/>
      <c r="B289" s="10"/>
      <c r="C289" s="10"/>
      <c r="D289" s="12"/>
      <c r="E289" s="29"/>
      <c r="F289" s="24" t="str">
        <f aca="false">IF(E289="","",E289*Settings!$B$17)</f>
        <v/>
      </c>
      <c r="G289" s="24" t="str">
        <f aca="false">IF(A289="","",N(D289)+N(F289))</f>
        <v/>
      </c>
    </row>
    <row r="290" customFormat="false" ht="15" hidden="false" customHeight="false" outlineLevel="0" collapsed="false">
      <c r="A290" s="19"/>
      <c r="B290" s="10"/>
      <c r="C290" s="10"/>
      <c r="D290" s="12"/>
      <c r="E290" s="29"/>
      <c r="F290" s="24" t="str">
        <f aca="false">IF(E290="","",E290*Settings!$B$17)</f>
        <v/>
      </c>
      <c r="G290" s="24" t="str">
        <f aca="false">IF(A290="","",N(D290)+N(F290))</f>
        <v/>
      </c>
    </row>
    <row r="291" customFormat="false" ht="15" hidden="false" customHeight="false" outlineLevel="0" collapsed="false">
      <c r="A291" s="19"/>
      <c r="B291" s="10"/>
      <c r="C291" s="10"/>
      <c r="D291" s="12"/>
      <c r="E291" s="29"/>
      <c r="F291" s="24" t="str">
        <f aca="false">IF(E291="","",E291*Settings!$B$17)</f>
        <v/>
      </c>
      <c r="G291" s="24" t="str">
        <f aca="false">IF(A291="","",N(D291)+N(F291))</f>
        <v/>
      </c>
    </row>
    <row r="292" customFormat="false" ht="15" hidden="false" customHeight="false" outlineLevel="0" collapsed="false">
      <c r="A292" s="19"/>
      <c r="B292" s="10"/>
      <c r="C292" s="10"/>
      <c r="D292" s="12"/>
      <c r="E292" s="29"/>
      <c r="F292" s="24" t="str">
        <f aca="false">IF(E292="","",E292*Settings!$B$17)</f>
        <v/>
      </c>
      <c r="G292" s="24" t="str">
        <f aca="false">IF(A292="","",N(D292)+N(F292))</f>
        <v/>
      </c>
    </row>
    <row r="293" customFormat="false" ht="15" hidden="false" customHeight="false" outlineLevel="0" collapsed="false">
      <c r="A293" s="19"/>
      <c r="B293" s="10"/>
      <c r="C293" s="10"/>
      <c r="D293" s="12"/>
      <c r="E293" s="29"/>
      <c r="F293" s="24" t="str">
        <f aca="false">IF(E293="","",E293*Settings!$B$17)</f>
        <v/>
      </c>
      <c r="G293" s="24" t="str">
        <f aca="false">IF(A293="","",N(D293)+N(F293))</f>
        <v/>
      </c>
    </row>
    <row r="294" customFormat="false" ht="15" hidden="false" customHeight="false" outlineLevel="0" collapsed="false">
      <c r="A294" s="19"/>
      <c r="B294" s="10"/>
      <c r="C294" s="10"/>
      <c r="D294" s="12"/>
      <c r="E294" s="29"/>
      <c r="F294" s="24" t="str">
        <f aca="false">IF(E294="","",E294*Settings!$B$17)</f>
        <v/>
      </c>
      <c r="G294" s="24" t="str">
        <f aca="false">IF(A294="","",N(D294)+N(F294))</f>
        <v/>
      </c>
    </row>
    <row r="295" customFormat="false" ht="15" hidden="false" customHeight="false" outlineLevel="0" collapsed="false">
      <c r="A295" s="19"/>
      <c r="B295" s="10"/>
      <c r="C295" s="10"/>
      <c r="D295" s="12"/>
      <c r="E295" s="29"/>
      <c r="F295" s="24" t="str">
        <f aca="false">IF(E295="","",E295*Settings!$B$17)</f>
        <v/>
      </c>
      <c r="G295" s="24" t="str">
        <f aca="false">IF(A295="","",N(D295)+N(F295))</f>
        <v/>
      </c>
    </row>
    <row r="296" customFormat="false" ht="15" hidden="false" customHeight="false" outlineLevel="0" collapsed="false">
      <c r="A296" s="19"/>
      <c r="B296" s="10"/>
      <c r="C296" s="10"/>
      <c r="D296" s="12"/>
      <c r="E296" s="29"/>
      <c r="F296" s="24" t="str">
        <f aca="false">IF(E296="","",E296*Settings!$B$17)</f>
        <v/>
      </c>
      <c r="G296" s="24" t="str">
        <f aca="false">IF(A296="","",N(D296)+N(F296))</f>
        <v/>
      </c>
    </row>
    <row r="297" customFormat="false" ht="15" hidden="false" customHeight="false" outlineLevel="0" collapsed="false">
      <c r="A297" s="19"/>
      <c r="B297" s="10"/>
      <c r="C297" s="10"/>
      <c r="D297" s="12"/>
      <c r="E297" s="29"/>
      <c r="F297" s="24" t="str">
        <f aca="false">IF(E297="","",E297*Settings!$B$17)</f>
        <v/>
      </c>
      <c r="G297" s="24" t="str">
        <f aca="false">IF(A297="","",N(D297)+N(F297))</f>
        <v/>
      </c>
    </row>
    <row r="298" customFormat="false" ht="15" hidden="false" customHeight="false" outlineLevel="0" collapsed="false">
      <c r="A298" s="19"/>
      <c r="B298" s="10"/>
      <c r="C298" s="10"/>
      <c r="D298" s="12"/>
      <c r="E298" s="29"/>
      <c r="F298" s="24" t="str">
        <f aca="false">IF(E298="","",E298*Settings!$B$17)</f>
        <v/>
      </c>
      <c r="G298" s="24" t="str">
        <f aca="false">IF(A298="","",N(D298)+N(F298))</f>
        <v/>
      </c>
    </row>
    <row r="299" customFormat="false" ht="15" hidden="false" customHeight="false" outlineLevel="0" collapsed="false">
      <c r="A299" s="19"/>
      <c r="B299" s="10"/>
      <c r="C299" s="10"/>
      <c r="D299" s="12"/>
      <c r="E299" s="29"/>
      <c r="F299" s="24" t="str">
        <f aca="false">IF(E299="","",E299*Settings!$B$17)</f>
        <v/>
      </c>
      <c r="G299" s="24" t="str">
        <f aca="false">IF(A299="","",N(D299)+N(F299))</f>
        <v/>
      </c>
    </row>
    <row r="300" customFormat="false" ht="15" hidden="false" customHeight="false" outlineLevel="0" collapsed="false">
      <c r="A300" s="19"/>
      <c r="B300" s="10"/>
      <c r="C300" s="10"/>
      <c r="D300" s="12"/>
      <c r="E300" s="29"/>
      <c r="F300" s="24" t="str">
        <f aca="false">IF(E300="","",E300*Settings!$B$17)</f>
        <v/>
      </c>
      <c r="G300" s="24" t="str">
        <f aca="false">IF(A300="","",N(D300)+N(F300))</f>
        <v/>
      </c>
    </row>
    <row r="301" customFormat="false" ht="15" hidden="false" customHeight="false" outlineLevel="0" collapsed="false">
      <c r="A301" s="19"/>
      <c r="B301" s="10"/>
      <c r="C301" s="10"/>
      <c r="D301" s="12"/>
      <c r="E301" s="29"/>
      <c r="F301" s="24" t="str">
        <f aca="false">IF(E301="","",E301*Settings!$B$17)</f>
        <v/>
      </c>
      <c r="G301" s="24" t="str">
        <f aca="false">IF(A301="","",N(D301)+N(F301))</f>
        <v/>
      </c>
    </row>
    <row r="302" customFormat="false" ht="15" hidden="false" customHeight="false" outlineLevel="0" collapsed="false">
      <c r="A302" s="19"/>
      <c r="B302" s="10"/>
      <c r="C302" s="10"/>
      <c r="D302" s="12"/>
      <c r="E302" s="29"/>
      <c r="F302" s="24" t="str">
        <f aca="false">IF(E302="","",E302*Settings!$B$17)</f>
        <v/>
      </c>
      <c r="G302" s="24" t="str">
        <f aca="false">IF(A302="","",N(D302)+N(F302))</f>
        <v/>
      </c>
    </row>
    <row r="303" customFormat="false" ht="15" hidden="false" customHeight="false" outlineLevel="0" collapsed="false">
      <c r="A303" s="19"/>
      <c r="B303" s="10"/>
      <c r="C303" s="10"/>
      <c r="D303" s="12"/>
      <c r="E303" s="29"/>
      <c r="F303" s="24" t="str">
        <f aca="false">IF(E303="","",E303*Settings!$B$17)</f>
        <v/>
      </c>
      <c r="G303" s="24" t="str">
        <f aca="false">IF(A303="","",N(D303)+N(F303))</f>
        <v/>
      </c>
    </row>
    <row r="304" customFormat="false" ht="15" hidden="false" customHeight="false" outlineLevel="0" collapsed="false">
      <c r="A304" s="19"/>
      <c r="B304" s="10"/>
      <c r="C304" s="10"/>
      <c r="D304" s="12"/>
      <c r="E304" s="29"/>
      <c r="F304" s="24" t="str">
        <f aca="false">IF(E304="","",E304*Settings!$B$17)</f>
        <v/>
      </c>
      <c r="G304" s="24" t="str">
        <f aca="false">IF(A304="","",N(D304)+N(F304))</f>
        <v/>
      </c>
    </row>
    <row r="305" customFormat="false" ht="15" hidden="false" customHeight="false" outlineLevel="0" collapsed="false">
      <c r="A305" s="19"/>
      <c r="B305" s="10"/>
      <c r="C305" s="10"/>
      <c r="D305" s="12"/>
      <c r="E305" s="29"/>
      <c r="F305" s="24" t="str">
        <f aca="false">IF(E305="","",E305*Settings!$B$17)</f>
        <v/>
      </c>
      <c r="G305" s="24" t="str">
        <f aca="false">IF(A305="","",N(D305)+N(F305))</f>
        <v/>
      </c>
    </row>
    <row r="306" customFormat="false" ht="15" hidden="false" customHeight="false" outlineLevel="0" collapsed="false">
      <c r="A306" s="19"/>
      <c r="B306" s="10"/>
      <c r="C306" s="10"/>
      <c r="D306" s="12"/>
      <c r="E306" s="29"/>
      <c r="F306" s="24" t="str">
        <f aca="false">IF(E306="","",E306*Settings!$B$17)</f>
        <v/>
      </c>
      <c r="G306" s="24" t="str">
        <f aca="false">IF(A306="","",N(D306)+N(F306))</f>
        <v/>
      </c>
    </row>
    <row r="307" customFormat="false" ht="15" hidden="false" customHeight="false" outlineLevel="0" collapsed="false">
      <c r="A307" s="19"/>
      <c r="B307" s="10"/>
      <c r="C307" s="10"/>
      <c r="D307" s="12"/>
      <c r="E307" s="29"/>
      <c r="F307" s="24" t="str">
        <f aca="false">IF(E307="","",E307*Settings!$B$17)</f>
        <v/>
      </c>
      <c r="G307" s="24" t="str">
        <f aca="false">IF(A307="","",N(D307)+N(F307))</f>
        <v/>
      </c>
    </row>
    <row r="308" customFormat="false" ht="15" hidden="false" customHeight="false" outlineLevel="0" collapsed="false">
      <c r="A308" s="19"/>
      <c r="B308" s="10"/>
      <c r="C308" s="10"/>
      <c r="D308" s="12"/>
      <c r="E308" s="29"/>
      <c r="F308" s="24" t="str">
        <f aca="false">IF(E308="","",E308*Settings!$B$17)</f>
        <v/>
      </c>
      <c r="G308" s="24" t="str">
        <f aca="false">IF(A308="","",N(D308)+N(F308))</f>
        <v/>
      </c>
    </row>
    <row r="309" customFormat="false" ht="15" hidden="false" customHeight="false" outlineLevel="0" collapsed="false">
      <c r="A309" s="19"/>
      <c r="B309" s="10"/>
      <c r="C309" s="10"/>
      <c r="D309" s="12"/>
      <c r="E309" s="29"/>
      <c r="F309" s="24" t="str">
        <f aca="false">IF(E309="","",E309*Settings!$B$17)</f>
        <v/>
      </c>
      <c r="G309" s="24" t="str">
        <f aca="false">IF(A309="","",N(D309)+N(F309))</f>
        <v/>
      </c>
    </row>
    <row r="310" customFormat="false" ht="15" hidden="false" customHeight="false" outlineLevel="0" collapsed="false">
      <c r="A310" s="19"/>
      <c r="B310" s="10"/>
      <c r="C310" s="10"/>
      <c r="D310" s="12"/>
      <c r="E310" s="29"/>
      <c r="F310" s="24" t="str">
        <f aca="false">IF(E310="","",E310*Settings!$B$17)</f>
        <v/>
      </c>
      <c r="G310" s="24" t="str">
        <f aca="false">IF(A310="","",N(D310)+N(F310))</f>
        <v/>
      </c>
    </row>
    <row r="311" customFormat="false" ht="15" hidden="false" customHeight="false" outlineLevel="0" collapsed="false">
      <c r="A311" s="19"/>
      <c r="B311" s="10"/>
      <c r="C311" s="10"/>
      <c r="D311" s="12"/>
      <c r="E311" s="29"/>
      <c r="F311" s="24" t="str">
        <f aca="false">IF(E311="","",E311*Settings!$B$17)</f>
        <v/>
      </c>
      <c r="G311" s="24" t="str">
        <f aca="false">IF(A311="","",N(D311)+N(F311))</f>
        <v/>
      </c>
    </row>
    <row r="312" customFormat="false" ht="15" hidden="false" customHeight="false" outlineLevel="0" collapsed="false">
      <c r="A312" s="19"/>
      <c r="B312" s="10"/>
      <c r="C312" s="10"/>
      <c r="D312" s="12"/>
      <c r="E312" s="29"/>
      <c r="F312" s="24" t="str">
        <f aca="false">IF(E312="","",E312*Settings!$B$17)</f>
        <v/>
      </c>
      <c r="G312" s="24" t="str">
        <f aca="false">IF(A312="","",N(D312)+N(F312))</f>
        <v/>
      </c>
    </row>
    <row r="313" customFormat="false" ht="15" hidden="false" customHeight="false" outlineLevel="0" collapsed="false">
      <c r="A313" s="19"/>
      <c r="B313" s="10"/>
      <c r="C313" s="10"/>
      <c r="D313" s="12"/>
      <c r="E313" s="29"/>
      <c r="F313" s="24" t="str">
        <f aca="false">IF(E313="","",E313*Settings!$B$17)</f>
        <v/>
      </c>
      <c r="G313" s="24" t="str">
        <f aca="false">IF(A313="","",N(D313)+N(F313))</f>
        <v/>
      </c>
    </row>
    <row r="314" customFormat="false" ht="15" hidden="false" customHeight="false" outlineLevel="0" collapsed="false">
      <c r="A314" s="19"/>
      <c r="B314" s="10"/>
      <c r="C314" s="10"/>
      <c r="D314" s="12"/>
      <c r="E314" s="29"/>
      <c r="F314" s="24" t="str">
        <f aca="false">IF(E314="","",E314*Settings!$B$17)</f>
        <v/>
      </c>
      <c r="G314" s="24" t="str">
        <f aca="false">IF(A314="","",N(D314)+N(F314))</f>
        <v/>
      </c>
    </row>
    <row r="315" customFormat="false" ht="15" hidden="false" customHeight="false" outlineLevel="0" collapsed="false">
      <c r="A315" s="19"/>
      <c r="B315" s="10"/>
      <c r="C315" s="10"/>
      <c r="D315" s="12"/>
      <c r="E315" s="29"/>
      <c r="F315" s="24" t="str">
        <f aca="false">IF(E315="","",E315*Settings!$B$17)</f>
        <v/>
      </c>
      <c r="G315" s="24" t="str">
        <f aca="false">IF(A315="","",N(D315)+N(F315))</f>
        <v/>
      </c>
    </row>
    <row r="316" customFormat="false" ht="15" hidden="false" customHeight="false" outlineLevel="0" collapsed="false">
      <c r="A316" s="19"/>
      <c r="B316" s="10"/>
      <c r="C316" s="10"/>
      <c r="D316" s="12"/>
      <c r="E316" s="29"/>
      <c r="F316" s="24" t="str">
        <f aca="false">IF(E316="","",E316*Settings!$B$17)</f>
        <v/>
      </c>
      <c r="G316" s="24" t="str">
        <f aca="false">IF(A316="","",N(D316)+N(F316))</f>
        <v/>
      </c>
    </row>
    <row r="317" customFormat="false" ht="15" hidden="false" customHeight="false" outlineLevel="0" collapsed="false">
      <c r="A317" s="19"/>
      <c r="B317" s="10"/>
      <c r="C317" s="10"/>
      <c r="D317" s="12"/>
      <c r="E317" s="29"/>
      <c r="F317" s="24" t="str">
        <f aca="false">IF(E317="","",E317*Settings!$B$17)</f>
        <v/>
      </c>
      <c r="G317" s="24" t="str">
        <f aca="false">IF(A317="","",N(D317)+N(F317))</f>
        <v/>
      </c>
    </row>
    <row r="318" customFormat="false" ht="15" hidden="false" customHeight="false" outlineLevel="0" collapsed="false">
      <c r="A318" s="19"/>
      <c r="B318" s="10"/>
      <c r="C318" s="10"/>
      <c r="D318" s="12"/>
      <c r="E318" s="29"/>
      <c r="F318" s="24" t="str">
        <f aca="false">IF(E318="","",E318*Settings!$B$17)</f>
        <v/>
      </c>
      <c r="G318" s="24" t="str">
        <f aca="false">IF(A318="","",N(D318)+N(F318))</f>
        <v/>
      </c>
    </row>
    <row r="319" customFormat="false" ht="15" hidden="false" customHeight="false" outlineLevel="0" collapsed="false">
      <c r="A319" s="19"/>
      <c r="B319" s="10"/>
      <c r="C319" s="10"/>
      <c r="D319" s="12"/>
      <c r="E319" s="29"/>
      <c r="F319" s="24" t="str">
        <f aca="false">IF(E319="","",E319*Settings!$B$17)</f>
        <v/>
      </c>
      <c r="G319" s="24" t="str">
        <f aca="false">IF(A319="","",N(D319)+N(F319))</f>
        <v/>
      </c>
    </row>
    <row r="320" customFormat="false" ht="15" hidden="false" customHeight="false" outlineLevel="0" collapsed="false">
      <c r="A320" s="19"/>
      <c r="B320" s="10"/>
      <c r="C320" s="10"/>
      <c r="D320" s="12"/>
      <c r="E320" s="29"/>
      <c r="F320" s="24" t="str">
        <f aca="false">IF(E320="","",E320*Settings!$B$17)</f>
        <v/>
      </c>
      <c r="G320" s="24" t="str">
        <f aca="false">IF(A320="","",N(D320)+N(F320))</f>
        <v/>
      </c>
    </row>
    <row r="321" customFormat="false" ht="15" hidden="false" customHeight="false" outlineLevel="0" collapsed="false">
      <c r="A321" s="19"/>
      <c r="B321" s="10"/>
      <c r="C321" s="10"/>
      <c r="D321" s="12"/>
      <c r="E321" s="29"/>
      <c r="F321" s="24" t="str">
        <f aca="false">IF(E321="","",E321*Settings!$B$17)</f>
        <v/>
      </c>
      <c r="G321" s="24" t="str">
        <f aca="false">IF(A321="","",N(D321)+N(F321))</f>
        <v/>
      </c>
    </row>
    <row r="322" customFormat="false" ht="15" hidden="false" customHeight="false" outlineLevel="0" collapsed="false">
      <c r="A322" s="19"/>
      <c r="B322" s="10"/>
      <c r="C322" s="10"/>
      <c r="D322" s="12"/>
      <c r="E322" s="29"/>
      <c r="F322" s="24" t="str">
        <f aca="false">IF(E322="","",E322*Settings!$B$17)</f>
        <v/>
      </c>
      <c r="G322" s="24" t="str">
        <f aca="false">IF(A322="","",N(D322)+N(F322))</f>
        <v/>
      </c>
    </row>
    <row r="323" customFormat="false" ht="15" hidden="false" customHeight="false" outlineLevel="0" collapsed="false">
      <c r="A323" s="19"/>
      <c r="B323" s="10"/>
      <c r="C323" s="10"/>
      <c r="D323" s="12"/>
      <c r="E323" s="29"/>
      <c r="F323" s="24" t="str">
        <f aca="false">IF(E323="","",E323*Settings!$B$17)</f>
        <v/>
      </c>
      <c r="G323" s="24" t="str">
        <f aca="false">IF(A323="","",N(D323)+N(F323))</f>
        <v/>
      </c>
    </row>
    <row r="324" customFormat="false" ht="15" hidden="false" customHeight="false" outlineLevel="0" collapsed="false">
      <c r="A324" s="19"/>
      <c r="B324" s="10"/>
      <c r="C324" s="10"/>
      <c r="D324" s="12"/>
      <c r="E324" s="29"/>
      <c r="F324" s="24" t="str">
        <f aca="false">IF(E324="","",E324*Settings!$B$17)</f>
        <v/>
      </c>
      <c r="G324" s="24" t="str">
        <f aca="false">IF(A324="","",N(D324)+N(F324))</f>
        <v/>
      </c>
    </row>
    <row r="325" customFormat="false" ht="15" hidden="false" customHeight="false" outlineLevel="0" collapsed="false">
      <c r="A325" s="19"/>
      <c r="B325" s="10"/>
      <c r="C325" s="10"/>
      <c r="D325" s="12"/>
      <c r="E325" s="29"/>
      <c r="F325" s="24" t="str">
        <f aca="false">IF(E325="","",E325*Settings!$B$17)</f>
        <v/>
      </c>
      <c r="G325" s="24" t="str">
        <f aca="false">IF(A325="","",N(D325)+N(F325))</f>
        <v/>
      </c>
    </row>
    <row r="326" customFormat="false" ht="15" hidden="false" customHeight="false" outlineLevel="0" collapsed="false">
      <c r="A326" s="19"/>
      <c r="B326" s="10"/>
      <c r="C326" s="10"/>
      <c r="D326" s="12"/>
      <c r="E326" s="29"/>
      <c r="F326" s="24" t="str">
        <f aca="false">IF(E326="","",E326*Settings!$B$17)</f>
        <v/>
      </c>
      <c r="G326" s="24" t="str">
        <f aca="false">IF(A326="","",N(D326)+N(F326))</f>
        <v/>
      </c>
    </row>
    <row r="327" customFormat="false" ht="15" hidden="false" customHeight="false" outlineLevel="0" collapsed="false">
      <c r="A327" s="19"/>
      <c r="B327" s="10"/>
      <c r="C327" s="10"/>
      <c r="D327" s="12"/>
      <c r="E327" s="29"/>
      <c r="F327" s="24" t="str">
        <f aca="false">IF(E327="","",E327*Settings!$B$17)</f>
        <v/>
      </c>
      <c r="G327" s="24" t="str">
        <f aca="false">IF(A327="","",N(D327)+N(F327))</f>
        <v/>
      </c>
    </row>
    <row r="328" customFormat="false" ht="15" hidden="false" customHeight="false" outlineLevel="0" collapsed="false">
      <c r="A328" s="19"/>
      <c r="B328" s="10"/>
      <c r="C328" s="10"/>
      <c r="D328" s="12"/>
      <c r="E328" s="29"/>
      <c r="F328" s="24" t="str">
        <f aca="false">IF(E328="","",E328*Settings!$B$17)</f>
        <v/>
      </c>
      <c r="G328" s="24" t="str">
        <f aca="false">IF(A328="","",N(D328)+N(F328))</f>
        <v/>
      </c>
    </row>
    <row r="329" customFormat="false" ht="15" hidden="false" customHeight="false" outlineLevel="0" collapsed="false">
      <c r="A329" s="19"/>
      <c r="B329" s="10"/>
      <c r="C329" s="10"/>
      <c r="D329" s="12"/>
      <c r="E329" s="29"/>
      <c r="F329" s="24" t="str">
        <f aca="false">IF(E329="","",E329*Settings!$B$17)</f>
        <v/>
      </c>
      <c r="G329" s="24" t="str">
        <f aca="false">IF(A329="","",N(D329)+N(F329))</f>
        <v/>
      </c>
    </row>
    <row r="330" customFormat="false" ht="15" hidden="false" customHeight="false" outlineLevel="0" collapsed="false">
      <c r="A330" s="19"/>
      <c r="B330" s="10"/>
      <c r="C330" s="10"/>
      <c r="D330" s="12"/>
      <c r="E330" s="29"/>
      <c r="F330" s="24" t="str">
        <f aca="false">IF(E330="","",E330*Settings!$B$17)</f>
        <v/>
      </c>
      <c r="G330" s="24" t="str">
        <f aca="false">IF(A330="","",N(D330)+N(F330))</f>
        <v/>
      </c>
    </row>
    <row r="331" customFormat="false" ht="15" hidden="false" customHeight="false" outlineLevel="0" collapsed="false">
      <c r="A331" s="19"/>
      <c r="B331" s="10"/>
      <c r="C331" s="10"/>
      <c r="D331" s="12"/>
      <c r="E331" s="29"/>
      <c r="F331" s="24" t="str">
        <f aca="false">IF(E331="","",E331*Settings!$B$17)</f>
        <v/>
      </c>
      <c r="G331" s="24" t="str">
        <f aca="false">IF(A331="","",N(D331)+N(F331))</f>
        <v/>
      </c>
    </row>
    <row r="332" customFormat="false" ht="15" hidden="false" customHeight="false" outlineLevel="0" collapsed="false">
      <c r="A332" s="19"/>
      <c r="B332" s="10"/>
      <c r="C332" s="10"/>
      <c r="D332" s="12"/>
      <c r="E332" s="29"/>
      <c r="F332" s="24" t="str">
        <f aca="false">IF(E332="","",E332*Settings!$B$17)</f>
        <v/>
      </c>
      <c r="G332" s="24" t="str">
        <f aca="false">IF(A332="","",N(D332)+N(F332))</f>
        <v/>
      </c>
    </row>
    <row r="333" customFormat="false" ht="15" hidden="false" customHeight="false" outlineLevel="0" collapsed="false">
      <c r="A333" s="19"/>
      <c r="B333" s="10"/>
      <c r="C333" s="10"/>
      <c r="D333" s="12"/>
      <c r="E333" s="29"/>
      <c r="F333" s="24" t="str">
        <f aca="false">IF(E333="","",E333*Settings!$B$17)</f>
        <v/>
      </c>
      <c r="G333" s="24" t="str">
        <f aca="false">IF(A333="","",N(D333)+N(F333))</f>
        <v/>
      </c>
    </row>
    <row r="334" customFormat="false" ht="15" hidden="false" customHeight="false" outlineLevel="0" collapsed="false">
      <c r="A334" s="19"/>
      <c r="B334" s="10"/>
      <c r="C334" s="10"/>
      <c r="D334" s="12"/>
      <c r="E334" s="29"/>
      <c r="F334" s="24" t="str">
        <f aca="false">IF(E334="","",E334*Settings!$B$17)</f>
        <v/>
      </c>
      <c r="G334" s="24" t="str">
        <f aca="false">IF(A334="","",N(D334)+N(F334))</f>
        <v/>
      </c>
    </row>
    <row r="335" customFormat="false" ht="15" hidden="false" customHeight="false" outlineLevel="0" collapsed="false">
      <c r="A335" s="19"/>
      <c r="B335" s="10"/>
      <c r="C335" s="10"/>
      <c r="D335" s="12"/>
      <c r="E335" s="29"/>
      <c r="F335" s="24" t="str">
        <f aca="false">IF(E335="","",E335*Settings!$B$17)</f>
        <v/>
      </c>
      <c r="G335" s="24" t="str">
        <f aca="false">IF(A335="","",N(D335)+N(F335))</f>
        <v/>
      </c>
    </row>
    <row r="336" customFormat="false" ht="15" hidden="false" customHeight="false" outlineLevel="0" collapsed="false">
      <c r="A336" s="19"/>
      <c r="B336" s="10"/>
      <c r="C336" s="10"/>
      <c r="D336" s="12"/>
      <c r="E336" s="29"/>
      <c r="F336" s="24" t="str">
        <f aca="false">IF(E336="","",E336*Settings!$B$17)</f>
        <v/>
      </c>
      <c r="G336" s="24" t="str">
        <f aca="false">IF(A336="","",N(D336)+N(F336))</f>
        <v/>
      </c>
    </row>
    <row r="337" customFormat="false" ht="15" hidden="false" customHeight="false" outlineLevel="0" collapsed="false">
      <c r="A337" s="19"/>
      <c r="B337" s="10"/>
      <c r="C337" s="10"/>
      <c r="D337" s="12"/>
      <c r="E337" s="29"/>
      <c r="F337" s="24" t="str">
        <f aca="false">IF(E337="","",E337*Settings!$B$17)</f>
        <v/>
      </c>
      <c r="G337" s="24" t="str">
        <f aca="false">IF(A337="","",N(D337)+N(F337))</f>
        <v/>
      </c>
    </row>
    <row r="338" customFormat="false" ht="15" hidden="false" customHeight="false" outlineLevel="0" collapsed="false">
      <c r="A338" s="19"/>
      <c r="B338" s="10"/>
      <c r="C338" s="10"/>
      <c r="D338" s="12"/>
      <c r="E338" s="29"/>
      <c r="F338" s="24" t="str">
        <f aca="false">IF(E338="","",E338*Settings!$B$17)</f>
        <v/>
      </c>
      <c r="G338" s="24" t="str">
        <f aca="false">IF(A338="","",N(D338)+N(F338))</f>
        <v/>
      </c>
    </row>
    <row r="339" customFormat="false" ht="15" hidden="false" customHeight="false" outlineLevel="0" collapsed="false">
      <c r="A339" s="19"/>
      <c r="B339" s="10"/>
      <c r="C339" s="10"/>
      <c r="D339" s="12"/>
      <c r="E339" s="29"/>
      <c r="F339" s="24" t="str">
        <f aca="false">IF(E339="","",E339*Settings!$B$17)</f>
        <v/>
      </c>
      <c r="G339" s="24" t="str">
        <f aca="false">IF(A339="","",N(D339)+N(F339))</f>
        <v/>
      </c>
    </row>
    <row r="340" customFormat="false" ht="15" hidden="false" customHeight="false" outlineLevel="0" collapsed="false">
      <c r="A340" s="19"/>
      <c r="B340" s="10"/>
      <c r="C340" s="10"/>
      <c r="D340" s="12"/>
      <c r="E340" s="29"/>
      <c r="F340" s="24" t="str">
        <f aca="false">IF(E340="","",E340*Settings!$B$17)</f>
        <v/>
      </c>
      <c r="G340" s="24" t="str">
        <f aca="false">IF(A340="","",N(D340)+N(F340))</f>
        <v/>
      </c>
    </row>
    <row r="341" customFormat="false" ht="15" hidden="false" customHeight="false" outlineLevel="0" collapsed="false">
      <c r="A341" s="19"/>
      <c r="B341" s="10"/>
      <c r="C341" s="10"/>
      <c r="D341" s="12"/>
      <c r="E341" s="29"/>
      <c r="F341" s="24" t="str">
        <f aca="false">IF(E341="","",E341*Settings!$B$17)</f>
        <v/>
      </c>
      <c r="G341" s="24" t="str">
        <f aca="false">IF(A341="","",N(D341)+N(F341))</f>
        <v/>
      </c>
    </row>
    <row r="342" customFormat="false" ht="15" hidden="false" customHeight="false" outlineLevel="0" collapsed="false">
      <c r="A342" s="19"/>
      <c r="B342" s="10"/>
      <c r="C342" s="10"/>
      <c r="D342" s="12"/>
      <c r="E342" s="29"/>
      <c r="F342" s="24" t="str">
        <f aca="false">IF(E342="","",E342*Settings!$B$17)</f>
        <v/>
      </c>
      <c r="G342" s="24" t="str">
        <f aca="false">IF(A342="","",N(D342)+N(F342))</f>
        <v/>
      </c>
    </row>
    <row r="343" customFormat="false" ht="15" hidden="false" customHeight="false" outlineLevel="0" collapsed="false">
      <c r="A343" s="19"/>
      <c r="B343" s="10"/>
      <c r="C343" s="10"/>
      <c r="D343" s="12"/>
      <c r="E343" s="29"/>
      <c r="F343" s="24" t="str">
        <f aca="false">IF(E343="","",E343*Settings!$B$17)</f>
        <v/>
      </c>
      <c r="G343" s="24" t="str">
        <f aca="false">IF(A343="","",N(D343)+N(F343))</f>
        <v/>
      </c>
    </row>
    <row r="344" customFormat="false" ht="15" hidden="false" customHeight="false" outlineLevel="0" collapsed="false">
      <c r="A344" s="19"/>
      <c r="B344" s="10"/>
      <c r="C344" s="10"/>
      <c r="D344" s="12"/>
      <c r="E344" s="29"/>
      <c r="F344" s="24" t="str">
        <f aca="false">IF(E344="","",E344*Settings!$B$17)</f>
        <v/>
      </c>
      <c r="G344" s="24" t="str">
        <f aca="false">IF(A344="","",N(D344)+N(F344))</f>
        <v/>
      </c>
    </row>
    <row r="345" customFormat="false" ht="15" hidden="false" customHeight="false" outlineLevel="0" collapsed="false">
      <c r="A345" s="19"/>
      <c r="B345" s="10"/>
      <c r="C345" s="10"/>
      <c r="D345" s="12"/>
      <c r="E345" s="29"/>
      <c r="F345" s="24" t="str">
        <f aca="false">IF(E345="","",E345*Settings!$B$17)</f>
        <v/>
      </c>
      <c r="G345" s="24" t="str">
        <f aca="false">IF(A345="","",N(D345)+N(F345))</f>
        <v/>
      </c>
    </row>
    <row r="346" customFormat="false" ht="15" hidden="false" customHeight="false" outlineLevel="0" collapsed="false">
      <c r="A346" s="19"/>
      <c r="B346" s="10"/>
      <c r="C346" s="10"/>
      <c r="D346" s="12"/>
      <c r="E346" s="29"/>
      <c r="F346" s="24" t="str">
        <f aca="false">IF(E346="","",E346*Settings!$B$17)</f>
        <v/>
      </c>
      <c r="G346" s="24" t="str">
        <f aca="false">IF(A346="","",N(D346)+N(F346))</f>
        <v/>
      </c>
    </row>
    <row r="347" customFormat="false" ht="15" hidden="false" customHeight="false" outlineLevel="0" collapsed="false">
      <c r="A347" s="19"/>
      <c r="B347" s="10"/>
      <c r="C347" s="10"/>
      <c r="D347" s="12"/>
      <c r="E347" s="29"/>
      <c r="F347" s="24" t="str">
        <f aca="false">IF(E347="","",E347*Settings!$B$17)</f>
        <v/>
      </c>
      <c r="G347" s="24" t="str">
        <f aca="false">IF(A347="","",N(D347)+N(F347))</f>
        <v/>
      </c>
    </row>
    <row r="348" customFormat="false" ht="15" hidden="false" customHeight="false" outlineLevel="0" collapsed="false">
      <c r="A348" s="19"/>
      <c r="B348" s="10"/>
      <c r="C348" s="10"/>
      <c r="D348" s="12"/>
      <c r="E348" s="29"/>
      <c r="F348" s="24" t="str">
        <f aca="false">IF(E348="","",E348*Settings!$B$17)</f>
        <v/>
      </c>
      <c r="G348" s="24" t="str">
        <f aca="false">IF(A348="","",N(D348)+N(F348))</f>
        <v/>
      </c>
    </row>
    <row r="349" customFormat="false" ht="15" hidden="false" customHeight="false" outlineLevel="0" collapsed="false">
      <c r="A349" s="19"/>
      <c r="B349" s="10"/>
      <c r="C349" s="10"/>
      <c r="D349" s="12"/>
      <c r="E349" s="29"/>
      <c r="F349" s="24" t="str">
        <f aca="false">IF(E349="","",E349*Settings!$B$17)</f>
        <v/>
      </c>
      <c r="G349" s="24" t="str">
        <f aca="false">IF(A349="","",N(D349)+N(F349))</f>
        <v/>
      </c>
    </row>
    <row r="350" customFormat="false" ht="15" hidden="false" customHeight="false" outlineLevel="0" collapsed="false">
      <c r="A350" s="19"/>
      <c r="B350" s="10"/>
      <c r="C350" s="10"/>
      <c r="D350" s="12"/>
      <c r="E350" s="29"/>
      <c r="F350" s="24" t="str">
        <f aca="false">IF(E350="","",E350*Settings!$B$17)</f>
        <v/>
      </c>
      <c r="G350" s="24" t="str">
        <f aca="false">IF(A350="","",N(D350)+N(F350))</f>
        <v/>
      </c>
    </row>
    <row r="351" customFormat="false" ht="15" hidden="false" customHeight="false" outlineLevel="0" collapsed="false">
      <c r="A351" s="19"/>
      <c r="B351" s="10"/>
      <c r="C351" s="10"/>
      <c r="D351" s="12"/>
      <c r="E351" s="29"/>
      <c r="F351" s="24" t="str">
        <f aca="false">IF(E351="","",E351*Settings!$B$17)</f>
        <v/>
      </c>
      <c r="G351" s="24" t="str">
        <f aca="false">IF(A351="","",N(D351)+N(F351))</f>
        <v/>
      </c>
    </row>
    <row r="352" customFormat="false" ht="15" hidden="false" customHeight="false" outlineLevel="0" collapsed="false">
      <c r="A352" s="19"/>
      <c r="B352" s="10"/>
      <c r="C352" s="10"/>
      <c r="D352" s="12"/>
      <c r="E352" s="29"/>
      <c r="F352" s="24" t="str">
        <f aca="false">IF(E352="","",E352*Settings!$B$17)</f>
        <v/>
      </c>
      <c r="G352" s="24" t="str">
        <f aca="false">IF(A352="","",N(D352)+N(F352))</f>
        <v/>
      </c>
    </row>
    <row r="353" customFormat="false" ht="15" hidden="false" customHeight="false" outlineLevel="0" collapsed="false">
      <c r="A353" s="19"/>
      <c r="B353" s="10"/>
      <c r="C353" s="10"/>
      <c r="D353" s="12"/>
      <c r="E353" s="29"/>
      <c r="F353" s="24" t="str">
        <f aca="false">IF(E353="","",E353*Settings!$B$17)</f>
        <v/>
      </c>
      <c r="G353" s="24" t="str">
        <f aca="false">IF(A353="","",N(D353)+N(F353))</f>
        <v/>
      </c>
    </row>
    <row r="354" customFormat="false" ht="15" hidden="false" customHeight="false" outlineLevel="0" collapsed="false">
      <c r="A354" s="19"/>
      <c r="B354" s="10"/>
      <c r="C354" s="10"/>
      <c r="D354" s="12"/>
      <c r="E354" s="29"/>
      <c r="F354" s="24" t="str">
        <f aca="false">IF(E354="","",E354*Settings!$B$17)</f>
        <v/>
      </c>
      <c r="G354" s="24" t="str">
        <f aca="false">IF(A354="","",N(D354)+N(F354))</f>
        <v/>
      </c>
    </row>
    <row r="355" customFormat="false" ht="15" hidden="false" customHeight="false" outlineLevel="0" collapsed="false">
      <c r="A355" s="19"/>
      <c r="B355" s="10"/>
      <c r="C355" s="10"/>
      <c r="D355" s="12"/>
      <c r="E355" s="29"/>
      <c r="F355" s="24" t="str">
        <f aca="false">IF(E355="","",E355*Settings!$B$17)</f>
        <v/>
      </c>
      <c r="G355" s="24" t="str">
        <f aca="false">IF(A355="","",N(D355)+N(F355))</f>
        <v/>
      </c>
    </row>
    <row r="356" customFormat="false" ht="15" hidden="false" customHeight="false" outlineLevel="0" collapsed="false">
      <c r="A356" s="19"/>
      <c r="B356" s="10"/>
      <c r="C356" s="10"/>
      <c r="D356" s="12"/>
      <c r="E356" s="29"/>
      <c r="F356" s="24" t="str">
        <f aca="false">IF(E356="","",E356*Settings!$B$17)</f>
        <v/>
      </c>
      <c r="G356" s="24" t="str">
        <f aca="false">IF(A356="","",N(D356)+N(F356))</f>
        <v/>
      </c>
    </row>
    <row r="357" customFormat="false" ht="15" hidden="false" customHeight="false" outlineLevel="0" collapsed="false">
      <c r="A357" s="19"/>
      <c r="B357" s="10"/>
      <c r="C357" s="10"/>
      <c r="D357" s="12"/>
      <c r="E357" s="29"/>
      <c r="F357" s="24" t="str">
        <f aca="false">IF(E357="","",E357*Settings!$B$17)</f>
        <v/>
      </c>
      <c r="G357" s="24" t="str">
        <f aca="false">IF(A357="","",N(D357)+N(F357))</f>
        <v/>
      </c>
    </row>
    <row r="358" customFormat="false" ht="15" hidden="false" customHeight="false" outlineLevel="0" collapsed="false">
      <c r="A358" s="19"/>
      <c r="B358" s="10"/>
      <c r="C358" s="10"/>
      <c r="D358" s="12"/>
      <c r="E358" s="29"/>
      <c r="F358" s="24" t="str">
        <f aca="false">IF(E358="","",E358*Settings!$B$17)</f>
        <v/>
      </c>
      <c r="G358" s="24" t="str">
        <f aca="false">IF(A358="","",N(D358)+N(F358))</f>
        <v/>
      </c>
    </row>
    <row r="359" customFormat="false" ht="15" hidden="false" customHeight="false" outlineLevel="0" collapsed="false">
      <c r="A359" s="19"/>
      <c r="B359" s="10"/>
      <c r="C359" s="10"/>
      <c r="D359" s="12"/>
      <c r="E359" s="29"/>
      <c r="F359" s="24" t="str">
        <f aca="false">IF(E359="","",E359*Settings!$B$17)</f>
        <v/>
      </c>
      <c r="G359" s="24" t="str">
        <f aca="false">IF(A359="","",N(D359)+N(F359))</f>
        <v/>
      </c>
    </row>
    <row r="360" customFormat="false" ht="15" hidden="false" customHeight="false" outlineLevel="0" collapsed="false">
      <c r="A360" s="19"/>
      <c r="B360" s="10"/>
      <c r="C360" s="10"/>
      <c r="D360" s="12"/>
      <c r="E360" s="29"/>
      <c r="F360" s="24" t="str">
        <f aca="false">IF(E360="","",E360*Settings!$B$17)</f>
        <v/>
      </c>
      <c r="G360" s="24" t="str">
        <f aca="false">IF(A360="","",N(D360)+N(F360))</f>
        <v/>
      </c>
    </row>
    <row r="361" customFormat="false" ht="15" hidden="false" customHeight="false" outlineLevel="0" collapsed="false">
      <c r="A361" s="19"/>
      <c r="B361" s="10"/>
      <c r="C361" s="10"/>
      <c r="D361" s="12"/>
      <c r="E361" s="29"/>
      <c r="F361" s="24" t="str">
        <f aca="false">IF(E361="","",E361*Settings!$B$17)</f>
        <v/>
      </c>
      <c r="G361" s="24" t="str">
        <f aca="false">IF(A361="","",N(D361)+N(F361))</f>
        <v/>
      </c>
    </row>
    <row r="362" customFormat="false" ht="15" hidden="false" customHeight="false" outlineLevel="0" collapsed="false">
      <c r="A362" s="19"/>
      <c r="B362" s="10"/>
      <c r="C362" s="10"/>
      <c r="D362" s="12"/>
      <c r="E362" s="29"/>
      <c r="F362" s="24" t="str">
        <f aca="false">IF(E362="","",E362*Settings!$B$17)</f>
        <v/>
      </c>
      <c r="G362" s="24" t="str">
        <f aca="false">IF(A362="","",N(D362)+N(F362))</f>
        <v/>
      </c>
    </row>
    <row r="363" customFormat="false" ht="15" hidden="false" customHeight="false" outlineLevel="0" collapsed="false">
      <c r="A363" s="19"/>
      <c r="B363" s="10"/>
      <c r="C363" s="10"/>
      <c r="D363" s="12"/>
      <c r="E363" s="29"/>
      <c r="F363" s="24" t="str">
        <f aca="false">IF(E363="","",E363*Settings!$B$17)</f>
        <v/>
      </c>
      <c r="G363" s="24" t="str">
        <f aca="false">IF(A363="","",N(D363)+N(F363))</f>
        <v/>
      </c>
    </row>
    <row r="364" customFormat="false" ht="15" hidden="false" customHeight="false" outlineLevel="0" collapsed="false">
      <c r="A364" s="19"/>
      <c r="B364" s="10"/>
      <c r="C364" s="10"/>
      <c r="D364" s="12"/>
      <c r="E364" s="29"/>
      <c r="F364" s="24" t="str">
        <f aca="false">IF(E364="","",E364*Settings!$B$17)</f>
        <v/>
      </c>
      <c r="G364" s="24" t="str">
        <f aca="false">IF(A364="","",N(D364)+N(F364))</f>
        <v/>
      </c>
    </row>
    <row r="365" customFormat="false" ht="15" hidden="false" customHeight="false" outlineLevel="0" collapsed="false">
      <c r="A365" s="19"/>
      <c r="B365" s="10"/>
      <c r="C365" s="10"/>
      <c r="D365" s="12"/>
      <c r="E365" s="29"/>
      <c r="F365" s="24" t="str">
        <f aca="false">IF(E365="","",E365*Settings!$B$17)</f>
        <v/>
      </c>
      <c r="G365" s="24" t="str">
        <f aca="false">IF(A365="","",N(D365)+N(F365))</f>
        <v/>
      </c>
    </row>
    <row r="366" customFormat="false" ht="15" hidden="false" customHeight="false" outlineLevel="0" collapsed="false">
      <c r="A366" s="19"/>
      <c r="B366" s="10"/>
      <c r="C366" s="10"/>
      <c r="D366" s="12"/>
      <c r="E366" s="29"/>
      <c r="F366" s="24" t="str">
        <f aca="false">IF(E366="","",E366*Settings!$B$17)</f>
        <v/>
      </c>
      <c r="G366" s="24" t="str">
        <f aca="false">IF(A366="","",N(D366)+N(F366))</f>
        <v/>
      </c>
    </row>
    <row r="367" customFormat="false" ht="15" hidden="false" customHeight="false" outlineLevel="0" collapsed="false">
      <c r="A367" s="19"/>
      <c r="B367" s="10"/>
      <c r="C367" s="10"/>
      <c r="D367" s="12"/>
      <c r="E367" s="29"/>
      <c r="F367" s="24" t="str">
        <f aca="false">IF(E367="","",E367*Settings!$B$17)</f>
        <v/>
      </c>
      <c r="G367" s="24" t="str">
        <f aca="false">IF(A367="","",N(D367)+N(F367))</f>
        <v/>
      </c>
    </row>
    <row r="368" customFormat="false" ht="15" hidden="false" customHeight="false" outlineLevel="0" collapsed="false">
      <c r="A368" s="19"/>
      <c r="B368" s="10"/>
      <c r="C368" s="10"/>
      <c r="D368" s="12"/>
      <c r="E368" s="29"/>
      <c r="F368" s="24" t="str">
        <f aca="false">IF(E368="","",E368*Settings!$B$17)</f>
        <v/>
      </c>
      <c r="G368" s="24" t="str">
        <f aca="false">IF(A368="","",N(D368)+N(F368))</f>
        <v/>
      </c>
    </row>
    <row r="369" customFormat="false" ht="15" hidden="false" customHeight="false" outlineLevel="0" collapsed="false">
      <c r="A369" s="19"/>
      <c r="B369" s="10"/>
      <c r="C369" s="10"/>
      <c r="D369" s="12"/>
      <c r="E369" s="29"/>
      <c r="F369" s="24" t="str">
        <f aca="false">IF(E369="","",E369*Settings!$B$17)</f>
        <v/>
      </c>
      <c r="G369" s="24" t="str">
        <f aca="false">IF(A369="","",N(D369)+N(F369))</f>
        <v/>
      </c>
    </row>
    <row r="370" customFormat="false" ht="15" hidden="false" customHeight="false" outlineLevel="0" collapsed="false">
      <c r="A370" s="19"/>
      <c r="B370" s="10"/>
      <c r="C370" s="10"/>
      <c r="D370" s="12"/>
      <c r="E370" s="29"/>
      <c r="F370" s="24" t="str">
        <f aca="false">IF(E370="","",E370*Settings!$B$17)</f>
        <v/>
      </c>
      <c r="G370" s="24" t="str">
        <f aca="false">IF(A370="","",N(D370)+N(F370))</f>
        <v/>
      </c>
    </row>
    <row r="371" customFormat="false" ht="15" hidden="false" customHeight="false" outlineLevel="0" collapsed="false">
      <c r="A371" s="19"/>
      <c r="B371" s="10"/>
      <c r="C371" s="10"/>
      <c r="D371" s="12"/>
      <c r="E371" s="29"/>
      <c r="F371" s="24" t="str">
        <f aca="false">IF(E371="","",E371*Settings!$B$17)</f>
        <v/>
      </c>
      <c r="G371" s="24" t="str">
        <f aca="false">IF(A371="","",N(D371)+N(F371))</f>
        <v/>
      </c>
    </row>
    <row r="372" customFormat="false" ht="15" hidden="false" customHeight="false" outlineLevel="0" collapsed="false">
      <c r="A372" s="19"/>
      <c r="B372" s="10"/>
      <c r="C372" s="10"/>
      <c r="D372" s="12"/>
      <c r="E372" s="29"/>
      <c r="F372" s="24" t="str">
        <f aca="false">IF(E372="","",E372*Settings!$B$17)</f>
        <v/>
      </c>
      <c r="G372" s="24" t="str">
        <f aca="false">IF(A372="","",N(D372)+N(F372))</f>
        <v/>
      </c>
    </row>
    <row r="373" customFormat="false" ht="15" hidden="false" customHeight="false" outlineLevel="0" collapsed="false">
      <c r="A373" s="19"/>
      <c r="B373" s="10"/>
      <c r="C373" s="10"/>
      <c r="D373" s="12"/>
      <c r="E373" s="29"/>
      <c r="F373" s="24" t="str">
        <f aca="false">IF(E373="","",E373*Settings!$B$17)</f>
        <v/>
      </c>
      <c r="G373" s="24" t="str">
        <f aca="false">IF(A373="","",N(D373)+N(F373))</f>
        <v/>
      </c>
    </row>
    <row r="374" customFormat="false" ht="15" hidden="false" customHeight="false" outlineLevel="0" collapsed="false">
      <c r="A374" s="19"/>
      <c r="B374" s="10"/>
      <c r="C374" s="10"/>
      <c r="D374" s="12"/>
      <c r="E374" s="29"/>
      <c r="F374" s="24" t="str">
        <f aca="false">IF(E374="","",E374*Settings!$B$17)</f>
        <v/>
      </c>
      <c r="G374" s="24" t="str">
        <f aca="false">IF(A374="","",N(D374)+N(F374))</f>
        <v/>
      </c>
    </row>
    <row r="375" customFormat="false" ht="15" hidden="false" customHeight="false" outlineLevel="0" collapsed="false">
      <c r="A375" s="19"/>
      <c r="B375" s="10"/>
      <c r="C375" s="10"/>
      <c r="D375" s="12"/>
      <c r="E375" s="29"/>
      <c r="F375" s="24" t="str">
        <f aca="false">IF(E375="","",E375*Settings!$B$17)</f>
        <v/>
      </c>
      <c r="G375" s="24" t="str">
        <f aca="false">IF(A375="","",N(D375)+N(F375))</f>
        <v/>
      </c>
    </row>
    <row r="376" customFormat="false" ht="15" hidden="false" customHeight="false" outlineLevel="0" collapsed="false">
      <c r="A376" s="19"/>
      <c r="B376" s="10"/>
      <c r="C376" s="10"/>
      <c r="D376" s="12"/>
      <c r="E376" s="29"/>
      <c r="F376" s="24" t="str">
        <f aca="false">IF(E376="","",E376*Settings!$B$17)</f>
        <v/>
      </c>
      <c r="G376" s="24" t="str">
        <f aca="false">IF(A376="","",N(D376)+N(F376))</f>
        <v/>
      </c>
    </row>
    <row r="377" customFormat="false" ht="15" hidden="false" customHeight="false" outlineLevel="0" collapsed="false">
      <c r="A377" s="19"/>
      <c r="B377" s="10"/>
      <c r="C377" s="10"/>
      <c r="D377" s="12"/>
      <c r="E377" s="29"/>
      <c r="F377" s="24" t="str">
        <f aca="false">IF(E377="","",E377*Settings!$B$17)</f>
        <v/>
      </c>
      <c r="G377" s="24" t="str">
        <f aca="false">IF(A377="","",N(D377)+N(F377))</f>
        <v/>
      </c>
    </row>
    <row r="378" customFormat="false" ht="15" hidden="false" customHeight="false" outlineLevel="0" collapsed="false">
      <c r="A378" s="19"/>
      <c r="B378" s="10"/>
      <c r="C378" s="10"/>
      <c r="D378" s="12"/>
      <c r="E378" s="29"/>
      <c r="F378" s="24" t="str">
        <f aca="false">IF(E378="","",E378*Settings!$B$17)</f>
        <v/>
      </c>
      <c r="G378" s="24" t="str">
        <f aca="false">IF(A378="","",N(D378)+N(F378))</f>
        <v/>
      </c>
    </row>
    <row r="379" customFormat="false" ht="15" hidden="false" customHeight="false" outlineLevel="0" collapsed="false">
      <c r="A379" s="19"/>
      <c r="B379" s="10"/>
      <c r="C379" s="10"/>
      <c r="D379" s="12"/>
      <c r="E379" s="29"/>
      <c r="F379" s="24" t="str">
        <f aca="false">IF(E379="","",E379*Settings!$B$17)</f>
        <v/>
      </c>
      <c r="G379" s="24" t="str">
        <f aca="false">IF(A379="","",N(D379)+N(F379))</f>
        <v/>
      </c>
    </row>
    <row r="380" customFormat="false" ht="15" hidden="false" customHeight="false" outlineLevel="0" collapsed="false">
      <c r="A380" s="19"/>
      <c r="B380" s="10"/>
      <c r="C380" s="10"/>
      <c r="D380" s="12"/>
      <c r="E380" s="29"/>
      <c r="F380" s="24" t="str">
        <f aca="false">IF(E380="","",E380*Settings!$B$17)</f>
        <v/>
      </c>
      <c r="G380" s="24" t="str">
        <f aca="false">IF(A380="","",N(D380)+N(F380))</f>
        <v/>
      </c>
    </row>
    <row r="381" customFormat="false" ht="15" hidden="false" customHeight="false" outlineLevel="0" collapsed="false">
      <c r="A381" s="19"/>
      <c r="B381" s="10"/>
      <c r="C381" s="10"/>
      <c r="D381" s="12"/>
      <c r="E381" s="29"/>
      <c r="F381" s="24" t="str">
        <f aca="false">IF(E381="","",E381*Settings!$B$17)</f>
        <v/>
      </c>
      <c r="G381" s="24" t="str">
        <f aca="false">IF(A381="","",N(D381)+N(F381))</f>
        <v/>
      </c>
    </row>
    <row r="382" customFormat="false" ht="15" hidden="false" customHeight="false" outlineLevel="0" collapsed="false">
      <c r="A382" s="19"/>
      <c r="B382" s="10"/>
      <c r="C382" s="10"/>
      <c r="D382" s="12"/>
      <c r="E382" s="29"/>
      <c r="F382" s="24" t="str">
        <f aca="false">IF(E382="","",E382*Settings!$B$17)</f>
        <v/>
      </c>
      <c r="G382" s="24" t="str">
        <f aca="false">IF(A382="","",N(D382)+N(F382))</f>
        <v/>
      </c>
    </row>
    <row r="383" customFormat="false" ht="15" hidden="false" customHeight="false" outlineLevel="0" collapsed="false">
      <c r="A383" s="19"/>
      <c r="B383" s="10"/>
      <c r="C383" s="10"/>
      <c r="D383" s="12"/>
      <c r="E383" s="29"/>
      <c r="F383" s="24" t="str">
        <f aca="false">IF(E383="","",E383*Settings!$B$17)</f>
        <v/>
      </c>
      <c r="G383" s="24" t="str">
        <f aca="false">IF(A383="","",N(D383)+N(F383))</f>
        <v/>
      </c>
    </row>
    <row r="384" customFormat="false" ht="15" hidden="false" customHeight="false" outlineLevel="0" collapsed="false">
      <c r="A384" s="19"/>
      <c r="B384" s="10"/>
      <c r="C384" s="10"/>
      <c r="D384" s="12"/>
      <c r="E384" s="29"/>
      <c r="F384" s="24" t="str">
        <f aca="false">IF(E384="","",E384*Settings!$B$17)</f>
        <v/>
      </c>
      <c r="G384" s="24" t="str">
        <f aca="false">IF(A384="","",N(D384)+N(F384))</f>
        <v/>
      </c>
    </row>
    <row r="385" customFormat="false" ht="15" hidden="false" customHeight="false" outlineLevel="0" collapsed="false">
      <c r="A385" s="19"/>
      <c r="B385" s="10"/>
      <c r="C385" s="10"/>
      <c r="D385" s="12"/>
      <c r="E385" s="29"/>
      <c r="F385" s="24" t="str">
        <f aca="false">IF(E385="","",E385*Settings!$B$17)</f>
        <v/>
      </c>
      <c r="G385" s="24" t="str">
        <f aca="false">IF(A385="","",N(D385)+N(F385))</f>
        <v/>
      </c>
    </row>
    <row r="386" customFormat="false" ht="15" hidden="false" customHeight="false" outlineLevel="0" collapsed="false">
      <c r="A386" s="19"/>
      <c r="B386" s="10"/>
      <c r="C386" s="10"/>
      <c r="D386" s="12"/>
      <c r="E386" s="29"/>
      <c r="F386" s="24" t="str">
        <f aca="false">IF(E386="","",E386*Settings!$B$17)</f>
        <v/>
      </c>
      <c r="G386" s="24" t="str">
        <f aca="false">IF(A386="","",N(D386)+N(F386))</f>
        <v/>
      </c>
    </row>
    <row r="387" customFormat="false" ht="15" hidden="false" customHeight="false" outlineLevel="0" collapsed="false">
      <c r="A387" s="19"/>
      <c r="B387" s="10"/>
      <c r="C387" s="10"/>
      <c r="D387" s="12"/>
      <c r="E387" s="29"/>
      <c r="F387" s="24" t="str">
        <f aca="false">IF(E387="","",E387*Settings!$B$17)</f>
        <v/>
      </c>
      <c r="G387" s="24" t="str">
        <f aca="false">IF(A387="","",N(D387)+N(F387))</f>
        <v/>
      </c>
    </row>
    <row r="388" customFormat="false" ht="15" hidden="false" customHeight="false" outlineLevel="0" collapsed="false">
      <c r="A388" s="19"/>
      <c r="B388" s="10"/>
      <c r="C388" s="10"/>
      <c r="D388" s="12"/>
      <c r="E388" s="29"/>
      <c r="F388" s="24" t="str">
        <f aca="false">IF(E388="","",E388*Settings!$B$17)</f>
        <v/>
      </c>
      <c r="G388" s="24" t="str">
        <f aca="false">IF(A388="","",N(D388)+N(F388))</f>
        <v/>
      </c>
    </row>
    <row r="389" customFormat="false" ht="15" hidden="false" customHeight="false" outlineLevel="0" collapsed="false">
      <c r="A389" s="19"/>
      <c r="B389" s="10"/>
      <c r="C389" s="10"/>
      <c r="D389" s="12"/>
      <c r="E389" s="29"/>
      <c r="F389" s="24" t="str">
        <f aca="false">IF(E389="","",E389*Settings!$B$17)</f>
        <v/>
      </c>
      <c r="G389" s="24" t="str">
        <f aca="false">IF(A389="","",N(D389)+N(F389))</f>
        <v/>
      </c>
    </row>
    <row r="390" customFormat="false" ht="15" hidden="false" customHeight="false" outlineLevel="0" collapsed="false">
      <c r="A390" s="19"/>
      <c r="B390" s="10"/>
      <c r="C390" s="10"/>
      <c r="D390" s="12"/>
      <c r="E390" s="29"/>
      <c r="F390" s="24" t="str">
        <f aca="false">IF(E390="","",E390*Settings!$B$17)</f>
        <v/>
      </c>
      <c r="G390" s="24" t="str">
        <f aca="false">IF(A390="","",N(D390)+N(F390))</f>
        <v/>
      </c>
    </row>
    <row r="391" customFormat="false" ht="15" hidden="false" customHeight="false" outlineLevel="0" collapsed="false">
      <c r="A391" s="19"/>
      <c r="B391" s="10"/>
      <c r="C391" s="10"/>
      <c r="D391" s="12"/>
      <c r="E391" s="29"/>
      <c r="F391" s="24" t="str">
        <f aca="false">IF(E391="","",E391*Settings!$B$17)</f>
        <v/>
      </c>
      <c r="G391" s="24" t="str">
        <f aca="false">IF(A391="","",N(D391)+N(F391))</f>
        <v/>
      </c>
    </row>
    <row r="392" customFormat="false" ht="15" hidden="false" customHeight="false" outlineLevel="0" collapsed="false">
      <c r="A392" s="19"/>
      <c r="B392" s="10"/>
      <c r="C392" s="10"/>
      <c r="D392" s="12"/>
      <c r="E392" s="29"/>
      <c r="F392" s="24" t="str">
        <f aca="false">IF(E392="","",E392*Settings!$B$17)</f>
        <v/>
      </c>
      <c r="G392" s="24" t="str">
        <f aca="false">IF(A392="","",N(D392)+N(F392))</f>
        <v/>
      </c>
    </row>
    <row r="393" customFormat="false" ht="15" hidden="false" customHeight="false" outlineLevel="0" collapsed="false">
      <c r="A393" s="19"/>
      <c r="B393" s="10"/>
      <c r="C393" s="10"/>
      <c r="D393" s="12"/>
      <c r="E393" s="29"/>
      <c r="F393" s="24" t="str">
        <f aca="false">IF(E393="","",E393*Settings!$B$17)</f>
        <v/>
      </c>
      <c r="G393" s="24" t="str">
        <f aca="false">IF(A393="","",N(D393)+N(F393))</f>
        <v/>
      </c>
    </row>
    <row r="394" customFormat="false" ht="15" hidden="false" customHeight="false" outlineLevel="0" collapsed="false">
      <c r="A394" s="19"/>
      <c r="B394" s="10"/>
      <c r="C394" s="10"/>
      <c r="D394" s="12"/>
      <c r="E394" s="29"/>
      <c r="F394" s="24" t="str">
        <f aca="false">IF(E394="","",E394*Settings!$B$17)</f>
        <v/>
      </c>
      <c r="G394" s="24" t="str">
        <f aca="false">IF(A394="","",N(D394)+N(F394))</f>
        <v/>
      </c>
    </row>
    <row r="395" customFormat="false" ht="15" hidden="false" customHeight="false" outlineLevel="0" collapsed="false">
      <c r="A395" s="19"/>
      <c r="B395" s="10"/>
      <c r="C395" s="10"/>
      <c r="D395" s="12"/>
      <c r="E395" s="29"/>
      <c r="F395" s="24" t="str">
        <f aca="false">IF(E395="","",E395*Settings!$B$17)</f>
        <v/>
      </c>
      <c r="G395" s="24" t="str">
        <f aca="false">IF(A395="","",N(D395)+N(F395))</f>
        <v/>
      </c>
    </row>
    <row r="396" customFormat="false" ht="15" hidden="false" customHeight="false" outlineLevel="0" collapsed="false">
      <c r="A396" s="19"/>
      <c r="B396" s="10"/>
      <c r="C396" s="10"/>
      <c r="D396" s="12"/>
      <c r="E396" s="29"/>
      <c r="F396" s="24" t="str">
        <f aca="false">IF(E396="","",E396*Settings!$B$17)</f>
        <v/>
      </c>
      <c r="G396" s="24" t="str">
        <f aca="false">IF(A396="","",N(D396)+N(F396))</f>
        <v/>
      </c>
    </row>
    <row r="397" customFormat="false" ht="15" hidden="false" customHeight="false" outlineLevel="0" collapsed="false">
      <c r="A397" s="19"/>
      <c r="B397" s="10"/>
      <c r="C397" s="10"/>
      <c r="D397" s="12"/>
      <c r="E397" s="29"/>
      <c r="F397" s="24" t="str">
        <f aca="false">IF(E397="","",E397*Settings!$B$17)</f>
        <v/>
      </c>
      <c r="G397" s="24" t="str">
        <f aca="false">IF(A397="","",N(D397)+N(F397))</f>
        <v/>
      </c>
    </row>
    <row r="398" customFormat="false" ht="15" hidden="false" customHeight="false" outlineLevel="0" collapsed="false">
      <c r="A398" s="19"/>
      <c r="B398" s="10"/>
      <c r="C398" s="10"/>
      <c r="D398" s="12"/>
      <c r="E398" s="29"/>
      <c r="F398" s="24" t="str">
        <f aca="false">IF(E398="","",E398*Settings!$B$17)</f>
        <v/>
      </c>
      <c r="G398" s="24" t="str">
        <f aca="false">IF(A398="","",N(D398)+N(F398))</f>
        <v/>
      </c>
    </row>
    <row r="399" customFormat="false" ht="15" hidden="false" customHeight="false" outlineLevel="0" collapsed="false">
      <c r="A399" s="19"/>
      <c r="B399" s="10"/>
      <c r="C399" s="10"/>
      <c r="D399" s="12"/>
      <c r="E399" s="29"/>
      <c r="F399" s="24" t="str">
        <f aca="false">IF(E399="","",E399*Settings!$B$17)</f>
        <v/>
      </c>
      <c r="G399" s="24" t="str">
        <f aca="false">IF(A399="","",N(D399)+N(F399))</f>
        <v/>
      </c>
    </row>
    <row r="400" customFormat="false" ht="15" hidden="false" customHeight="false" outlineLevel="0" collapsed="false">
      <c r="A400" s="19"/>
      <c r="B400" s="10"/>
      <c r="C400" s="10"/>
      <c r="D400" s="12"/>
      <c r="E400" s="29"/>
      <c r="F400" s="24" t="str">
        <f aca="false">IF(E400="","",E400*Settings!$B$17)</f>
        <v/>
      </c>
      <c r="G400" s="24" t="str">
        <f aca="false">IF(A400="","",N(D400)+N(F400))</f>
        <v/>
      </c>
    </row>
    <row r="401" customFormat="false" ht="15" hidden="false" customHeight="false" outlineLevel="0" collapsed="false">
      <c r="A401" s="19"/>
      <c r="B401" s="10"/>
      <c r="C401" s="10"/>
      <c r="D401" s="12"/>
      <c r="E401" s="29"/>
      <c r="F401" s="24" t="str">
        <f aca="false">IF(E401="","",E401*Settings!$B$17)</f>
        <v/>
      </c>
      <c r="G401" s="24" t="str">
        <f aca="false">IF(A401="","",N(D401)+N(F401))</f>
        <v/>
      </c>
    </row>
    <row r="402" customFormat="false" ht="15" hidden="false" customHeight="false" outlineLevel="0" collapsed="false">
      <c r="A402" s="19"/>
      <c r="B402" s="10"/>
      <c r="C402" s="10"/>
      <c r="D402" s="12"/>
      <c r="E402" s="29"/>
      <c r="F402" s="24" t="str">
        <f aca="false">IF(E402="","",E402*Settings!$B$17)</f>
        <v/>
      </c>
      <c r="G402" s="24" t="str">
        <f aca="false">IF(A402="","",N(D402)+N(F402))</f>
        <v/>
      </c>
    </row>
    <row r="403" customFormat="false" ht="15" hidden="false" customHeight="false" outlineLevel="0" collapsed="false">
      <c r="A403" s="19"/>
      <c r="B403" s="10"/>
      <c r="C403" s="10"/>
      <c r="D403" s="12"/>
      <c r="E403" s="29"/>
      <c r="F403" s="24" t="str">
        <f aca="false">IF(E403="","",E403*Settings!$B$17)</f>
        <v/>
      </c>
      <c r="G403" s="24" t="str">
        <f aca="false">IF(A403="","",N(D403)+N(F403))</f>
        <v/>
      </c>
    </row>
    <row r="404" customFormat="false" ht="15" hidden="false" customHeight="false" outlineLevel="0" collapsed="false">
      <c r="A404" s="19"/>
      <c r="B404" s="10"/>
      <c r="C404" s="10"/>
      <c r="D404" s="12"/>
      <c r="E404" s="29"/>
      <c r="F404" s="24" t="str">
        <f aca="false">IF(E404="","",E404*Settings!$B$17)</f>
        <v/>
      </c>
      <c r="G404" s="24" t="str">
        <f aca="false">IF(A404="","",N(D404)+N(F404))</f>
        <v/>
      </c>
    </row>
    <row r="405" customFormat="false" ht="15" hidden="false" customHeight="false" outlineLevel="0" collapsed="false">
      <c r="A405" s="19"/>
      <c r="B405" s="10"/>
      <c r="C405" s="10"/>
      <c r="D405" s="12"/>
      <c r="E405" s="29"/>
      <c r="F405" s="24" t="str">
        <f aca="false">IF(E405="","",E405*Settings!$B$17)</f>
        <v/>
      </c>
      <c r="G405" s="24" t="str">
        <f aca="false">IF(A405="","",N(D405)+N(F405))</f>
        <v/>
      </c>
    </row>
    <row r="406" customFormat="false" ht="15" hidden="false" customHeight="false" outlineLevel="0" collapsed="false">
      <c r="A406" s="19"/>
      <c r="B406" s="10"/>
      <c r="C406" s="10"/>
      <c r="D406" s="12"/>
      <c r="E406" s="29"/>
      <c r="F406" s="24" t="str">
        <f aca="false">IF(E406="","",E406*Settings!$B$17)</f>
        <v/>
      </c>
      <c r="G406" s="24" t="str">
        <f aca="false">IF(A406="","",N(D406)+N(F406))</f>
        <v/>
      </c>
    </row>
    <row r="407" customFormat="false" ht="15" hidden="false" customHeight="false" outlineLevel="0" collapsed="false">
      <c r="A407" s="19"/>
      <c r="B407" s="10"/>
      <c r="C407" s="10"/>
      <c r="D407" s="12"/>
      <c r="E407" s="29"/>
      <c r="F407" s="24" t="str">
        <f aca="false">IF(E407="","",E407*Settings!$B$17)</f>
        <v/>
      </c>
      <c r="G407" s="24" t="str">
        <f aca="false">IF(A407="","",N(D407)+N(F407))</f>
        <v/>
      </c>
    </row>
    <row r="408" customFormat="false" ht="15" hidden="false" customHeight="false" outlineLevel="0" collapsed="false">
      <c r="A408" s="19"/>
      <c r="B408" s="10"/>
      <c r="C408" s="10"/>
      <c r="D408" s="12"/>
      <c r="E408" s="29"/>
      <c r="F408" s="24" t="str">
        <f aca="false">IF(E408="","",E408*Settings!$B$17)</f>
        <v/>
      </c>
      <c r="G408" s="24" t="str">
        <f aca="false">IF(A408="","",N(D408)+N(F408))</f>
        <v/>
      </c>
    </row>
    <row r="409" customFormat="false" ht="15" hidden="false" customHeight="false" outlineLevel="0" collapsed="false">
      <c r="A409" s="19"/>
      <c r="B409" s="10"/>
      <c r="C409" s="10"/>
      <c r="D409" s="12"/>
      <c r="E409" s="29"/>
      <c r="F409" s="24" t="str">
        <f aca="false">IF(E409="","",E409*Settings!$B$17)</f>
        <v/>
      </c>
      <c r="G409" s="24" t="str">
        <f aca="false">IF(A409="","",N(D409)+N(F409))</f>
        <v/>
      </c>
    </row>
    <row r="410" customFormat="false" ht="15" hidden="false" customHeight="false" outlineLevel="0" collapsed="false">
      <c r="A410" s="19"/>
      <c r="B410" s="10"/>
      <c r="C410" s="10"/>
      <c r="D410" s="12"/>
      <c r="E410" s="29"/>
      <c r="F410" s="24" t="str">
        <f aca="false">IF(E410="","",E410*Settings!$B$17)</f>
        <v/>
      </c>
      <c r="G410" s="24" t="str">
        <f aca="false">IF(A410="","",N(D410)+N(F410))</f>
        <v/>
      </c>
    </row>
    <row r="411" customFormat="false" ht="15" hidden="false" customHeight="false" outlineLevel="0" collapsed="false">
      <c r="A411" s="19"/>
      <c r="B411" s="10"/>
      <c r="C411" s="10"/>
      <c r="D411" s="12"/>
      <c r="E411" s="29"/>
      <c r="F411" s="24" t="str">
        <f aca="false">IF(E411="","",E411*Settings!$B$17)</f>
        <v/>
      </c>
      <c r="G411" s="24" t="str">
        <f aca="false">IF(A411="","",N(D411)+N(F411))</f>
        <v/>
      </c>
    </row>
    <row r="412" customFormat="false" ht="15" hidden="false" customHeight="false" outlineLevel="0" collapsed="false">
      <c r="A412" s="19"/>
      <c r="B412" s="10"/>
      <c r="C412" s="10"/>
      <c r="D412" s="12"/>
      <c r="E412" s="29"/>
      <c r="F412" s="24" t="str">
        <f aca="false">IF(E412="","",E412*Settings!$B$17)</f>
        <v/>
      </c>
      <c r="G412" s="24" t="str">
        <f aca="false">IF(A412="","",N(D412)+N(F412))</f>
        <v/>
      </c>
    </row>
    <row r="413" customFormat="false" ht="15" hidden="false" customHeight="false" outlineLevel="0" collapsed="false">
      <c r="A413" s="19"/>
      <c r="B413" s="10"/>
      <c r="C413" s="10"/>
      <c r="D413" s="12"/>
      <c r="E413" s="29"/>
      <c r="F413" s="24" t="str">
        <f aca="false">IF(E413="","",E413*Settings!$B$17)</f>
        <v/>
      </c>
      <c r="G413" s="24" t="str">
        <f aca="false">IF(A413="","",N(D413)+N(F413))</f>
        <v/>
      </c>
    </row>
    <row r="414" customFormat="false" ht="15" hidden="false" customHeight="false" outlineLevel="0" collapsed="false">
      <c r="A414" s="19"/>
      <c r="B414" s="10"/>
      <c r="C414" s="10"/>
      <c r="D414" s="12"/>
      <c r="E414" s="29"/>
      <c r="F414" s="24" t="str">
        <f aca="false">IF(E414="","",E414*Settings!$B$17)</f>
        <v/>
      </c>
      <c r="G414" s="24" t="str">
        <f aca="false">IF(A414="","",N(D414)+N(F414))</f>
        <v/>
      </c>
    </row>
    <row r="415" customFormat="false" ht="15" hidden="false" customHeight="false" outlineLevel="0" collapsed="false">
      <c r="A415" s="19"/>
      <c r="B415" s="10"/>
      <c r="C415" s="10"/>
      <c r="D415" s="12"/>
      <c r="E415" s="29"/>
      <c r="F415" s="24" t="str">
        <f aca="false">IF(E415="","",E415*Settings!$B$17)</f>
        <v/>
      </c>
      <c r="G415" s="24" t="str">
        <f aca="false">IF(A415="","",N(D415)+N(F415))</f>
        <v/>
      </c>
    </row>
    <row r="416" customFormat="false" ht="15" hidden="false" customHeight="false" outlineLevel="0" collapsed="false">
      <c r="A416" s="19"/>
      <c r="B416" s="10"/>
      <c r="C416" s="10"/>
      <c r="D416" s="12"/>
      <c r="E416" s="29"/>
      <c r="F416" s="24" t="str">
        <f aca="false">IF(E416="","",E416*Settings!$B$17)</f>
        <v/>
      </c>
      <c r="G416" s="24" t="str">
        <f aca="false">IF(A416="","",N(D416)+N(F416))</f>
        <v/>
      </c>
    </row>
    <row r="417" customFormat="false" ht="15" hidden="false" customHeight="false" outlineLevel="0" collapsed="false">
      <c r="A417" s="19"/>
      <c r="B417" s="10"/>
      <c r="C417" s="10"/>
      <c r="D417" s="12"/>
      <c r="E417" s="29"/>
      <c r="F417" s="24" t="str">
        <f aca="false">IF(E417="","",E417*Settings!$B$17)</f>
        <v/>
      </c>
      <c r="G417" s="24" t="str">
        <f aca="false">IF(A417="","",N(D417)+N(F417))</f>
        <v/>
      </c>
    </row>
    <row r="418" customFormat="false" ht="15" hidden="false" customHeight="false" outlineLevel="0" collapsed="false">
      <c r="A418" s="19"/>
      <c r="B418" s="10"/>
      <c r="C418" s="10"/>
      <c r="D418" s="12"/>
      <c r="E418" s="29"/>
      <c r="F418" s="24" t="str">
        <f aca="false">IF(E418="","",E418*Settings!$B$17)</f>
        <v/>
      </c>
      <c r="G418" s="24" t="str">
        <f aca="false">IF(A418="","",N(D418)+N(F418))</f>
        <v/>
      </c>
    </row>
    <row r="419" customFormat="false" ht="15" hidden="false" customHeight="false" outlineLevel="0" collapsed="false">
      <c r="A419" s="19"/>
      <c r="B419" s="10"/>
      <c r="C419" s="10"/>
      <c r="D419" s="12"/>
      <c r="E419" s="29"/>
      <c r="F419" s="24" t="str">
        <f aca="false">IF(E419="","",E419*Settings!$B$17)</f>
        <v/>
      </c>
      <c r="G419" s="24" t="str">
        <f aca="false">IF(A419="","",N(D419)+N(F419))</f>
        <v/>
      </c>
    </row>
    <row r="420" customFormat="false" ht="15" hidden="false" customHeight="false" outlineLevel="0" collapsed="false">
      <c r="A420" s="19"/>
      <c r="B420" s="10"/>
      <c r="C420" s="10"/>
      <c r="D420" s="12"/>
      <c r="E420" s="29"/>
      <c r="F420" s="24" t="str">
        <f aca="false">IF(E420="","",E420*Settings!$B$17)</f>
        <v/>
      </c>
      <c r="G420" s="24" t="str">
        <f aca="false">IF(A420="","",N(D420)+N(F420))</f>
        <v/>
      </c>
    </row>
    <row r="421" customFormat="false" ht="15" hidden="false" customHeight="false" outlineLevel="0" collapsed="false">
      <c r="A421" s="19"/>
      <c r="B421" s="10"/>
      <c r="C421" s="10"/>
      <c r="D421" s="12"/>
      <c r="E421" s="29"/>
      <c r="F421" s="24" t="str">
        <f aca="false">IF(E421="","",E421*Settings!$B$17)</f>
        <v/>
      </c>
      <c r="G421" s="24" t="str">
        <f aca="false">IF(A421="","",N(D421)+N(F421))</f>
        <v/>
      </c>
    </row>
    <row r="422" customFormat="false" ht="15" hidden="false" customHeight="false" outlineLevel="0" collapsed="false">
      <c r="A422" s="19"/>
      <c r="B422" s="10"/>
      <c r="C422" s="10"/>
      <c r="D422" s="12"/>
      <c r="E422" s="29"/>
      <c r="F422" s="24" t="str">
        <f aca="false">IF(E422="","",E422*Settings!$B$17)</f>
        <v/>
      </c>
      <c r="G422" s="24" t="str">
        <f aca="false">IF(A422="","",N(D422)+N(F422))</f>
        <v/>
      </c>
    </row>
    <row r="423" customFormat="false" ht="15" hidden="false" customHeight="false" outlineLevel="0" collapsed="false">
      <c r="A423" s="19"/>
      <c r="B423" s="10"/>
      <c r="C423" s="10"/>
      <c r="D423" s="12"/>
      <c r="E423" s="29"/>
      <c r="F423" s="24" t="str">
        <f aca="false">IF(E423="","",E423*Settings!$B$17)</f>
        <v/>
      </c>
      <c r="G423" s="24" t="str">
        <f aca="false">IF(A423="","",N(D423)+N(F423))</f>
        <v/>
      </c>
    </row>
    <row r="424" customFormat="false" ht="15" hidden="false" customHeight="false" outlineLevel="0" collapsed="false">
      <c r="A424" s="19"/>
      <c r="B424" s="10"/>
      <c r="C424" s="10"/>
      <c r="D424" s="12"/>
      <c r="E424" s="29"/>
      <c r="F424" s="24" t="str">
        <f aca="false">IF(E424="","",E424*Settings!$B$17)</f>
        <v/>
      </c>
      <c r="G424" s="24" t="str">
        <f aca="false">IF(A424="","",N(D424)+N(F424))</f>
        <v/>
      </c>
    </row>
    <row r="425" customFormat="false" ht="15" hidden="false" customHeight="false" outlineLevel="0" collapsed="false">
      <c r="A425" s="19"/>
      <c r="B425" s="10"/>
      <c r="C425" s="10"/>
      <c r="D425" s="12"/>
      <c r="E425" s="29"/>
      <c r="F425" s="24" t="str">
        <f aca="false">IF(E425="","",E425*Settings!$B$17)</f>
        <v/>
      </c>
      <c r="G425" s="24" t="str">
        <f aca="false">IF(A425="","",N(D425)+N(F425))</f>
        <v/>
      </c>
    </row>
    <row r="426" customFormat="false" ht="15" hidden="false" customHeight="false" outlineLevel="0" collapsed="false">
      <c r="A426" s="19"/>
      <c r="B426" s="10"/>
      <c r="C426" s="10"/>
      <c r="D426" s="12"/>
      <c r="E426" s="29"/>
      <c r="F426" s="24" t="str">
        <f aca="false">IF(E426="","",E426*Settings!$B$17)</f>
        <v/>
      </c>
      <c r="G426" s="24" t="str">
        <f aca="false">IF(A426="","",N(D426)+N(F426))</f>
        <v/>
      </c>
    </row>
    <row r="427" customFormat="false" ht="15" hidden="false" customHeight="false" outlineLevel="0" collapsed="false">
      <c r="A427" s="19"/>
      <c r="B427" s="10"/>
      <c r="C427" s="10"/>
      <c r="D427" s="12"/>
      <c r="E427" s="29"/>
      <c r="F427" s="24" t="str">
        <f aca="false">IF(E427="","",E427*Settings!$B$17)</f>
        <v/>
      </c>
      <c r="G427" s="24" t="str">
        <f aca="false">IF(A427="","",N(D427)+N(F427))</f>
        <v/>
      </c>
    </row>
    <row r="428" customFormat="false" ht="15" hidden="false" customHeight="false" outlineLevel="0" collapsed="false">
      <c r="A428" s="19"/>
      <c r="B428" s="10"/>
      <c r="C428" s="10"/>
      <c r="D428" s="12"/>
      <c r="E428" s="29"/>
      <c r="F428" s="24" t="str">
        <f aca="false">IF(E428="","",E428*Settings!$B$17)</f>
        <v/>
      </c>
      <c r="G428" s="24" t="str">
        <f aca="false">IF(A428="","",N(D428)+N(F428))</f>
        <v/>
      </c>
    </row>
    <row r="429" customFormat="false" ht="15" hidden="false" customHeight="false" outlineLevel="0" collapsed="false">
      <c r="A429" s="19"/>
      <c r="B429" s="10"/>
      <c r="C429" s="10"/>
      <c r="D429" s="12"/>
      <c r="E429" s="29"/>
      <c r="F429" s="24" t="str">
        <f aca="false">IF(E429="","",E429*Settings!$B$17)</f>
        <v/>
      </c>
      <c r="G429" s="24" t="str">
        <f aca="false">IF(A429="","",N(D429)+N(F429))</f>
        <v/>
      </c>
    </row>
    <row r="430" customFormat="false" ht="15" hidden="false" customHeight="false" outlineLevel="0" collapsed="false">
      <c r="A430" s="19"/>
      <c r="B430" s="10"/>
      <c r="C430" s="10"/>
      <c r="D430" s="12"/>
      <c r="E430" s="29"/>
      <c r="F430" s="24" t="str">
        <f aca="false">IF(E430="","",E430*Settings!$B$17)</f>
        <v/>
      </c>
      <c r="G430" s="24" t="str">
        <f aca="false">IF(A430="","",N(D430)+N(F430))</f>
        <v/>
      </c>
    </row>
    <row r="431" customFormat="false" ht="15" hidden="false" customHeight="false" outlineLevel="0" collapsed="false">
      <c r="A431" s="19"/>
      <c r="B431" s="10"/>
      <c r="C431" s="10"/>
      <c r="D431" s="12"/>
      <c r="E431" s="29"/>
      <c r="F431" s="24" t="str">
        <f aca="false">IF(E431="","",E431*Settings!$B$17)</f>
        <v/>
      </c>
      <c r="G431" s="24" t="str">
        <f aca="false">IF(A431="","",N(D431)+N(F431))</f>
        <v/>
      </c>
    </row>
    <row r="432" customFormat="false" ht="15" hidden="false" customHeight="false" outlineLevel="0" collapsed="false">
      <c r="A432" s="19"/>
      <c r="B432" s="10"/>
      <c r="C432" s="10"/>
      <c r="D432" s="12"/>
      <c r="E432" s="29"/>
      <c r="F432" s="24" t="str">
        <f aca="false">IF(E432="","",E432*Settings!$B$17)</f>
        <v/>
      </c>
      <c r="G432" s="24" t="str">
        <f aca="false">IF(A432="","",N(D432)+N(F432))</f>
        <v/>
      </c>
    </row>
    <row r="433" customFormat="false" ht="15" hidden="false" customHeight="false" outlineLevel="0" collapsed="false">
      <c r="A433" s="19"/>
      <c r="B433" s="10"/>
      <c r="C433" s="10"/>
      <c r="D433" s="12"/>
      <c r="E433" s="29"/>
      <c r="F433" s="24" t="str">
        <f aca="false">IF(E433="","",E433*Settings!$B$17)</f>
        <v/>
      </c>
      <c r="G433" s="24" t="str">
        <f aca="false">IF(A433="","",N(D433)+N(F433))</f>
        <v/>
      </c>
    </row>
    <row r="434" customFormat="false" ht="15" hidden="false" customHeight="false" outlineLevel="0" collapsed="false">
      <c r="A434" s="19"/>
      <c r="B434" s="10"/>
      <c r="C434" s="10"/>
      <c r="D434" s="12"/>
      <c r="E434" s="29"/>
      <c r="F434" s="24" t="str">
        <f aca="false">IF(E434="","",E434*Settings!$B$17)</f>
        <v/>
      </c>
      <c r="G434" s="24" t="str">
        <f aca="false">IF(A434="","",N(D434)+N(F434))</f>
        <v/>
      </c>
    </row>
    <row r="435" customFormat="false" ht="15" hidden="false" customHeight="false" outlineLevel="0" collapsed="false">
      <c r="A435" s="19"/>
      <c r="B435" s="10"/>
      <c r="C435" s="10"/>
      <c r="D435" s="12"/>
      <c r="E435" s="29"/>
      <c r="F435" s="24" t="str">
        <f aca="false">IF(E435="","",E435*Settings!$B$17)</f>
        <v/>
      </c>
      <c r="G435" s="24" t="str">
        <f aca="false">IF(A435="","",N(D435)+N(F435))</f>
        <v/>
      </c>
    </row>
    <row r="436" customFormat="false" ht="15" hidden="false" customHeight="false" outlineLevel="0" collapsed="false">
      <c r="A436" s="19"/>
      <c r="B436" s="10"/>
      <c r="C436" s="10"/>
      <c r="D436" s="12"/>
      <c r="E436" s="29"/>
      <c r="F436" s="24" t="str">
        <f aca="false">IF(E436="","",E436*Settings!$B$17)</f>
        <v/>
      </c>
      <c r="G436" s="24" t="str">
        <f aca="false">IF(A436="","",N(D436)+N(F436))</f>
        <v/>
      </c>
    </row>
    <row r="437" customFormat="false" ht="15" hidden="false" customHeight="false" outlineLevel="0" collapsed="false">
      <c r="A437" s="19"/>
      <c r="B437" s="10"/>
      <c r="C437" s="10"/>
      <c r="D437" s="12"/>
      <c r="E437" s="29"/>
      <c r="F437" s="24" t="str">
        <f aca="false">IF(E437="","",E437*Settings!$B$17)</f>
        <v/>
      </c>
      <c r="G437" s="24" t="str">
        <f aca="false">IF(A437="","",N(D437)+N(F437))</f>
        <v/>
      </c>
    </row>
    <row r="438" customFormat="false" ht="15" hidden="false" customHeight="false" outlineLevel="0" collapsed="false">
      <c r="A438" s="19"/>
      <c r="B438" s="10"/>
      <c r="C438" s="10"/>
      <c r="D438" s="12"/>
      <c r="E438" s="29"/>
      <c r="F438" s="24" t="str">
        <f aca="false">IF(E438="","",E438*Settings!$B$17)</f>
        <v/>
      </c>
      <c r="G438" s="24" t="str">
        <f aca="false">IF(A438="","",N(D438)+N(F438))</f>
        <v/>
      </c>
    </row>
    <row r="439" customFormat="false" ht="15" hidden="false" customHeight="false" outlineLevel="0" collapsed="false">
      <c r="A439" s="19"/>
      <c r="B439" s="10"/>
      <c r="C439" s="10"/>
      <c r="D439" s="12"/>
      <c r="E439" s="29"/>
      <c r="F439" s="24" t="str">
        <f aca="false">IF(E439="","",E439*Settings!$B$17)</f>
        <v/>
      </c>
      <c r="G439" s="24" t="str">
        <f aca="false">IF(A439="","",N(D439)+N(F439))</f>
        <v/>
      </c>
    </row>
    <row r="440" customFormat="false" ht="15" hidden="false" customHeight="false" outlineLevel="0" collapsed="false">
      <c r="A440" s="19"/>
      <c r="B440" s="10"/>
      <c r="C440" s="10"/>
      <c r="D440" s="12"/>
      <c r="E440" s="29"/>
      <c r="F440" s="24" t="str">
        <f aca="false">IF(E440="","",E440*Settings!$B$17)</f>
        <v/>
      </c>
      <c r="G440" s="24" t="str">
        <f aca="false">IF(A440="","",N(D440)+N(F440))</f>
        <v/>
      </c>
    </row>
    <row r="441" customFormat="false" ht="15" hidden="false" customHeight="false" outlineLevel="0" collapsed="false">
      <c r="A441" s="19"/>
      <c r="B441" s="10"/>
      <c r="C441" s="10"/>
      <c r="D441" s="12"/>
      <c r="E441" s="29"/>
      <c r="F441" s="24" t="str">
        <f aca="false">IF(E441="","",E441*Settings!$B$17)</f>
        <v/>
      </c>
      <c r="G441" s="24" t="str">
        <f aca="false">IF(A441="","",N(D441)+N(F441))</f>
        <v/>
      </c>
    </row>
    <row r="442" customFormat="false" ht="15" hidden="false" customHeight="false" outlineLevel="0" collapsed="false">
      <c r="A442" s="19"/>
      <c r="B442" s="10"/>
      <c r="C442" s="10"/>
      <c r="D442" s="12"/>
      <c r="E442" s="29"/>
      <c r="F442" s="24" t="str">
        <f aca="false">IF(E442="","",E442*Settings!$B$17)</f>
        <v/>
      </c>
      <c r="G442" s="24" t="str">
        <f aca="false">IF(A442="","",N(D442)+N(F442))</f>
        <v/>
      </c>
    </row>
    <row r="443" customFormat="false" ht="15" hidden="false" customHeight="false" outlineLevel="0" collapsed="false">
      <c r="A443" s="19"/>
      <c r="B443" s="10"/>
      <c r="C443" s="10"/>
      <c r="D443" s="12"/>
      <c r="E443" s="29"/>
      <c r="F443" s="24" t="str">
        <f aca="false">IF(E443="","",E443*Settings!$B$17)</f>
        <v/>
      </c>
      <c r="G443" s="24" t="str">
        <f aca="false">IF(A443="","",N(D443)+N(F443))</f>
        <v/>
      </c>
    </row>
    <row r="444" customFormat="false" ht="15" hidden="false" customHeight="false" outlineLevel="0" collapsed="false">
      <c r="A444" s="19"/>
      <c r="B444" s="10"/>
      <c r="C444" s="10"/>
      <c r="D444" s="12"/>
      <c r="E444" s="29"/>
      <c r="F444" s="24" t="str">
        <f aca="false">IF(E444="","",E444*Settings!$B$17)</f>
        <v/>
      </c>
      <c r="G444" s="24" t="str">
        <f aca="false">IF(A444="","",N(D444)+N(F444))</f>
        <v/>
      </c>
    </row>
    <row r="445" customFormat="false" ht="15" hidden="false" customHeight="false" outlineLevel="0" collapsed="false">
      <c r="A445" s="19"/>
      <c r="B445" s="10"/>
      <c r="C445" s="10"/>
      <c r="D445" s="12"/>
      <c r="E445" s="29"/>
      <c r="F445" s="24" t="str">
        <f aca="false">IF(E445="","",E445*Settings!$B$17)</f>
        <v/>
      </c>
      <c r="G445" s="24" t="str">
        <f aca="false">IF(A445="","",N(D445)+N(F445))</f>
        <v/>
      </c>
    </row>
    <row r="446" customFormat="false" ht="15" hidden="false" customHeight="false" outlineLevel="0" collapsed="false">
      <c r="A446" s="19"/>
      <c r="B446" s="10"/>
      <c r="C446" s="10"/>
      <c r="D446" s="12"/>
      <c r="E446" s="29"/>
      <c r="F446" s="24" t="str">
        <f aca="false">IF(E446="","",E446*Settings!$B$17)</f>
        <v/>
      </c>
      <c r="G446" s="24" t="str">
        <f aca="false">IF(A446="","",N(D446)+N(F446))</f>
        <v/>
      </c>
    </row>
    <row r="447" customFormat="false" ht="15" hidden="false" customHeight="false" outlineLevel="0" collapsed="false">
      <c r="A447" s="19"/>
      <c r="B447" s="10"/>
      <c r="C447" s="10"/>
      <c r="D447" s="12"/>
      <c r="E447" s="29"/>
      <c r="F447" s="24" t="str">
        <f aca="false">IF(E447="","",E447*Settings!$B$17)</f>
        <v/>
      </c>
      <c r="G447" s="24" t="str">
        <f aca="false">IF(A447="","",N(D447)+N(F447))</f>
        <v/>
      </c>
    </row>
    <row r="448" customFormat="false" ht="15" hidden="false" customHeight="false" outlineLevel="0" collapsed="false">
      <c r="A448" s="19"/>
      <c r="B448" s="10"/>
      <c r="C448" s="10"/>
      <c r="D448" s="12"/>
      <c r="E448" s="29"/>
      <c r="F448" s="24" t="str">
        <f aca="false">IF(E448="","",E448*Settings!$B$17)</f>
        <v/>
      </c>
      <c r="G448" s="24" t="str">
        <f aca="false">IF(A448="","",N(D448)+N(F448))</f>
        <v/>
      </c>
    </row>
    <row r="449" customFormat="false" ht="15" hidden="false" customHeight="false" outlineLevel="0" collapsed="false">
      <c r="A449" s="19"/>
      <c r="B449" s="10"/>
      <c r="C449" s="10"/>
      <c r="D449" s="12"/>
      <c r="E449" s="29"/>
      <c r="F449" s="24" t="str">
        <f aca="false">IF(E449="","",E449*Settings!$B$17)</f>
        <v/>
      </c>
      <c r="G449" s="24" t="str">
        <f aca="false">IF(A449="","",N(D449)+N(F449))</f>
        <v/>
      </c>
    </row>
    <row r="450" customFormat="false" ht="15" hidden="false" customHeight="false" outlineLevel="0" collapsed="false">
      <c r="A450" s="19"/>
      <c r="B450" s="10"/>
      <c r="C450" s="10"/>
      <c r="D450" s="12"/>
      <c r="E450" s="29"/>
      <c r="F450" s="24" t="str">
        <f aca="false">IF(E450="","",E450*Settings!$B$17)</f>
        <v/>
      </c>
      <c r="G450" s="24" t="str">
        <f aca="false">IF(A450="","",N(D450)+N(F450))</f>
        <v/>
      </c>
    </row>
    <row r="451" customFormat="false" ht="15" hidden="false" customHeight="false" outlineLevel="0" collapsed="false">
      <c r="A451" s="19"/>
      <c r="B451" s="10"/>
      <c r="C451" s="10"/>
      <c r="D451" s="12"/>
      <c r="E451" s="29"/>
      <c r="F451" s="24" t="str">
        <f aca="false">IF(E451="","",E451*Settings!$B$17)</f>
        <v/>
      </c>
      <c r="G451" s="24" t="str">
        <f aca="false">IF(A451="","",N(D451)+N(F451))</f>
        <v/>
      </c>
    </row>
    <row r="452" customFormat="false" ht="15" hidden="false" customHeight="false" outlineLevel="0" collapsed="false">
      <c r="A452" s="19"/>
      <c r="B452" s="10"/>
      <c r="C452" s="10"/>
      <c r="D452" s="12"/>
      <c r="E452" s="29"/>
      <c r="F452" s="24" t="str">
        <f aca="false">IF(E452="","",E452*Settings!$B$17)</f>
        <v/>
      </c>
      <c r="G452" s="24" t="str">
        <f aca="false">IF(A452="","",N(D452)+N(F452))</f>
        <v/>
      </c>
    </row>
    <row r="453" customFormat="false" ht="15" hidden="false" customHeight="false" outlineLevel="0" collapsed="false">
      <c r="A453" s="19"/>
      <c r="B453" s="10"/>
      <c r="C453" s="10"/>
      <c r="D453" s="12"/>
      <c r="E453" s="29"/>
      <c r="F453" s="24" t="str">
        <f aca="false">IF(E453="","",E453*Settings!$B$17)</f>
        <v/>
      </c>
      <c r="G453" s="24" t="str">
        <f aca="false">IF(A453="","",N(D453)+N(F453))</f>
        <v/>
      </c>
    </row>
    <row r="454" customFormat="false" ht="15" hidden="false" customHeight="false" outlineLevel="0" collapsed="false">
      <c r="A454" s="19"/>
      <c r="B454" s="10"/>
      <c r="C454" s="10"/>
      <c r="D454" s="12"/>
      <c r="E454" s="29"/>
      <c r="F454" s="24" t="str">
        <f aca="false">IF(E454="","",E454*Settings!$B$17)</f>
        <v/>
      </c>
      <c r="G454" s="24" t="str">
        <f aca="false">IF(A454="","",N(D454)+N(F454))</f>
        <v/>
      </c>
    </row>
    <row r="455" customFormat="false" ht="15" hidden="false" customHeight="false" outlineLevel="0" collapsed="false">
      <c r="A455" s="19"/>
      <c r="B455" s="10"/>
      <c r="C455" s="10"/>
      <c r="D455" s="12"/>
      <c r="E455" s="29"/>
      <c r="F455" s="24" t="str">
        <f aca="false">IF(E455="","",E455*Settings!$B$17)</f>
        <v/>
      </c>
      <c r="G455" s="24" t="str">
        <f aca="false">IF(A455="","",N(D455)+N(F455))</f>
        <v/>
      </c>
    </row>
    <row r="456" customFormat="false" ht="15" hidden="false" customHeight="false" outlineLevel="0" collapsed="false">
      <c r="A456" s="19"/>
      <c r="B456" s="10"/>
      <c r="C456" s="10"/>
      <c r="D456" s="12"/>
      <c r="E456" s="29"/>
      <c r="F456" s="24" t="str">
        <f aca="false">IF(E456="","",E456*Settings!$B$17)</f>
        <v/>
      </c>
      <c r="G456" s="24" t="str">
        <f aca="false">IF(A456="","",N(D456)+N(F456))</f>
        <v/>
      </c>
    </row>
    <row r="457" customFormat="false" ht="15" hidden="false" customHeight="false" outlineLevel="0" collapsed="false">
      <c r="A457" s="19"/>
      <c r="B457" s="10"/>
      <c r="C457" s="10"/>
      <c r="D457" s="12"/>
      <c r="E457" s="29"/>
      <c r="F457" s="24" t="str">
        <f aca="false">IF(E457="","",E457*Settings!$B$17)</f>
        <v/>
      </c>
      <c r="G457" s="24" t="str">
        <f aca="false">IF(A457="","",N(D457)+N(F457))</f>
        <v/>
      </c>
    </row>
    <row r="458" customFormat="false" ht="15" hidden="false" customHeight="false" outlineLevel="0" collapsed="false">
      <c r="A458" s="19"/>
      <c r="B458" s="10"/>
      <c r="C458" s="10"/>
      <c r="D458" s="12"/>
      <c r="E458" s="29"/>
      <c r="F458" s="24" t="str">
        <f aca="false">IF(E458="","",E458*Settings!$B$17)</f>
        <v/>
      </c>
      <c r="G458" s="24" t="str">
        <f aca="false">IF(A458="","",N(D458)+N(F458))</f>
        <v/>
      </c>
    </row>
    <row r="459" customFormat="false" ht="15" hidden="false" customHeight="false" outlineLevel="0" collapsed="false">
      <c r="A459" s="19"/>
      <c r="B459" s="10"/>
      <c r="C459" s="10"/>
      <c r="D459" s="12"/>
      <c r="E459" s="29"/>
      <c r="F459" s="24" t="str">
        <f aca="false">IF(E459="","",E459*Settings!$B$17)</f>
        <v/>
      </c>
      <c r="G459" s="24" t="str">
        <f aca="false">IF(A459="","",N(D459)+N(F459))</f>
        <v/>
      </c>
    </row>
    <row r="460" customFormat="false" ht="15" hidden="false" customHeight="false" outlineLevel="0" collapsed="false">
      <c r="A460" s="19"/>
      <c r="B460" s="10"/>
      <c r="C460" s="10"/>
      <c r="D460" s="12"/>
      <c r="E460" s="29"/>
      <c r="F460" s="24" t="str">
        <f aca="false">IF(E460="","",E460*Settings!$B$17)</f>
        <v/>
      </c>
      <c r="G460" s="24" t="str">
        <f aca="false">IF(A460="","",N(D460)+N(F460))</f>
        <v/>
      </c>
    </row>
    <row r="461" customFormat="false" ht="15" hidden="false" customHeight="false" outlineLevel="0" collapsed="false">
      <c r="A461" s="19"/>
      <c r="B461" s="10"/>
      <c r="C461" s="10"/>
      <c r="D461" s="12"/>
      <c r="E461" s="29"/>
      <c r="F461" s="24" t="str">
        <f aca="false">IF(E461="","",E461*Settings!$B$17)</f>
        <v/>
      </c>
      <c r="G461" s="24" t="str">
        <f aca="false">IF(A461="","",N(D461)+N(F461))</f>
        <v/>
      </c>
    </row>
    <row r="462" customFormat="false" ht="15" hidden="false" customHeight="false" outlineLevel="0" collapsed="false">
      <c r="A462" s="19"/>
      <c r="B462" s="10"/>
      <c r="C462" s="10"/>
      <c r="D462" s="12"/>
      <c r="E462" s="29"/>
      <c r="F462" s="24" t="str">
        <f aca="false">IF(E462="","",E462*Settings!$B$17)</f>
        <v/>
      </c>
      <c r="G462" s="24" t="str">
        <f aca="false">IF(A462="","",N(D462)+N(F462))</f>
        <v/>
      </c>
    </row>
    <row r="463" customFormat="false" ht="15" hidden="false" customHeight="false" outlineLevel="0" collapsed="false">
      <c r="A463" s="19"/>
      <c r="B463" s="10"/>
      <c r="C463" s="10"/>
      <c r="D463" s="12"/>
      <c r="E463" s="29"/>
      <c r="F463" s="24" t="str">
        <f aca="false">IF(E463="","",E463*Settings!$B$17)</f>
        <v/>
      </c>
      <c r="G463" s="24" t="str">
        <f aca="false">IF(A463="","",N(D463)+N(F463))</f>
        <v/>
      </c>
    </row>
    <row r="464" customFormat="false" ht="15" hidden="false" customHeight="false" outlineLevel="0" collapsed="false">
      <c r="A464" s="19"/>
      <c r="B464" s="10"/>
      <c r="C464" s="10"/>
      <c r="D464" s="12"/>
      <c r="E464" s="29"/>
      <c r="F464" s="24" t="str">
        <f aca="false">IF(E464="","",E464*Settings!$B$17)</f>
        <v/>
      </c>
      <c r="G464" s="24" t="str">
        <f aca="false">IF(A464="","",N(D464)+N(F464))</f>
        <v/>
      </c>
    </row>
    <row r="465" customFormat="false" ht="15" hidden="false" customHeight="false" outlineLevel="0" collapsed="false">
      <c r="A465" s="19"/>
      <c r="B465" s="10"/>
      <c r="C465" s="10"/>
      <c r="D465" s="12"/>
      <c r="E465" s="29"/>
      <c r="F465" s="24" t="str">
        <f aca="false">IF(E465="","",E465*Settings!$B$17)</f>
        <v/>
      </c>
      <c r="G465" s="24" t="str">
        <f aca="false">IF(A465="","",N(D465)+N(F465))</f>
        <v/>
      </c>
    </row>
    <row r="466" customFormat="false" ht="15" hidden="false" customHeight="false" outlineLevel="0" collapsed="false">
      <c r="A466" s="19"/>
      <c r="B466" s="10"/>
      <c r="C466" s="10"/>
      <c r="D466" s="12"/>
      <c r="E466" s="29"/>
      <c r="F466" s="24" t="str">
        <f aca="false">IF(E466="","",E466*Settings!$B$17)</f>
        <v/>
      </c>
      <c r="G466" s="24" t="str">
        <f aca="false">IF(A466="","",N(D466)+N(F466))</f>
        <v/>
      </c>
    </row>
    <row r="467" customFormat="false" ht="15" hidden="false" customHeight="false" outlineLevel="0" collapsed="false">
      <c r="A467" s="19"/>
      <c r="B467" s="10"/>
      <c r="C467" s="10"/>
      <c r="D467" s="12"/>
      <c r="E467" s="29"/>
      <c r="F467" s="24" t="str">
        <f aca="false">IF(E467="","",E467*Settings!$B$17)</f>
        <v/>
      </c>
      <c r="G467" s="24" t="str">
        <f aca="false">IF(A467="","",N(D467)+N(F467))</f>
        <v/>
      </c>
    </row>
    <row r="468" customFormat="false" ht="15" hidden="false" customHeight="false" outlineLevel="0" collapsed="false">
      <c r="A468" s="19"/>
      <c r="B468" s="10"/>
      <c r="C468" s="10"/>
      <c r="D468" s="12"/>
      <c r="E468" s="29"/>
      <c r="F468" s="24" t="str">
        <f aca="false">IF(E468="","",E468*Settings!$B$17)</f>
        <v/>
      </c>
      <c r="G468" s="24" t="str">
        <f aca="false">IF(A468="","",N(D468)+N(F468))</f>
        <v/>
      </c>
    </row>
    <row r="469" customFormat="false" ht="15" hidden="false" customHeight="false" outlineLevel="0" collapsed="false">
      <c r="A469" s="19"/>
      <c r="B469" s="10"/>
      <c r="C469" s="10"/>
      <c r="D469" s="12"/>
      <c r="E469" s="29"/>
      <c r="F469" s="24" t="str">
        <f aca="false">IF(E469="","",E469*Settings!$B$17)</f>
        <v/>
      </c>
      <c r="G469" s="24" t="str">
        <f aca="false">IF(A469="","",N(D469)+N(F469))</f>
        <v/>
      </c>
    </row>
    <row r="470" customFormat="false" ht="15" hidden="false" customHeight="false" outlineLevel="0" collapsed="false">
      <c r="A470" s="19"/>
      <c r="B470" s="10"/>
      <c r="C470" s="10"/>
      <c r="D470" s="12"/>
      <c r="E470" s="29"/>
      <c r="F470" s="24" t="str">
        <f aca="false">IF(E470="","",E470*Settings!$B$17)</f>
        <v/>
      </c>
      <c r="G470" s="24" t="str">
        <f aca="false">IF(A470="","",N(D470)+N(F470))</f>
        <v/>
      </c>
    </row>
    <row r="471" customFormat="false" ht="15" hidden="false" customHeight="false" outlineLevel="0" collapsed="false">
      <c r="A471" s="19"/>
      <c r="B471" s="10"/>
      <c r="C471" s="10"/>
      <c r="D471" s="12"/>
      <c r="E471" s="29"/>
      <c r="F471" s="24" t="str">
        <f aca="false">IF(E471="","",E471*Settings!$B$17)</f>
        <v/>
      </c>
      <c r="G471" s="24" t="str">
        <f aca="false">IF(A471="","",N(D471)+N(F471))</f>
        <v/>
      </c>
    </row>
    <row r="472" customFormat="false" ht="15" hidden="false" customHeight="false" outlineLevel="0" collapsed="false">
      <c r="A472" s="19"/>
      <c r="B472" s="10"/>
      <c r="C472" s="10"/>
      <c r="D472" s="12"/>
      <c r="E472" s="29"/>
      <c r="F472" s="24" t="str">
        <f aca="false">IF(E472="","",E472*Settings!$B$17)</f>
        <v/>
      </c>
      <c r="G472" s="24" t="str">
        <f aca="false">IF(A472="","",N(D472)+N(F472))</f>
        <v/>
      </c>
    </row>
    <row r="473" customFormat="false" ht="15" hidden="false" customHeight="false" outlineLevel="0" collapsed="false">
      <c r="A473" s="19"/>
      <c r="B473" s="10"/>
      <c r="C473" s="10"/>
      <c r="D473" s="12"/>
      <c r="E473" s="29"/>
      <c r="F473" s="24" t="str">
        <f aca="false">IF(E473="","",E473*Settings!$B$17)</f>
        <v/>
      </c>
      <c r="G473" s="24" t="str">
        <f aca="false">IF(A473="","",N(D473)+N(F473))</f>
        <v/>
      </c>
    </row>
    <row r="474" customFormat="false" ht="15" hidden="false" customHeight="false" outlineLevel="0" collapsed="false">
      <c r="A474" s="19"/>
      <c r="B474" s="10"/>
      <c r="C474" s="10"/>
      <c r="D474" s="12"/>
      <c r="E474" s="29"/>
      <c r="F474" s="24" t="str">
        <f aca="false">IF(E474="","",E474*Settings!$B$17)</f>
        <v/>
      </c>
      <c r="G474" s="24" t="str">
        <f aca="false">IF(A474="","",N(D474)+N(F474))</f>
        <v/>
      </c>
    </row>
    <row r="475" customFormat="false" ht="15" hidden="false" customHeight="false" outlineLevel="0" collapsed="false">
      <c r="A475" s="19"/>
      <c r="B475" s="10"/>
      <c r="C475" s="10"/>
      <c r="D475" s="12"/>
      <c r="E475" s="29"/>
      <c r="F475" s="24" t="str">
        <f aca="false">IF(E475="","",E475*Settings!$B$17)</f>
        <v/>
      </c>
      <c r="G475" s="24" t="str">
        <f aca="false">IF(A475="","",N(D475)+N(F475))</f>
        <v/>
      </c>
    </row>
    <row r="476" customFormat="false" ht="15" hidden="false" customHeight="false" outlineLevel="0" collapsed="false">
      <c r="A476" s="19"/>
      <c r="B476" s="10"/>
      <c r="C476" s="10"/>
      <c r="D476" s="12"/>
      <c r="E476" s="29"/>
      <c r="F476" s="24" t="str">
        <f aca="false">IF(E476="","",E476*Settings!$B$17)</f>
        <v/>
      </c>
      <c r="G476" s="24" t="str">
        <f aca="false">IF(A476="","",N(D476)+N(F476))</f>
        <v/>
      </c>
    </row>
    <row r="477" customFormat="false" ht="15" hidden="false" customHeight="false" outlineLevel="0" collapsed="false">
      <c r="A477" s="19"/>
      <c r="B477" s="10"/>
      <c r="C477" s="10"/>
      <c r="D477" s="12"/>
      <c r="E477" s="29"/>
      <c r="F477" s="24" t="str">
        <f aca="false">IF(E477="","",E477*Settings!$B$17)</f>
        <v/>
      </c>
      <c r="G477" s="24" t="str">
        <f aca="false">IF(A477="","",N(D477)+N(F477))</f>
        <v/>
      </c>
    </row>
    <row r="478" customFormat="false" ht="15" hidden="false" customHeight="false" outlineLevel="0" collapsed="false">
      <c r="A478" s="19"/>
      <c r="B478" s="10"/>
      <c r="C478" s="10"/>
      <c r="D478" s="12"/>
      <c r="E478" s="29"/>
      <c r="F478" s="24" t="str">
        <f aca="false">IF(E478="","",E478*Settings!$B$17)</f>
        <v/>
      </c>
      <c r="G478" s="24" t="str">
        <f aca="false">IF(A478="","",N(D478)+N(F478))</f>
        <v/>
      </c>
    </row>
    <row r="479" customFormat="false" ht="15" hidden="false" customHeight="false" outlineLevel="0" collapsed="false">
      <c r="A479" s="19"/>
      <c r="B479" s="10"/>
      <c r="C479" s="10"/>
      <c r="D479" s="12"/>
      <c r="E479" s="29"/>
      <c r="F479" s="24" t="str">
        <f aca="false">IF(E479="","",E479*Settings!$B$17)</f>
        <v/>
      </c>
      <c r="G479" s="24" t="str">
        <f aca="false">IF(A479="","",N(D479)+N(F479))</f>
        <v/>
      </c>
    </row>
    <row r="480" customFormat="false" ht="15" hidden="false" customHeight="false" outlineLevel="0" collapsed="false">
      <c r="A480" s="19"/>
      <c r="B480" s="10"/>
      <c r="C480" s="10"/>
      <c r="D480" s="12"/>
      <c r="E480" s="29"/>
      <c r="F480" s="24" t="str">
        <f aca="false">IF(E480="","",E480*Settings!$B$17)</f>
        <v/>
      </c>
      <c r="G480" s="24" t="str">
        <f aca="false">IF(A480="","",N(D480)+N(F480))</f>
        <v/>
      </c>
    </row>
    <row r="481" customFormat="false" ht="15" hidden="false" customHeight="false" outlineLevel="0" collapsed="false">
      <c r="A481" s="19"/>
      <c r="B481" s="10"/>
      <c r="C481" s="10"/>
      <c r="D481" s="12"/>
      <c r="E481" s="29"/>
      <c r="F481" s="24" t="str">
        <f aca="false">IF(E481="","",E481*Settings!$B$17)</f>
        <v/>
      </c>
      <c r="G481" s="24" t="str">
        <f aca="false">IF(A481="","",N(D481)+N(F481))</f>
        <v/>
      </c>
    </row>
    <row r="482" customFormat="false" ht="15" hidden="false" customHeight="false" outlineLevel="0" collapsed="false">
      <c r="A482" s="19"/>
      <c r="B482" s="10"/>
      <c r="C482" s="10"/>
      <c r="D482" s="12"/>
      <c r="E482" s="29"/>
      <c r="F482" s="24" t="str">
        <f aca="false">IF(E482="","",E482*Settings!$B$17)</f>
        <v/>
      </c>
      <c r="G482" s="24" t="str">
        <f aca="false">IF(A482="","",N(D482)+N(F482))</f>
        <v/>
      </c>
    </row>
    <row r="483" customFormat="false" ht="15" hidden="false" customHeight="false" outlineLevel="0" collapsed="false">
      <c r="A483" s="19"/>
      <c r="B483" s="10"/>
      <c r="C483" s="10"/>
      <c r="D483" s="12"/>
      <c r="E483" s="29"/>
      <c r="F483" s="24" t="str">
        <f aca="false">IF(E483="","",E483*Settings!$B$17)</f>
        <v/>
      </c>
      <c r="G483" s="24" t="str">
        <f aca="false">IF(A483="","",N(D483)+N(F483))</f>
        <v/>
      </c>
    </row>
    <row r="484" customFormat="false" ht="15" hidden="false" customHeight="false" outlineLevel="0" collapsed="false">
      <c r="A484" s="19"/>
      <c r="B484" s="10"/>
      <c r="C484" s="10"/>
      <c r="D484" s="12"/>
      <c r="E484" s="29"/>
      <c r="F484" s="24" t="str">
        <f aca="false">IF(E484="","",E484*Settings!$B$17)</f>
        <v/>
      </c>
      <c r="G484" s="24" t="str">
        <f aca="false">IF(A484="","",N(D484)+N(F484))</f>
        <v/>
      </c>
    </row>
    <row r="485" customFormat="false" ht="15" hidden="false" customHeight="false" outlineLevel="0" collapsed="false">
      <c r="A485" s="19"/>
      <c r="B485" s="10"/>
      <c r="C485" s="10"/>
      <c r="D485" s="12"/>
      <c r="E485" s="29"/>
      <c r="F485" s="24" t="str">
        <f aca="false">IF(E485="","",E485*Settings!$B$17)</f>
        <v/>
      </c>
      <c r="G485" s="24" t="str">
        <f aca="false">IF(A485="","",N(D485)+N(F485))</f>
        <v/>
      </c>
    </row>
    <row r="486" customFormat="false" ht="15" hidden="false" customHeight="false" outlineLevel="0" collapsed="false">
      <c r="A486" s="19"/>
      <c r="B486" s="10"/>
      <c r="C486" s="10"/>
      <c r="D486" s="12"/>
      <c r="E486" s="29"/>
      <c r="F486" s="24" t="str">
        <f aca="false">IF(E486="","",E486*Settings!$B$17)</f>
        <v/>
      </c>
      <c r="G486" s="24" t="str">
        <f aca="false">IF(A486="","",N(D486)+N(F486))</f>
        <v/>
      </c>
    </row>
    <row r="487" customFormat="false" ht="15" hidden="false" customHeight="false" outlineLevel="0" collapsed="false">
      <c r="A487" s="19"/>
      <c r="B487" s="10"/>
      <c r="C487" s="10"/>
      <c r="D487" s="12"/>
      <c r="E487" s="29"/>
      <c r="F487" s="24" t="str">
        <f aca="false">IF(E487="","",E487*Settings!$B$17)</f>
        <v/>
      </c>
      <c r="G487" s="24" t="str">
        <f aca="false">IF(A487="","",N(D487)+N(F487))</f>
        <v/>
      </c>
    </row>
    <row r="488" customFormat="false" ht="15" hidden="false" customHeight="false" outlineLevel="0" collapsed="false">
      <c r="A488" s="19"/>
      <c r="B488" s="10"/>
      <c r="C488" s="10"/>
      <c r="D488" s="12"/>
      <c r="E488" s="29"/>
      <c r="F488" s="24" t="str">
        <f aca="false">IF(E488="","",E488*Settings!$B$17)</f>
        <v/>
      </c>
      <c r="G488" s="24" t="str">
        <f aca="false">IF(A488="","",N(D488)+N(F488))</f>
        <v/>
      </c>
    </row>
    <row r="489" customFormat="false" ht="15" hidden="false" customHeight="false" outlineLevel="0" collapsed="false">
      <c r="A489" s="19"/>
      <c r="B489" s="10"/>
      <c r="C489" s="10"/>
      <c r="D489" s="12"/>
      <c r="E489" s="29"/>
      <c r="F489" s="24" t="str">
        <f aca="false">IF(E489="","",E489*Settings!$B$17)</f>
        <v/>
      </c>
      <c r="G489" s="24" t="str">
        <f aca="false">IF(A489="","",N(D489)+N(F489))</f>
        <v/>
      </c>
    </row>
    <row r="490" customFormat="false" ht="15" hidden="false" customHeight="false" outlineLevel="0" collapsed="false">
      <c r="A490" s="19"/>
      <c r="B490" s="10"/>
      <c r="C490" s="10"/>
      <c r="D490" s="12"/>
      <c r="E490" s="29"/>
      <c r="F490" s="24" t="str">
        <f aca="false">IF(E490="","",E490*Settings!$B$17)</f>
        <v/>
      </c>
      <c r="G490" s="24" t="str">
        <f aca="false">IF(A490="","",N(D490)+N(F490))</f>
        <v/>
      </c>
    </row>
    <row r="491" customFormat="false" ht="15" hidden="false" customHeight="false" outlineLevel="0" collapsed="false">
      <c r="A491" s="19"/>
      <c r="B491" s="10"/>
      <c r="C491" s="10"/>
      <c r="D491" s="12"/>
      <c r="E491" s="29"/>
      <c r="F491" s="24" t="str">
        <f aca="false">IF(E491="","",E491*Settings!$B$17)</f>
        <v/>
      </c>
      <c r="G491" s="24" t="str">
        <f aca="false">IF(A491="","",N(D491)+N(F491))</f>
        <v/>
      </c>
    </row>
    <row r="492" customFormat="false" ht="15" hidden="false" customHeight="false" outlineLevel="0" collapsed="false">
      <c r="A492" s="19"/>
      <c r="B492" s="10"/>
      <c r="C492" s="10"/>
      <c r="D492" s="12"/>
      <c r="E492" s="29"/>
      <c r="F492" s="24" t="str">
        <f aca="false">IF(E492="","",E492*Settings!$B$17)</f>
        <v/>
      </c>
      <c r="G492" s="24" t="str">
        <f aca="false">IF(A492="","",N(D492)+N(F492))</f>
        <v/>
      </c>
    </row>
    <row r="493" customFormat="false" ht="15" hidden="false" customHeight="false" outlineLevel="0" collapsed="false">
      <c r="A493" s="19"/>
      <c r="B493" s="10"/>
      <c r="C493" s="10"/>
      <c r="D493" s="12"/>
      <c r="E493" s="29"/>
      <c r="F493" s="24" t="str">
        <f aca="false">IF(E493="","",E493*Settings!$B$17)</f>
        <v/>
      </c>
      <c r="G493" s="24" t="str">
        <f aca="false">IF(A493="","",N(D493)+N(F493))</f>
        <v/>
      </c>
    </row>
    <row r="494" customFormat="false" ht="15" hidden="false" customHeight="false" outlineLevel="0" collapsed="false">
      <c r="A494" s="19"/>
      <c r="B494" s="10"/>
      <c r="C494" s="10"/>
      <c r="D494" s="12"/>
      <c r="E494" s="29"/>
      <c r="F494" s="24" t="str">
        <f aca="false">IF(E494="","",E494*Settings!$B$17)</f>
        <v/>
      </c>
      <c r="G494" s="24" t="str">
        <f aca="false">IF(A494="","",N(D494)+N(F494))</f>
        <v/>
      </c>
    </row>
    <row r="495" customFormat="false" ht="15" hidden="false" customHeight="false" outlineLevel="0" collapsed="false">
      <c r="A495" s="19"/>
      <c r="B495" s="10"/>
      <c r="C495" s="10"/>
      <c r="D495" s="12"/>
      <c r="E495" s="29"/>
      <c r="F495" s="24" t="str">
        <f aca="false">IF(E495="","",E495*Settings!$B$17)</f>
        <v/>
      </c>
      <c r="G495" s="24" t="str">
        <f aca="false">IF(A495="","",N(D495)+N(F495))</f>
        <v/>
      </c>
    </row>
    <row r="496" customFormat="false" ht="15" hidden="false" customHeight="false" outlineLevel="0" collapsed="false">
      <c r="A496" s="19"/>
      <c r="B496" s="10"/>
      <c r="C496" s="10"/>
      <c r="D496" s="12"/>
      <c r="E496" s="29"/>
      <c r="F496" s="24" t="str">
        <f aca="false">IF(E496="","",E496*Settings!$B$17)</f>
        <v/>
      </c>
      <c r="G496" s="24" t="str">
        <f aca="false">IF(A496="","",N(D496)+N(F496))</f>
        <v/>
      </c>
    </row>
    <row r="497" customFormat="false" ht="15" hidden="false" customHeight="false" outlineLevel="0" collapsed="false">
      <c r="A497" s="19"/>
      <c r="B497" s="10"/>
      <c r="C497" s="10"/>
      <c r="D497" s="12"/>
      <c r="E497" s="29"/>
      <c r="F497" s="24" t="str">
        <f aca="false">IF(E497="","",E497*Settings!$B$17)</f>
        <v/>
      </c>
      <c r="G497" s="24" t="str">
        <f aca="false">IF(A497="","",N(D497)+N(F497))</f>
        <v/>
      </c>
    </row>
    <row r="498" customFormat="false" ht="15" hidden="false" customHeight="false" outlineLevel="0" collapsed="false">
      <c r="A498" s="19"/>
      <c r="B498" s="10"/>
      <c r="C498" s="10"/>
      <c r="D498" s="12"/>
      <c r="E498" s="29"/>
      <c r="F498" s="24" t="str">
        <f aca="false">IF(E498="","",E498*Settings!$B$17)</f>
        <v/>
      </c>
      <c r="G498" s="24" t="str">
        <f aca="false">IF(A498="","",N(D498)+N(F498))</f>
        <v/>
      </c>
    </row>
    <row r="499" customFormat="false" ht="15" hidden="false" customHeight="false" outlineLevel="0" collapsed="false">
      <c r="A499" s="19"/>
      <c r="B499" s="10"/>
      <c r="C499" s="10"/>
      <c r="D499" s="12"/>
      <c r="E499" s="29"/>
      <c r="F499" s="24" t="str">
        <f aca="false">IF(E499="","",E499*Settings!$B$17)</f>
        <v/>
      </c>
      <c r="G499" s="24" t="str">
        <f aca="false">IF(A499="","",N(D499)+N(F499))</f>
        <v/>
      </c>
    </row>
    <row r="500" customFormat="false" ht="15" hidden="false" customHeight="false" outlineLevel="0" collapsed="false">
      <c r="A500" s="19"/>
      <c r="B500" s="10"/>
      <c r="C500" s="10"/>
      <c r="D500" s="12"/>
      <c r="E500" s="29"/>
      <c r="F500" s="24" t="str">
        <f aca="false">IF(E500="","",E500*Settings!$B$17)</f>
        <v/>
      </c>
      <c r="G500" s="24" t="str">
        <f aca="false">IF(A500="","",N(D500)+N(F500))</f>
        <v/>
      </c>
    </row>
    <row r="501" customFormat="false" ht="15" hidden="false" customHeight="false" outlineLevel="0" collapsed="false">
      <c r="A501" s="19"/>
      <c r="B501" s="10"/>
      <c r="C501" s="10"/>
      <c r="D501" s="12"/>
      <c r="E501" s="29"/>
      <c r="F501" s="24" t="str">
        <f aca="false">IF(E501="","",E501*Settings!$B$17)</f>
        <v/>
      </c>
      <c r="G501" s="24" t="str">
        <f aca="false">IF(A501="","",N(D501)+N(F501))</f>
        <v/>
      </c>
    </row>
    <row r="502" customFormat="false" ht="15" hidden="false" customHeight="false" outlineLevel="0" collapsed="false">
      <c r="A502" s="19"/>
      <c r="B502" s="10"/>
      <c r="C502" s="10"/>
      <c r="D502" s="12"/>
      <c r="E502" s="29"/>
      <c r="F502" s="24" t="str">
        <f aca="false">IF(E502="","",E502*Settings!$B$17)</f>
        <v/>
      </c>
      <c r="G502" s="24" t="str">
        <f aca="false">IF(A502="","",N(D502)+N(F502))</f>
        <v/>
      </c>
    </row>
    <row r="503" customFormat="false" ht="15" hidden="false" customHeight="false" outlineLevel="0" collapsed="false">
      <c r="A503" s="19"/>
      <c r="B503" s="10"/>
      <c r="C503" s="10"/>
      <c r="D503" s="12"/>
      <c r="E503" s="29"/>
      <c r="F503" s="24" t="str">
        <f aca="false">IF(E503="","",E503*Settings!$B$17)</f>
        <v/>
      </c>
      <c r="G503" s="24" t="str">
        <f aca="false">IF(A503="","",N(D503)+N(F503))</f>
        <v/>
      </c>
    </row>
  </sheetData>
  <autoFilter ref="A3:G503"/>
  <dataValidations count="1">
    <dataValidation allowBlank="true" errorStyle="stop" operator="between" showDropDown="false" showErrorMessage="false" showInputMessage="false" sqref="B4:B503" type="list">
      <formula1>Settings!$K$4:$K$10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M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3"/>
    <col collapsed="false" customWidth="true" hidden="false" outlineLevel="0" max="13" min="12" style="0" width="13"/>
  </cols>
  <sheetData>
    <row r="1" customFormat="false" ht="19.7" hidden="false" customHeight="false" outlineLevel="0" collapsed="false">
      <c r="A1" s="1" t="s">
        <v>190</v>
      </c>
    </row>
    <row r="2" customFormat="false" ht="15" hidden="false" customHeight="false" outlineLevel="0" collapsed="false">
      <c r="A2" s="2" t="str">
        <f aca="false">"Tracking year starting "&amp;TEXT(Settings!$B$15,"mmm d, yyyy")&amp;"  -  updates automatically"</f>
        <v>Tracking year starting Jan 1, 2026  -  updates automatically</v>
      </c>
    </row>
    <row r="4" customFormat="false" ht="15" hidden="false" customHeight="false" outlineLevel="0" collapsed="false">
      <c r="A4" s="30" t="str">
        <f aca="false">"Inventory Value at Cost (Unsold, "&amp;Settings!$B$14&amp;")"</f>
        <v>Inventory Value at Cost (Unsold, $)</v>
      </c>
      <c r="B4" s="30"/>
      <c r="C4" s="30" t="s">
        <v>191</v>
      </c>
      <c r="D4" s="30"/>
      <c r="E4" s="30" t="str">
        <f aca="false">"Avg Profit per Item ("&amp;Settings!$B$14&amp;")"</f>
        <v>Avg Profit per Item ($)</v>
      </c>
      <c r="F4" s="30"/>
      <c r="G4" s="30" t="s">
        <v>192</v>
      </c>
      <c r="H4" s="30"/>
      <c r="I4" s="30" t="s">
        <v>193</v>
      </c>
      <c r="J4" s="30"/>
    </row>
    <row r="5" customFormat="false" ht="33.75" hidden="false" customHeight="true" outlineLevel="0" collapsed="false">
      <c r="A5" s="31" t="n">
        <f aca="false">SUMIFS(Inventory!$J$4:$J$503,Inventory!$K$4:$K$503,"Sourced")+SUMIFS(Inventory!$J$4:$J$503,Inventory!$K$4:$K$503,"Listed")+SUMIFS(Inventory!$J$4:$J$503,Inventory!$K$4:$K$503,"Returned")</f>
        <v>80.99</v>
      </c>
      <c r="B5" s="31"/>
      <c r="C5" s="32" t="n">
        <f aca="false">IFERROR(COUNTIF(Inventory!$K$4:$K$503,"Sold")/COUNTIF(Inventory!$K$4:$K$503,"?*"),0)</f>
        <v>0.625</v>
      </c>
      <c r="D5" s="32"/>
      <c r="E5" s="31" t="n">
        <f aca="false">IFERROR(AVERAGE(Sales!$L$4:$L$503),0)</f>
        <v>30.2804</v>
      </c>
      <c r="F5" s="31"/>
      <c r="G5" s="32" t="n">
        <f aca="false">IFERROR(AVERAGE(Sales!$M$4:$M$503),0)</f>
        <v>1.93959026287118</v>
      </c>
      <c r="H5" s="32"/>
      <c r="I5" s="33" t="n">
        <f aca="false">IFERROR(AVERAGE(Sales!$N$4:$N$503),0)</f>
        <v>24.8</v>
      </c>
      <c r="J5" s="33"/>
    </row>
    <row r="7" customFormat="false" ht="15" hidden="false" customHeight="false" outlineLevel="0" collapsed="false">
      <c r="A7" s="30" t="s">
        <v>194</v>
      </c>
      <c r="B7" s="30"/>
      <c r="C7" s="30" t="s">
        <v>195</v>
      </c>
      <c r="D7" s="30"/>
      <c r="E7" s="30" t="str">
        <f aca="false">"Death Pile Cost ("&amp;Settings!$B$14&amp;")"</f>
        <v>Death Pile Cost ($)</v>
      </c>
      <c r="F7" s="30"/>
      <c r="G7" s="30" t="s">
        <v>196</v>
      </c>
      <c r="H7" s="30"/>
      <c r="I7" s="30" t="str">
        <f aca="false">"Net Profit (year, "&amp;Settings!$B$14&amp;")"</f>
        <v>Net Profit (year, $)</v>
      </c>
      <c r="J7" s="30"/>
    </row>
    <row r="8" customFormat="false" ht="33.75" hidden="false" customHeight="true" outlineLevel="0" collapsed="false">
      <c r="A8" s="34" t="str">
        <f aca="false">IFERROR(IF(MAX(E28:E35)=0,"-",INDEX(A28:A35,MATCH(MAX(E28:E35),E28:E35,0))),"-")</f>
        <v>eBay</v>
      </c>
      <c r="B8" s="34"/>
      <c r="C8" s="35" t="n">
        <f aca="false">COUNTIF(Inventory!$Q$4:$Q$503,"STALE")</f>
        <v>1</v>
      </c>
      <c r="D8" s="35"/>
      <c r="E8" s="31" t="n">
        <f aca="false">SUMIFS(Inventory!$J$4:$J$503,Inventory!$Q$4:$Q$503,"STALE")</f>
        <v>30.99</v>
      </c>
      <c r="F8" s="31"/>
      <c r="G8" s="35" t="n">
        <f aca="false">D24</f>
        <v>5</v>
      </c>
      <c r="H8" s="35"/>
      <c r="I8" s="31" t="n">
        <f aca="false">J24</f>
        <v>45.522</v>
      </c>
      <c r="J8" s="31"/>
    </row>
    <row r="10" customFormat="false" ht="15" hidden="false" customHeight="false" outlineLevel="0" collapsed="false">
      <c r="A10" s="36" t="s">
        <v>197</v>
      </c>
    </row>
    <row r="11" customFormat="false" ht="30" hidden="false" customHeight="true" outlineLevel="0" collapsed="false">
      <c r="A11" s="9" t="s">
        <v>198</v>
      </c>
      <c r="B11" s="9" t="s">
        <v>199</v>
      </c>
      <c r="C11" s="9" t="s">
        <v>200</v>
      </c>
      <c r="D11" s="9" t="s">
        <v>201</v>
      </c>
      <c r="E11" s="9" t="s">
        <v>202</v>
      </c>
      <c r="F11" s="9" t="s">
        <v>89</v>
      </c>
      <c r="G11" s="9" t="s">
        <v>203</v>
      </c>
      <c r="H11" s="9" t="s">
        <v>204</v>
      </c>
      <c r="I11" s="9" t="s">
        <v>205</v>
      </c>
      <c r="J11" s="9" t="s">
        <v>168</v>
      </c>
      <c r="K11" s="37"/>
      <c r="L11" s="38" t="s">
        <v>206</v>
      </c>
      <c r="M11" s="38" t="s">
        <v>207</v>
      </c>
    </row>
    <row r="12" customFormat="false" ht="15" hidden="false" customHeight="false" outlineLevel="0" collapsed="false">
      <c r="A12" s="23" t="str">
        <f aca="false">TEXT(L12,"mmm yyyy")</f>
        <v>Jan 2026</v>
      </c>
      <c r="B12" s="25" t="n">
        <f aca="false">COUNTIFS(Inventory!$B$4:$B$503,"&gt;="&amp;$L12,Inventory!$B$4:$B$503,"&lt;"&amp;$M12)</f>
        <v>2</v>
      </c>
      <c r="C12" s="24" t="n">
        <f aca="false">SUMIFS(Inventory!$J$4:$J$503,Inventory!$B$4:$B$503,"&gt;="&amp;$L12,Inventory!$B$4:$B$503,"&lt;"&amp;$M12)</f>
        <v>33.49</v>
      </c>
      <c r="D12" s="25" t="n">
        <f aca="false">COUNTIFS(Sales!$A$4:$A$503,"&gt;="&amp;$L12,Sales!$A$4:$A$503,"&lt;"&amp;$M12)</f>
        <v>1</v>
      </c>
      <c r="E12" s="24" t="n">
        <f aca="false">SUMIFS(Sales!$E$4:$E$503,Sales!$A$4:$A$503,"&gt;="&amp;$L12,Sales!$A$4:$A$503,"&lt;"&amp;$M12)</f>
        <v>79</v>
      </c>
      <c r="F12" s="24" t="n">
        <f aca="false">SUMIFS(Sales!$H$4:$H$503,Sales!$A$4:$A$503,"&gt;="&amp;$L12,Sales!$A$4:$A$503,"&lt;"&amp;$M12)</f>
        <v>11.144</v>
      </c>
      <c r="G12" s="24" t="n">
        <f aca="false">SUMIFS(Sales!$F$4:$F$503,Sales!$A$4:$A$503,"&gt;="&amp;$L12,Sales!$A$4:$A$503,"&lt;"&amp;$M12)-SUMIFS(Sales!$G$4:$G$503,Sales!$A$4:$A$503,"&gt;="&amp;$L12,Sales!$A$4:$A$503,"&lt;"&amp;$M12)</f>
        <v>-9.85</v>
      </c>
      <c r="H12" s="24" t="n">
        <f aca="false">SUMIFS(Sales!$L$4:$L$503,Sales!$A$4:$A$503,"&gt;="&amp;$L12,Sales!$A$4:$A$503,"&lt;"&amp;$M12)</f>
        <v>45.016</v>
      </c>
      <c r="I12" s="24" t="n">
        <f aca="false">SUMIFS(Expenses!$G$4:$G$503,Expenses!$A$4:$A$503,"&gt;="&amp;$L12,Expenses!$A$4:$A$503,"&lt;"&amp;$M12)</f>
        <v>47.39</v>
      </c>
      <c r="J12" s="24" t="n">
        <f aca="false">H12-I12</f>
        <v>-2.374</v>
      </c>
      <c r="L12" s="39" t="n">
        <f aca="false">DATE(YEAR(Settings!$B$15),MONTH(Settings!$B$15)+0,1)</f>
        <v>46023</v>
      </c>
      <c r="M12" s="39" t="n">
        <f aca="false">DATE(YEAR(Settings!$B$15),MONTH(Settings!$B$15)+1,1)</f>
        <v>46054</v>
      </c>
    </row>
    <row r="13" customFormat="false" ht="15" hidden="false" customHeight="false" outlineLevel="0" collapsed="false">
      <c r="A13" s="40" t="str">
        <f aca="false">TEXT(L13,"mmm yyyy")</f>
        <v>Feb 2026</v>
      </c>
      <c r="B13" s="41" t="n">
        <f aca="false">COUNTIFS(Inventory!$B$4:$B$503,"&gt;="&amp;$L13,Inventory!$B$4:$B$503,"&lt;"&amp;$M13)</f>
        <v>2</v>
      </c>
      <c r="C13" s="42" t="n">
        <f aca="false">SUMIFS(Inventory!$J$4:$J$503,Inventory!$B$4:$B$503,"&gt;="&amp;$L13,Inventory!$B$4:$B$503,"&lt;"&amp;$M13)</f>
        <v>29</v>
      </c>
      <c r="D13" s="41" t="n">
        <f aca="false">COUNTIFS(Sales!$A$4:$A$503,"&gt;="&amp;$L13,Sales!$A$4:$A$503,"&lt;"&amp;$M13)</f>
        <v>2</v>
      </c>
      <c r="E13" s="42" t="n">
        <f aca="false">SUMIFS(Sales!$E$4:$E$503,Sales!$A$4:$A$503,"&gt;="&amp;$L13,Sales!$A$4:$A$503,"&lt;"&amp;$M13)</f>
        <v>133</v>
      </c>
      <c r="F13" s="42" t="n">
        <f aca="false">SUMIFS(Sales!$H$4:$H$503,Sales!$A$4:$A$503,"&gt;="&amp;$L13,Sales!$A$4:$A$503,"&lt;"&amp;$M13)</f>
        <v>21.399</v>
      </c>
      <c r="G13" s="42" t="n">
        <f aca="false">SUMIFS(Sales!$F$4:$F$503,Sales!$A$4:$A$503,"&gt;="&amp;$L13,Sales!$A$4:$A$503,"&lt;"&amp;$M13)-SUMIFS(Sales!$G$4:$G$503,Sales!$A$4:$A$503,"&gt;="&amp;$L13,Sales!$A$4:$A$503,"&lt;"&amp;$M13)</f>
        <v>-1.21</v>
      </c>
      <c r="H13" s="42" t="n">
        <f aca="false">SUMIFS(Sales!$L$4:$L$503,Sales!$A$4:$A$503,"&gt;="&amp;$L13,Sales!$A$4:$A$503,"&lt;"&amp;$M13)</f>
        <v>62.391</v>
      </c>
      <c r="I13" s="42" t="n">
        <f aca="false">SUMIFS(Expenses!$G$4:$G$503,Expenses!$A$4:$A$503,"&gt;="&amp;$L13,Expenses!$A$4:$A$503,"&lt;"&amp;$M13)</f>
        <v>19.99</v>
      </c>
      <c r="J13" s="42" t="n">
        <f aca="false">H13-I13</f>
        <v>42.401</v>
      </c>
      <c r="L13" s="39" t="n">
        <f aca="false">DATE(YEAR(Settings!$B$15),MONTH(Settings!$B$15)+1,1)</f>
        <v>46054</v>
      </c>
      <c r="M13" s="39" t="n">
        <f aca="false">DATE(YEAR(Settings!$B$15),MONTH(Settings!$B$15)+2,1)</f>
        <v>46082</v>
      </c>
    </row>
    <row r="14" customFormat="false" ht="15" hidden="false" customHeight="false" outlineLevel="0" collapsed="false">
      <c r="A14" s="23" t="str">
        <f aca="false">TEXT(L14,"mmm yyyy")</f>
        <v>Mar 2026</v>
      </c>
      <c r="B14" s="25" t="n">
        <f aca="false">COUNTIFS(Inventory!$B$4:$B$503,"&gt;="&amp;$L14,Inventory!$B$4:$B$503,"&lt;"&amp;$M14)</f>
        <v>2</v>
      </c>
      <c r="C14" s="24" t="n">
        <f aca="false">SUMIFS(Inventory!$J$4:$J$503,Inventory!$B$4:$B$503,"&gt;="&amp;$L14,Inventory!$B$4:$B$503,"&lt;"&amp;$M14)</f>
        <v>75.99</v>
      </c>
      <c r="D14" s="25" t="n">
        <f aca="false">COUNTIFS(Sales!$A$4:$A$503,"&gt;="&amp;$L14,Sales!$A$4:$A$503,"&lt;"&amp;$M14)</f>
        <v>1</v>
      </c>
      <c r="E14" s="24" t="n">
        <f aca="false">SUMIFS(Sales!$E$4:$E$503,Sales!$A$4:$A$503,"&gt;="&amp;$L14,Sales!$A$4:$A$503,"&lt;"&amp;$M14)</f>
        <v>14</v>
      </c>
      <c r="F14" s="24" t="n">
        <f aca="false">SUMIFS(Sales!$H$4:$H$503,Sales!$A$4:$A$503,"&gt;="&amp;$L14,Sales!$A$4:$A$503,"&lt;"&amp;$M14)</f>
        <v>2.95</v>
      </c>
      <c r="G14" s="24" t="n">
        <f aca="false">SUMIFS(Sales!$F$4:$F$503,Sales!$A$4:$A$503,"&gt;="&amp;$L14,Sales!$A$4:$A$503,"&lt;"&amp;$M14)-SUMIFS(Sales!$G$4:$G$503,Sales!$A$4:$A$503,"&gt;="&amp;$L14,Sales!$A$4:$A$503,"&lt;"&amp;$M14)</f>
        <v>0</v>
      </c>
      <c r="H14" s="24" t="n">
        <f aca="false">SUMIFS(Sales!$L$4:$L$503,Sales!$A$4:$A$503,"&gt;="&amp;$L14,Sales!$A$4:$A$503,"&lt;"&amp;$M14)</f>
        <v>8.05</v>
      </c>
      <c r="I14" s="24" t="n">
        <f aca="false">SUMIFS(Expenses!$G$4:$G$503,Expenses!$A$4:$A$503,"&gt;="&amp;$L14,Expenses!$A$4:$A$503,"&lt;"&amp;$M14)</f>
        <v>38.5</v>
      </c>
      <c r="J14" s="24" t="n">
        <f aca="false">H14-I14</f>
        <v>-30.45</v>
      </c>
      <c r="L14" s="39" t="n">
        <f aca="false">DATE(YEAR(Settings!$B$15),MONTH(Settings!$B$15)+2,1)</f>
        <v>46082</v>
      </c>
      <c r="M14" s="39" t="n">
        <f aca="false">DATE(YEAR(Settings!$B$15),MONTH(Settings!$B$15)+3,1)</f>
        <v>46113</v>
      </c>
    </row>
    <row r="15" customFormat="false" ht="15" hidden="false" customHeight="false" outlineLevel="0" collapsed="false">
      <c r="A15" s="40" t="str">
        <f aca="false">TEXT(L15,"mmm yyyy")</f>
        <v>Apr 2026</v>
      </c>
      <c r="B15" s="41" t="n">
        <f aca="false">COUNTIFS(Inventory!$B$4:$B$503,"&gt;="&amp;$L15,Inventory!$B$4:$B$503,"&lt;"&amp;$M15)</f>
        <v>0</v>
      </c>
      <c r="C15" s="42" t="n">
        <f aca="false">SUMIFS(Inventory!$J$4:$J$503,Inventory!$B$4:$B$503,"&gt;="&amp;$L15,Inventory!$B$4:$B$503,"&lt;"&amp;$M15)</f>
        <v>0</v>
      </c>
      <c r="D15" s="41" t="n">
        <f aca="false">COUNTIFS(Sales!$A$4:$A$503,"&gt;="&amp;$L15,Sales!$A$4:$A$503,"&lt;"&amp;$M15)</f>
        <v>1</v>
      </c>
      <c r="E15" s="42" t="n">
        <f aca="false">SUMIFS(Sales!$E$4:$E$503,Sales!$A$4:$A$503,"&gt;="&amp;$L15,Sales!$A$4:$A$503,"&lt;"&amp;$M15)</f>
        <v>95</v>
      </c>
      <c r="F15" s="42" t="n">
        <f aca="false">SUMIFS(Sales!$H$4:$H$503,Sales!$A$4:$A$503,"&gt;="&amp;$L15,Sales!$A$4:$A$503,"&lt;"&amp;$M15)</f>
        <v>10.655</v>
      </c>
      <c r="G15" s="42" t="n">
        <f aca="false">SUMIFS(Sales!$F$4:$F$503,Sales!$A$4:$A$503,"&gt;="&amp;$L15,Sales!$A$4:$A$503,"&lt;"&amp;$M15)-SUMIFS(Sales!$G$4:$G$503,Sales!$A$4:$A$503,"&gt;="&amp;$L15,Sales!$A$4:$A$503,"&lt;"&amp;$M15)</f>
        <v>-3.4</v>
      </c>
      <c r="H15" s="42" t="n">
        <f aca="false">SUMIFS(Sales!$L$4:$L$503,Sales!$A$4:$A$503,"&gt;="&amp;$L15,Sales!$A$4:$A$503,"&lt;"&amp;$M15)</f>
        <v>35.945</v>
      </c>
      <c r="I15" s="42" t="n">
        <f aca="false">SUMIFS(Expenses!$G$4:$G$503,Expenses!$A$4:$A$503,"&gt;="&amp;$L15,Expenses!$A$4:$A$503,"&lt;"&amp;$M15)</f>
        <v>0</v>
      </c>
      <c r="J15" s="42" t="n">
        <f aca="false">H15-I15</f>
        <v>35.945</v>
      </c>
      <c r="L15" s="39" t="n">
        <f aca="false">DATE(YEAR(Settings!$B$15),MONTH(Settings!$B$15)+3,1)</f>
        <v>46113</v>
      </c>
      <c r="M15" s="39" t="n">
        <f aca="false">DATE(YEAR(Settings!$B$15),MONTH(Settings!$B$15)+4,1)</f>
        <v>46143</v>
      </c>
    </row>
    <row r="16" customFormat="false" ht="15" hidden="false" customHeight="false" outlineLevel="0" collapsed="false">
      <c r="A16" s="23" t="str">
        <f aca="false">TEXT(L16,"mmm yyyy")</f>
        <v>May 2026</v>
      </c>
      <c r="B16" s="25" t="n">
        <f aca="false">COUNTIFS(Inventory!$B$4:$B$503,"&gt;="&amp;$L16,Inventory!$B$4:$B$503,"&lt;"&amp;$M16)</f>
        <v>0</v>
      </c>
      <c r="C16" s="24" t="n">
        <f aca="false">SUMIFS(Inventory!$J$4:$J$503,Inventory!$B$4:$B$503,"&gt;="&amp;$L16,Inventory!$B$4:$B$503,"&lt;"&amp;$M16)</f>
        <v>0</v>
      </c>
      <c r="D16" s="25" t="n">
        <f aca="false">COUNTIFS(Sales!$A$4:$A$503,"&gt;="&amp;$L16,Sales!$A$4:$A$503,"&lt;"&amp;$M16)</f>
        <v>0</v>
      </c>
      <c r="E16" s="24" t="n">
        <f aca="false">SUMIFS(Sales!$E$4:$E$503,Sales!$A$4:$A$503,"&gt;="&amp;$L16,Sales!$A$4:$A$503,"&lt;"&amp;$M16)</f>
        <v>0</v>
      </c>
      <c r="F16" s="24" t="n">
        <f aca="false">SUMIFS(Sales!$H$4:$H$503,Sales!$A$4:$A$503,"&gt;="&amp;$L16,Sales!$A$4:$A$503,"&lt;"&amp;$M16)</f>
        <v>0</v>
      </c>
      <c r="G16" s="24" t="n">
        <f aca="false">SUMIFS(Sales!$F$4:$F$503,Sales!$A$4:$A$503,"&gt;="&amp;$L16,Sales!$A$4:$A$503,"&lt;"&amp;$M16)-SUMIFS(Sales!$G$4:$G$503,Sales!$A$4:$A$503,"&gt;="&amp;$L16,Sales!$A$4:$A$503,"&lt;"&amp;$M16)</f>
        <v>0</v>
      </c>
      <c r="H16" s="24" t="n">
        <f aca="false">SUMIFS(Sales!$L$4:$L$503,Sales!$A$4:$A$503,"&gt;="&amp;$L16,Sales!$A$4:$A$503,"&lt;"&amp;$M16)</f>
        <v>0</v>
      </c>
      <c r="I16" s="24" t="n">
        <f aca="false">SUMIFS(Expenses!$G$4:$G$503,Expenses!$A$4:$A$503,"&gt;="&amp;$L16,Expenses!$A$4:$A$503,"&lt;"&amp;$M16)</f>
        <v>0</v>
      </c>
      <c r="J16" s="24" t="n">
        <f aca="false">H16-I16</f>
        <v>0</v>
      </c>
      <c r="L16" s="39" t="n">
        <f aca="false">DATE(YEAR(Settings!$B$15),MONTH(Settings!$B$15)+4,1)</f>
        <v>46143</v>
      </c>
      <c r="M16" s="39" t="n">
        <f aca="false">DATE(YEAR(Settings!$B$15),MONTH(Settings!$B$15)+5,1)</f>
        <v>46174</v>
      </c>
    </row>
    <row r="17" customFormat="false" ht="15" hidden="false" customHeight="false" outlineLevel="0" collapsed="false">
      <c r="A17" s="40" t="str">
        <f aca="false">TEXT(L17,"mmm yyyy")</f>
        <v>Jun 2026</v>
      </c>
      <c r="B17" s="41" t="n">
        <f aca="false">COUNTIFS(Inventory!$B$4:$B$503,"&gt;="&amp;$L17,Inventory!$B$4:$B$503,"&lt;"&amp;$M17)</f>
        <v>1</v>
      </c>
      <c r="C17" s="42" t="n">
        <f aca="false">SUMIFS(Inventory!$J$4:$J$503,Inventory!$B$4:$B$503,"&gt;="&amp;$L17,Inventory!$B$4:$B$503,"&lt;"&amp;$M17)</f>
        <v>30</v>
      </c>
      <c r="D17" s="41" t="n">
        <f aca="false">COUNTIFS(Sales!$A$4:$A$503,"&gt;="&amp;$L17,Sales!$A$4:$A$503,"&lt;"&amp;$M17)</f>
        <v>0</v>
      </c>
      <c r="E17" s="42" t="n">
        <f aca="false">SUMIFS(Sales!$E$4:$E$503,Sales!$A$4:$A$503,"&gt;="&amp;$L17,Sales!$A$4:$A$503,"&lt;"&amp;$M17)</f>
        <v>0</v>
      </c>
      <c r="F17" s="42" t="n">
        <f aca="false">SUMIFS(Sales!$H$4:$H$503,Sales!$A$4:$A$503,"&gt;="&amp;$L17,Sales!$A$4:$A$503,"&lt;"&amp;$M17)</f>
        <v>0</v>
      </c>
      <c r="G17" s="42" t="n">
        <f aca="false">SUMIFS(Sales!$F$4:$F$503,Sales!$A$4:$A$503,"&gt;="&amp;$L17,Sales!$A$4:$A$503,"&lt;"&amp;$M17)-SUMIFS(Sales!$G$4:$G$503,Sales!$A$4:$A$503,"&gt;="&amp;$L17,Sales!$A$4:$A$503,"&lt;"&amp;$M17)</f>
        <v>0</v>
      </c>
      <c r="H17" s="42" t="n">
        <f aca="false">SUMIFS(Sales!$L$4:$L$503,Sales!$A$4:$A$503,"&gt;="&amp;$L17,Sales!$A$4:$A$503,"&lt;"&amp;$M17)</f>
        <v>0</v>
      </c>
      <c r="I17" s="42" t="n">
        <f aca="false">SUMIFS(Expenses!$G$4:$G$503,Expenses!$A$4:$A$503,"&gt;="&amp;$L17,Expenses!$A$4:$A$503,"&lt;"&amp;$M17)</f>
        <v>0</v>
      </c>
      <c r="J17" s="42" t="n">
        <f aca="false">H17-I17</f>
        <v>0</v>
      </c>
      <c r="L17" s="39" t="n">
        <f aca="false">DATE(YEAR(Settings!$B$15),MONTH(Settings!$B$15)+5,1)</f>
        <v>46174</v>
      </c>
      <c r="M17" s="39" t="n">
        <f aca="false">DATE(YEAR(Settings!$B$15),MONTH(Settings!$B$15)+6,1)</f>
        <v>46204</v>
      </c>
    </row>
    <row r="18" customFormat="false" ht="15" hidden="false" customHeight="false" outlineLevel="0" collapsed="false">
      <c r="A18" s="23" t="str">
        <f aca="false">TEXT(L18,"mmm yyyy")</f>
        <v>Jul 2026</v>
      </c>
      <c r="B18" s="25" t="n">
        <f aca="false">COUNTIFS(Inventory!$B$4:$B$503,"&gt;="&amp;$L18,Inventory!$B$4:$B$503,"&lt;"&amp;$M18)</f>
        <v>0</v>
      </c>
      <c r="C18" s="24" t="n">
        <f aca="false">SUMIFS(Inventory!$J$4:$J$503,Inventory!$B$4:$B$503,"&gt;="&amp;$L18,Inventory!$B$4:$B$503,"&lt;"&amp;$M18)</f>
        <v>0</v>
      </c>
      <c r="D18" s="25" t="n">
        <f aca="false">COUNTIFS(Sales!$A$4:$A$503,"&gt;="&amp;$L18,Sales!$A$4:$A$503,"&lt;"&amp;$M18)</f>
        <v>0</v>
      </c>
      <c r="E18" s="24" t="n">
        <f aca="false">SUMIFS(Sales!$E$4:$E$503,Sales!$A$4:$A$503,"&gt;="&amp;$L18,Sales!$A$4:$A$503,"&lt;"&amp;$M18)</f>
        <v>0</v>
      </c>
      <c r="F18" s="24" t="n">
        <f aca="false">SUMIFS(Sales!$H$4:$H$503,Sales!$A$4:$A$503,"&gt;="&amp;$L18,Sales!$A$4:$A$503,"&lt;"&amp;$M18)</f>
        <v>0</v>
      </c>
      <c r="G18" s="24" t="n">
        <f aca="false">SUMIFS(Sales!$F$4:$F$503,Sales!$A$4:$A$503,"&gt;="&amp;$L18,Sales!$A$4:$A$503,"&lt;"&amp;$M18)-SUMIFS(Sales!$G$4:$G$503,Sales!$A$4:$A$503,"&gt;="&amp;$L18,Sales!$A$4:$A$503,"&lt;"&amp;$M18)</f>
        <v>0</v>
      </c>
      <c r="H18" s="24" t="n">
        <f aca="false">SUMIFS(Sales!$L$4:$L$503,Sales!$A$4:$A$503,"&gt;="&amp;$L18,Sales!$A$4:$A$503,"&lt;"&amp;$M18)</f>
        <v>0</v>
      </c>
      <c r="I18" s="24" t="n">
        <f aca="false">SUMIFS(Expenses!$G$4:$G$503,Expenses!$A$4:$A$503,"&gt;="&amp;$L18,Expenses!$A$4:$A$503,"&lt;"&amp;$M18)</f>
        <v>0</v>
      </c>
      <c r="J18" s="24" t="n">
        <f aca="false">H18-I18</f>
        <v>0</v>
      </c>
      <c r="L18" s="39" t="n">
        <f aca="false">DATE(YEAR(Settings!$B$15),MONTH(Settings!$B$15)+6,1)</f>
        <v>46204</v>
      </c>
      <c r="M18" s="39" t="n">
        <f aca="false">DATE(YEAR(Settings!$B$15),MONTH(Settings!$B$15)+7,1)</f>
        <v>46235</v>
      </c>
    </row>
    <row r="19" customFormat="false" ht="15" hidden="false" customHeight="false" outlineLevel="0" collapsed="false">
      <c r="A19" s="40" t="str">
        <f aca="false">TEXT(L19,"mmm yyyy")</f>
        <v>Aug 2026</v>
      </c>
      <c r="B19" s="41" t="n">
        <f aca="false">COUNTIFS(Inventory!$B$4:$B$503,"&gt;="&amp;$L19,Inventory!$B$4:$B$503,"&lt;"&amp;$M19)</f>
        <v>1</v>
      </c>
      <c r="C19" s="42" t="n">
        <f aca="false">SUMIFS(Inventory!$J$4:$J$503,Inventory!$B$4:$B$503,"&gt;="&amp;$L19,Inventory!$B$4:$B$503,"&lt;"&amp;$M19)</f>
        <v>20</v>
      </c>
      <c r="D19" s="41" t="n">
        <f aca="false">COUNTIFS(Sales!$A$4:$A$503,"&gt;="&amp;$L19,Sales!$A$4:$A$503,"&lt;"&amp;$M19)</f>
        <v>0</v>
      </c>
      <c r="E19" s="42" t="n">
        <f aca="false">SUMIFS(Sales!$E$4:$E$503,Sales!$A$4:$A$503,"&gt;="&amp;$L19,Sales!$A$4:$A$503,"&lt;"&amp;$M19)</f>
        <v>0</v>
      </c>
      <c r="F19" s="42" t="n">
        <f aca="false">SUMIFS(Sales!$H$4:$H$503,Sales!$A$4:$A$503,"&gt;="&amp;$L19,Sales!$A$4:$A$503,"&lt;"&amp;$M19)</f>
        <v>0</v>
      </c>
      <c r="G19" s="42" t="n">
        <f aca="false">SUMIFS(Sales!$F$4:$F$503,Sales!$A$4:$A$503,"&gt;="&amp;$L19,Sales!$A$4:$A$503,"&lt;"&amp;$M19)-SUMIFS(Sales!$G$4:$G$503,Sales!$A$4:$A$503,"&gt;="&amp;$L19,Sales!$A$4:$A$503,"&lt;"&amp;$M19)</f>
        <v>0</v>
      </c>
      <c r="H19" s="42" t="n">
        <f aca="false">SUMIFS(Sales!$L$4:$L$503,Sales!$A$4:$A$503,"&gt;="&amp;$L19,Sales!$A$4:$A$503,"&lt;"&amp;$M19)</f>
        <v>0</v>
      </c>
      <c r="I19" s="42" t="n">
        <f aca="false">SUMIFS(Expenses!$G$4:$G$503,Expenses!$A$4:$A$503,"&gt;="&amp;$L19,Expenses!$A$4:$A$503,"&lt;"&amp;$M19)</f>
        <v>0</v>
      </c>
      <c r="J19" s="42" t="n">
        <f aca="false">H19-I19</f>
        <v>0</v>
      </c>
      <c r="L19" s="39" t="n">
        <f aca="false">DATE(YEAR(Settings!$B$15),MONTH(Settings!$B$15)+7,1)</f>
        <v>46235</v>
      </c>
      <c r="M19" s="39" t="n">
        <f aca="false">DATE(YEAR(Settings!$B$15),MONTH(Settings!$B$15)+8,1)</f>
        <v>46266</v>
      </c>
    </row>
    <row r="20" customFormat="false" ht="15" hidden="false" customHeight="false" outlineLevel="0" collapsed="false">
      <c r="A20" s="23" t="str">
        <f aca="false">TEXT(L20,"mmm yyyy")</f>
        <v>Sep 2026</v>
      </c>
      <c r="B20" s="25" t="n">
        <f aca="false">COUNTIFS(Inventory!$B$4:$B$503,"&gt;="&amp;$L20,Inventory!$B$4:$B$503,"&lt;"&amp;$M20)</f>
        <v>0</v>
      </c>
      <c r="C20" s="24" t="n">
        <f aca="false">SUMIFS(Inventory!$J$4:$J$503,Inventory!$B$4:$B$503,"&gt;="&amp;$L20,Inventory!$B$4:$B$503,"&lt;"&amp;$M20)</f>
        <v>0</v>
      </c>
      <c r="D20" s="25" t="n">
        <f aca="false">COUNTIFS(Sales!$A$4:$A$503,"&gt;="&amp;$L20,Sales!$A$4:$A$503,"&lt;"&amp;$M20)</f>
        <v>0</v>
      </c>
      <c r="E20" s="24" t="n">
        <f aca="false">SUMIFS(Sales!$E$4:$E$503,Sales!$A$4:$A$503,"&gt;="&amp;$L20,Sales!$A$4:$A$503,"&lt;"&amp;$M20)</f>
        <v>0</v>
      </c>
      <c r="F20" s="24" t="n">
        <f aca="false">SUMIFS(Sales!$H$4:$H$503,Sales!$A$4:$A$503,"&gt;="&amp;$L20,Sales!$A$4:$A$503,"&lt;"&amp;$M20)</f>
        <v>0</v>
      </c>
      <c r="G20" s="24" t="n">
        <f aca="false">SUMIFS(Sales!$F$4:$F$503,Sales!$A$4:$A$503,"&gt;="&amp;$L20,Sales!$A$4:$A$503,"&lt;"&amp;$M20)-SUMIFS(Sales!$G$4:$G$503,Sales!$A$4:$A$503,"&gt;="&amp;$L20,Sales!$A$4:$A$503,"&lt;"&amp;$M20)</f>
        <v>0</v>
      </c>
      <c r="H20" s="24" t="n">
        <f aca="false">SUMIFS(Sales!$L$4:$L$503,Sales!$A$4:$A$503,"&gt;="&amp;$L20,Sales!$A$4:$A$503,"&lt;"&amp;$M20)</f>
        <v>0</v>
      </c>
      <c r="I20" s="24" t="n">
        <f aca="false">SUMIFS(Expenses!$G$4:$G$503,Expenses!$A$4:$A$503,"&gt;="&amp;$L20,Expenses!$A$4:$A$503,"&lt;"&amp;$M20)</f>
        <v>0</v>
      </c>
      <c r="J20" s="24" t="n">
        <f aca="false">H20-I20</f>
        <v>0</v>
      </c>
      <c r="L20" s="39" t="n">
        <f aca="false">DATE(YEAR(Settings!$B$15),MONTH(Settings!$B$15)+8,1)</f>
        <v>46266</v>
      </c>
      <c r="M20" s="39" t="n">
        <f aca="false">DATE(YEAR(Settings!$B$15),MONTH(Settings!$B$15)+9,1)</f>
        <v>46296</v>
      </c>
    </row>
    <row r="21" customFormat="false" ht="15" hidden="false" customHeight="false" outlineLevel="0" collapsed="false">
      <c r="A21" s="40" t="str">
        <f aca="false">TEXT(L21,"mmm yyyy")</f>
        <v>Oct 2026</v>
      </c>
      <c r="B21" s="41" t="n">
        <f aca="false">COUNTIFS(Inventory!$B$4:$B$503,"&gt;="&amp;$L21,Inventory!$B$4:$B$503,"&lt;"&amp;$M21)</f>
        <v>0</v>
      </c>
      <c r="C21" s="42" t="n">
        <f aca="false">SUMIFS(Inventory!$J$4:$J$503,Inventory!$B$4:$B$503,"&gt;="&amp;$L21,Inventory!$B$4:$B$503,"&lt;"&amp;$M21)</f>
        <v>0</v>
      </c>
      <c r="D21" s="41" t="n">
        <f aca="false">COUNTIFS(Sales!$A$4:$A$503,"&gt;="&amp;$L21,Sales!$A$4:$A$503,"&lt;"&amp;$M21)</f>
        <v>0</v>
      </c>
      <c r="E21" s="42" t="n">
        <f aca="false">SUMIFS(Sales!$E$4:$E$503,Sales!$A$4:$A$503,"&gt;="&amp;$L21,Sales!$A$4:$A$503,"&lt;"&amp;$M21)</f>
        <v>0</v>
      </c>
      <c r="F21" s="42" t="n">
        <f aca="false">SUMIFS(Sales!$H$4:$H$503,Sales!$A$4:$A$503,"&gt;="&amp;$L21,Sales!$A$4:$A$503,"&lt;"&amp;$M21)</f>
        <v>0</v>
      </c>
      <c r="G21" s="42" t="n">
        <f aca="false">SUMIFS(Sales!$F$4:$F$503,Sales!$A$4:$A$503,"&gt;="&amp;$L21,Sales!$A$4:$A$503,"&lt;"&amp;$M21)-SUMIFS(Sales!$G$4:$G$503,Sales!$A$4:$A$503,"&gt;="&amp;$L21,Sales!$A$4:$A$503,"&lt;"&amp;$M21)</f>
        <v>0</v>
      </c>
      <c r="H21" s="42" t="n">
        <f aca="false">SUMIFS(Sales!$L$4:$L$503,Sales!$A$4:$A$503,"&gt;="&amp;$L21,Sales!$A$4:$A$503,"&lt;"&amp;$M21)</f>
        <v>0</v>
      </c>
      <c r="I21" s="42" t="n">
        <f aca="false">SUMIFS(Expenses!$G$4:$G$503,Expenses!$A$4:$A$503,"&gt;="&amp;$L21,Expenses!$A$4:$A$503,"&lt;"&amp;$M21)</f>
        <v>0</v>
      </c>
      <c r="J21" s="42" t="n">
        <f aca="false">H21-I21</f>
        <v>0</v>
      </c>
      <c r="L21" s="39" t="n">
        <f aca="false">DATE(YEAR(Settings!$B$15),MONTH(Settings!$B$15)+9,1)</f>
        <v>46296</v>
      </c>
      <c r="M21" s="39" t="n">
        <f aca="false">DATE(YEAR(Settings!$B$15),MONTH(Settings!$B$15)+10,1)</f>
        <v>46327</v>
      </c>
    </row>
    <row r="22" customFormat="false" ht="15" hidden="false" customHeight="false" outlineLevel="0" collapsed="false">
      <c r="A22" s="23" t="str">
        <f aca="false">TEXT(L22,"mmm yyyy")</f>
        <v>Nov 2026</v>
      </c>
      <c r="B22" s="25" t="n">
        <f aca="false">COUNTIFS(Inventory!$B$4:$B$503,"&gt;="&amp;$L22,Inventory!$B$4:$B$503,"&lt;"&amp;$M22)</f>
        <v>0</v>
      </c>
      <c r="C22" s="24" t="n">
        <f aca="false">SUMIFS(Inventory!$J$4:$J$503,Inventory!$B$4:$B$503,"&gt;="&amp;$L22,Inventory!$B$4:$B$503,"&lt;"&amp;$M22)</f>
        <v>0</v>
      </c>
      <c r="D22" s="25" t="n">
        <f aca="false">COUNTIFS(Sales!$A$4:$A$503,"&gt;="&amp;$L22,Sales!$A$4:$A$503,"&lt;"&amp;$M22)</f>
        <v>0</v>
      </c>
      <c r="E22" s="24" t="n">
        <f aca="false">SUMIFS(Sales!$E$4:$E$503,Sales!$A$4:$A$503,"&gt;="&amp;$L22,Sales!$A$4:$A$503,"&lt;"&amp;$M22)</f>
        <v>0</v>
      </c>
      <c r="F22" s="24" t="n">
        <f aca="false">SUMIFS(Sales!$H$4:$H$503,Sales!$A$4:$A$503,"&gt;="&amp;$L22,Sales!$A$4:$A$503,"&lt;"&amp;$M22)</f>
        <v>0</v>
      </c>
      <c r="G22" s="24" t="n">
        <f aca="false">SUMIFS(Sales!$F$4:$F$503,Sales!$A$4:$A$503,"&gt;="&amp;$L22,Sales!$A$4:$A$503,"&lt;"&amp;$M22)-SUMIFS(Sales!$G$4:$G$503,Sales!$A$4:$A$503,"&gt;="&amp;$L22,Sales!$A$4:$A$503,"&lt;"&amp;$M22)</f>
        <v>0</v>
      </c>
      <c r="H22" s="24" t="n">
        <f aca="false">SUMIFS(Sales!$L$4:$L$503,Sales!$A$4:$A$503,"&gt;="&amp;$L22,Sales!$A$4:$A$503,"&lt;"&amp;$M22)</f>
        <v>0</v>
      </c>
      <c r="I22" s="24" t="n">
        <f aca="false">SUMIFS(Expenses!$G$4:$G$503,Expenses!$A$4:$A$503,"&gt;="&amp;$L22,Expenses!$A$4:$A$503,"&lt;"&amp;$M22)</f>
        <v>0</v>
      </c>
      <c r="J22" s="24" t="n">
        <f aca="false">H22-I22</f>
        <v>0</v>
      </c>
      <c r="L22" s="39" t="n">
        <f aca="false">DATE(YEAR(Settings!$B$15),MONTH(Settings!$B$15)+10,1)</f>
        <v>46327</v>
      </c>
      <c r="M22" s="39" t="n">
        <f aca="false">DATE(YEAR(Settings!$B$15),MONTH(Settings!$B$15)+11,1)</f>
        <v>46357</v>
      </c>
    </row>
    <row r="23" customFormat="false" ht="15" hidden="false" customHeight="false" outlineLevel="0" collapsed="false">
      <c r="A23" s="40" t="str">
        <f aca="false">TEXT(L23,"mmm yyyy")</f>
        <v>Dec 2026</v>
      </c>
      <c r="B23" s="41" t="n">
        <f aca="false">COUNTIFS(Inventory!$B$4:$B$503,"&gt;="&amp;$L23,Inventory!$B$4:$B$503,"&lt;"&amp;$M23)</f>
        <v>0</v>
      </c>
      <c r="C23" s="42" t="n">
        <f aca="false">SUMIFS(Inventory!$J$4:$J$503,Inventory!$B$4:$B$503,"&gt;="&amp;$L23,Inventory!$B$4:$B$503,"&lt;"&amp;$M23)</f>
        <v>0</v>
      </c>
      <c r="D23" s="41" t="n">
        <f aca="false">COUNTIFS(Sales!$A$4:$A$503,"&gt;="&amp;$L23,Sales!$A$4:$A$503,"&lt;"&amp;$M23)</f>
        <v>0</v>
      </c>
      <c r="E23" s="42" t="n">
        <f aca="false">SUMIFS(Sales!$E$4:$E$503,Sales!$A$4:$A$503,"&gt;="&amp;$L23,Sales!$A$4:$A$503,"&lt;"&amp;$M23)</f>
        <v>0</v>
      </c>
      <c r="F23" s="42" t="n">
        <f aca="false">SUMIFS(Sales!$H$4:$H$503,Sales!$A$4:$A$503,"&gt;="&amp;$L23,Sales!$A$4:$A$503,"&lt;"&amp;$M23)</f>
        <v>0</v>
      </c>
      <c r="G23" s="42" t="n">
        <f aca="false">SUMIFS(Sales!$F$4:$F$503,Sales!$A$4:$A$503,"&gt;="&amp;$L23,Sales!$A$4:$A$503,"&lt;"&amp;$M23)-SUMIFS(Sales!$G$4:$G$503,Sales!$A$4:$A$503,"&gt;="&amp;$L23,Sales!$A$4:$A$503,"&lt;"&amp;$M23)</f>
        <v>0</v>
      </c>
      <c r="H23" s="42" t="n">
        <f aca="false">SUMIFS(Sales!$L$4:$L$503,Sales!$A$4:$A$503,"&gt;="&amp;$L23,Sales!$A$4:$A$503,"&lt;"&amp;$M23)</f>
        <v>0</v>
      </c>
      <c r="I23" s="42" t="n">
        <f aca="false">SUMIFS(Expenses!$G$4:$G$503,Expenses!$A$4:$A$503,"&gt;="&amp;$L23,Expenses!$A$4:$A$503,"&lt;"&amp;$M23)</f>
        <v>0</v>
      </c>
      <c r="J23" s="42" t="n">
        <f aca="false">H23-I23</f>
        <v>0</v>
      </c>
      <c r="L23" s="39" t="n">
        <f aca="false">DATE(YEAR(Settings!$B$15),MONTH(Settings!$B$15)+11,1)</f>
        <v>46357</v>
      </c>
      <c r="M23" s="39" t="n">
        <f aca="false">DATE(YEAR(Settings!$B$15),MONTH(Settings!$B$15)+12,1)</f>
        <v>46388</v>
      </c>
    </row>
    <row r="24" customFormat="false" ht="15" hidden="false" customHeight="false" outlineLevel="0" collapsed="false">
      <c r="A24" s="43" t="s">
        <v>208</v>
      </c>
      <c r="B24" s="44" t="n">
        <f aca="false">SUM(B12:B23)</f>
        <v>8</v>
      </c>
      <c r="C24" s="45" t="n">
        <f aca="false">SUM(C12:C23)</f>
        <v>188.48</v>
      </c>
      <c r="D24" s="44" t="n">
        <f aca="false">SUM(D12:D23)</f>
        <v>5</v>
      </c>
      <c r="E24" s="45" t="n">
        <f aca="false">SUM(E12:E23)</f>
        <v>321</v>
      </c>
      <c r="F24" s="45" t="n">
        <f aca="false">SUM(F12:F23)</f>
        <v>46.148</v>
      </c>
      <c r="G24" s="45" t="n">
        <f aca="false">SUM(G12:G23)</f>
        <v>-14.46</v>
      </c>
      <c r="H24" s="45" t="n">
        <f aca="false">SUM(H12:H23)</f>
        <v>151.402</v>
      </c>
      <c r="I24" s="45" t="n">
        <f aca="false">SUM(I12:I23)</f>
        <v>105.88</v>
      </c>
      <c r="J24" s="45" t="n">
        <f aca="false">SUM(J12:J23)</f>
        <v>45.522</v>
      </c>
    </row>
    <row r="26" customFormat="false" ht="15" hidden="false" customHeight="false" outlineLevel="0" collapsed="false">
      <c r="A26" s="36" t="s">
        <v>209</v>
      </c>
    </row>
    <row r="27" customFormat="false" ht="30" hidden="false" customHeight="true" outlineLevel="0" collapsed="false">
      <c r="A27" s="9" t="s">
        <v>39</v>
      </c>
      <c r="B27" s="9" t="s">
        <v>201</v>
      </c>
      <c r="C27" s="9" t="s">
        <v>202</v>
      </c>
      <c r="D27" s="9" t="s">
        <v>89</v>
      </c>
      <c r="E27" s="9" t="s">
        <v>168</v>
      </c>
      <c r="F27" s="9" t="s">
        <v>210</v>
      </c>
      <c r="G27" s="9" t="s">
        <v>192</v>
      </c>
    </row>
    <row r="28" customFormat="false" ht="15" hidden="false" customHeight="false" outlineLevel="0" collapsed="false">
      <c r="A28" s="23" t="str">
        <f aca="false">Settings!A4</f>
        <v>eBay</v>
      </c>
      <c r="B28" s="25" t="n">
        <f aca="false">COUNTIFS(Sales!$D$4:$D$503,$A28,Sales!$E$4:$E$503,"&lt;&gt;")</f>
        <v>1</v>
      </c>
      <c r="C28" s="24" t="n">
        <f aca="false">SUMIFS(Sales!$E$4:$E$503,Sales!$D$4:$D$503,$A28)</f>
        <v>79</v>
      </c>
      <c r="D28" s="24" t="n">
        <f aca="false">SUMIFS(Sales!$H$4:$H$503,Sales!$D$4:$D$503,$A28)</f>
        <v>11.144</v>
      </c>
      <c r="E28" s="24" t="n">
        <f aca="false">SUMIFS(Sales!$L$4:$L$503,Sales!$D$4:$D$503,$A28)</f>
        <v>45.016</v>
      </c>
      <c r="F28" s="24" t="n">
        <f aca="false">IF(B28=0,0,E28/B28)</f>
        <v>45.016</v>
      </c>
      <c r="G28" s="28" t="n">
        <f aca="false">IFERROR(E28/SUMIFS(Sales!$K$4:$K$503,Sales!$D$4:$D$503,$A28),0)</f>
        <v>3.46543494996151</v>
      </c>
    </row>
    <row r="29" customFormat="false" ht="15" hidden="false" customHeight="false" outlineLevel="0" collapsed="false">
      <c r="A29" s="40" t="str">
        <f aca="false">Settings!A5</f>
        <v>Poshmark</v>
      </c>
      <c r="B29" s="41" t="n">
        <f aca="false">COUNTIFS(Sales!$D$4:$D$503,$A29,Sales!$E$4:$E$503,"&lt;&gt;")</f>
        <v>2</v>
      </c>
      <c r="C29" s="42" t="n">
        <f aca="false">SUMIFS(Sales!$E$4:$E$503,Sales!$D$4:$D$503,$A29)</f>
        <v>82</v>
      </c>
      <c r="D29" s="42" t="n">
        <f aca="false">SUMIFS(Sales!$H$4:$H$503,Sales!$D$4:$D$503,$A29)</f>
        <v>16.55</v>
      </c>
      <c r="E29" s="42" t="n">
        <f aca="false">SUMIFS(Sales!$L$4:$L$503,Sales!$D$4:$D$503,$A29)</f>
        <v>36.45</v>
      </c>
      <c r="F29" s="42" t="n">
        <f aca="false">IF(B29=0,0,E29/B29)</f>
        <v>18.225</v>
      </c>
      <c r="G29" s="46" t="n">
        <f aca="false">IFERROR(E29/SUMIFS(Sales!$K$4:$K$503,Sales!$D$4:$D$503,$A29),0)</f>
        <v>1.25689655172414</v>
      </c>
    </row>
    <row r="30" customFormat="false" ht="15" hidden="false" customHeight="false" outlineLevel="0" collapsed="false">
      <c r="A30" s="23" t="str">
        <f aca="false">Settings!A6</f>
        <v>Mercari</v>
      </c>
      <c r="B30" s="25" t="n">
        <f aca="false">COUNTIFS(Sales!$D$4:$D$503,$A30,Sales!$E$4:$E$503,"&lt;&gt;")</f>
        <v>1</v>
      </c>
      <c r="C30" s="24" t="n">
        <f aca="false">SUMIFS(Sales!$E$4:$E$503,Sales!$D$4:$D$503,$A30)</f>
        <v>65</v>
      </c>
      <c r="D30" s="24" t="n">
        <f aca="false">SUMIFS(Sales!$H$4:$H$503,Sales!$D$4:$D$503,$A30)</f>
        <v>7.799</v>
      </c>
      <c r="E30" s="24" t="n">
        <f aca="false">SUMIFS(Sales!$L$4:$L$503,Sales!$D$4:$D$503,$A30)</f>
        <v>33.991</v>
      </c>
      <c r="F30" s="24" t="n">
        <f aca="false">IF(B30=0,0,E30/B30)</f>
        <v>33.991</v>
      </c>
      <c r="G30" s="28" t="n">
        <f aca="false">IFERROR(E30/SUMIFS(Sales!$K$4:$K$503,Sales!$D$4:$D$503,$A30),0)</f>
        <v>1.65809756097561</v>
      </c>
    </row>
    <row r="31" customFormat="false" ht="15" hidden="false" customHeight="false" outlineLevel="0" collapsed="false">
      <c r="A31" s="40" t="str">
        <f aca="false">Settings!A7</f>
        <v>Depop</v>
      </c>
      <c r="B31" s="41" t="n">
        <f aca="false">COUNTIFS(Sales!$D$4:$D$503,$A31,Sales!$E$4:$E$503,"&lt;&gt;")</f>
        <v>0</v>
      </c>
      <c r="C31" s="42" t="n">
        <f aca="false">SUMIFS(Sales!$E$4:$E$503,Sales!$D$4:$D$503,$A31)</f>
        <v>0</v>
      </c>
      <c r="D31" s="42" t="n">
        <f aca="false">SUMIFS(Sales!$H$4:$H$503,Sales!$D$4:$D$503,$A31)</f>
        <v>0</v>
      </c>
      <c r="E31" s="42" t="n">
        <f aca="false">SUMIFS(Sales!$L$4:$L$503,Sales!$D$4:$D$503,$A31)</f>
        <v>0</v>
      </c>
      <c r="F31" s="42" t="n">
        <f aca="false">IF(B31=0,0,E31/B31)</f>
        <v>0</v>
      </c>
      <c r="G31" s="46" t="n">
        <f aca="false">IFERROR(E31/SUMIFS(Sales!$K$4:$K$503,Sales!$D$4:$D$503,$A31),0)</f>
        <v>0</v>
      </c>
    </row>
    <row r="32" customFormat="false" ht="15" hidden="false" customHeight="false" outlineLevel="0" collapsed="false">
      <c r="A32" s="23" t="str">
        <f aca="false">Settings!A8</f>
        <v>Whatnot</v>
      </c>
      <c r="B32" s="25" t="n">
        <f aca="false">COUNTIFS(Sales!$D$4:$D$503,$A32,Sales!$E$4:$E$503,"&lt;&gt;")</f>
        <v>1</v>
      </c>
      <c r="C32" s="24" t="n">
        <f aca="false">SUMIFS(Sales!$E$4:$E$503,Sales!$D$4:$D$503,$A32)</f>
        <v>95</v>
      </c>
      <c r="D32" s="24" t="n">
        <f aca="false">SUMIFS(Sales!$H$4:$H$503,Sales!$D$4:$D$503,$A32)</f>
        <v>10.655</v>
      </c>
      <c r="E32" s="24" t="n">
        <f aca="false">SUMIFS(Sales!$L$4:$L$503,Sales!$D$4:$D$503,$A32)</f>
        <v>35.945</v>
      </c>
      <c r="F32" s="24" t="n">
        <f aca="false">IF(B32=0,0,E32/B32)</f>
        <v>35.945</v>
      </c>
      <c r="G32" s="28" t="n">
        <f aca="false">IFERROR(E32/SUMIFS(Sales!$K$4:$K$503,Sales!$D$4:$D$503,$A32),0)</f>
        <v>0.798777777777778</v>
      </c>
    </row>
    <row r="33" customFormat="false" ht="15" hidden="false" customHeight="false" outlineLevel="0" collapsed="false">
      <c r="A33" s="40" t="str">
        <f aca="false">Settings!A9</f>
        <v>FB Marketplace</v>
      </c>
      <c r="B33" s="41" t="n">
        <f aca="false">COUNTIFS(Sales!$D$4:$D$503,$A33,Sales!$E$4:$E$503,"&lt;&gt;")</f>
        <v>0</v>
      </c>
      <c r="C33" s="42" t="n">
        <f aca="false">SUMIFS(Sales!$E$4:$E$503,Sales!$D$4:$D$503,$A33)</f>
        <v>0</v>
      </c>
      <c r="D33" s="42" t="n">
        <f aca="false">SUMIFS(Sales!$H$4:$H$503,Sales!$D$4:$D$503,$A33)</f>
        <v>0</v>
      </c>
      <c r="E33" s="42" t="n">
        <f aca="false">SUMIFS(Sales!$L$4:$L$503,Sales!$D$4:$D$503,$A33)</f>
        <v>0</v>
      </c>
      <c r="F33" s="42" t="n">
        <f aca="false">IF(B33=0,0,E33/B33)</f>
        <v>0</v>
      </c>
      <c r="G33" s="46" t="n">
        <f aca="false">IFERROR(E33/SUMIFS(Sales!$K$4:$K$503,Sales!$D$4:$D$503,$A33),0)</f>
        <v>0</v>
      </c>
    </row>
    <row r="34" customFormat="false" ht="15" hidden="false" customHeight="false" outlineLevel="0" collapsed="false">
      <c r="A34" s="23" t="str">
        <f aca="false">Settings!A10</f>
        <v>Etsy</v>
      </c>
      <c r="B34" s="25" t="n">
        <f aca="false">COUNTIFS(Sales!$D$4:$D$503,$A34,Sales!$E$4:$E$503,"&lt;&gt;")</f>
        <v>0</v>
      </c>
      <c r="C34" s="24" t="n">
        <f aca="false">SUMIFS(Sales!$E$4:$E$503,Sales!$D$4:$D$503,$A34)</f>
        <v>0</v>
      </c>
      <c r="D34" s="24" t="n">
        <f aca="false">SUMIFS(Sales!$H$4:$H$503,Sales!$D$4:$D$503,$A34)</f>
        <v>0</v>
      </c>
      <c r="E34" s="24" t="n">
        <f aca="false">SUMIFS(Sales!$L$4:$L$503,Sales!$D$4:$D$503,$A34)</f>
        <v>0</v>
      </c>
      <c r="F34" s="24" t="n">
        <f aca="false">IF(B34=0,0,E34/B34)</f>
        <v>0</v>
      </c>
      <c r="G34" s="28" t="n">
        <f aca="false">IFERROR(E34/SUMIFS(Sales!$K$4:$K$503,Sales!$D$4:$D$503,$A34),0)</f>
        <v>0</v>
      </c>
    </row>
    <row r="35" customFormat="false" ht="15" hidden="false" customHeight="false" outlineLevel="0" collapsed="false">
      <c r="A35" s="40" t="str">
        <f aca="false">Settings!A11</f>
        <v>Other</v>
      </c>
      <c r="B35" s="41" t="n">
        <f aca="false">COUNTIFS(Sales!$D$4:$D$503,$A35,Sales!$E$4:$E$503,"&lt;&gt;")</f>
        <v>0</v>
      </c>
      <c r="C35" s="42" t="n">
        <f aca="false">SUMIFS(Sales!$E$4:$E$503,Sales!$D$4:$D$503,$A35)</f>
        <v>0</v>
      </c>
      <c r="D35" s="42" t="n">
        <f aca="false">SUMIFS(Sales!$H$4:$H$503,Sales!$D$4:$D$503,$A35)</f>
        <v>0</v>
      </c>
      <c r="E35" s="42" t="n">
        <f aca="false">SUMIFS(Sales!$L$4:$L$503,Sales!$D$4:$D$503,$A35)</f>
        <v>0</v>
      </c>
      <c r="F35" s="42" t="n">
        <f aca="false">IF(B35=0,0,E35/B35)</f>
        <v>0</v>
      </c>
      <c r="G35" s="46" t="n">
        <f aca="false">IFERROR(E35/SUMIFS(Sales!$K$4:$K$503,Sales!$D$4:$D$503,$A35),0)</f>
        <v>0</v>
      </c>
    </row>
    <row r="37" customFormat="false" ht="15" hidden="false" customHeight="false" outlineLevel="0" collapsed="false">
      <c r="A37" s="36" t="s">
        <v>211</v>
      </c>
    </row>
    <row r="38" customFormat="false" ht="30" hidden="false" customHeight="true" outlineLevel="0" collapsed="false">
      <c r="A38" s="9" t="s">
        <v>124</v>
      </c>
      <c r="B38" s="9" t="s">
        <v>199</v>
      </c>
      <c r="C38" s="9" t="s">
        <v>201</v>
      </c>
      <c r="D38" s="9" t="s">
        <v>212</v>
      </c>
      <c r="E38" s="9" t="s">
        <v>213</v>
      </c>
      <c r="F38" s="9" t="s">
        <v>214</v>
      </c>
      <c r="G38" s="9" t="s">
        <v>215</v>
      </c>
    </row>
    <row r="39" customFormat="false" ht="15" hidden="false" customHeight="false" outlineLevel="0" collapsed="false">
      <c r="A39" s="23" t="str">
        <f aca="false">Settings!I4</f>
        <v>Clothing</v>
      </c>
      <c r="B39" s="25" t="n">
        <f aca="false">COUNTIFS(Inventory!$F$4:$F$503,$A39,Inventory!$B$4:$B$503,"&lt;&gt;")</f>
        <v>4</v>
      </c>
      <c r="C39" s="25" t="n">
        <f aca="false">COUNTIFS(Sales!$O$4:$O$503,$A39,Sales!$E$4:$E$503,"&lt;&gt;")</f>
        <v>2</v>
      </c>
      <c r="D39" s="24" t="n">
        <f aca="false">SUMIFS(Inventory!$J$4:$J$503,Inventory!$F$4:$F$503,$A39)</f>
        <v>66.98</v>
      </c>
      <c r="E39" s="24" t="n">
        <f aca="false">D39-SUMIFS(Inventory!$J$4:$J$503,Inventory!$F$4:$F$503,$A39,Inventory!$K$4:$K$503,"Sold")-SUMIFS(Inventory!$J$4:$J$503,Inventory!$F$4:$F$503,$A39,Inventory!$K$4:$K$503,"Donated")</f>
        <v>50.99</v>
      </c>
      <c r="F39" s="24" t="n">
        <f aca="false">SUMIFS(Sales!$L$4:$L$503,Sales!$O$4:$O$503,$A39)</f>
        <v>53.066</v>
      </c>
      <c r="G39" s="28" t="n">
        <f aca="false">IFERROR(F39/SUMIFS(Sales!$K$4:$K$503,Sales!$O$4:$O$503,$A39),0)</f>
        <v>3.31869918699187</v>
      </c>
    </row>
    <row r="40" customFormat="false" ht="15" hidden="false" customHeight="false" outlineLevel="0" collapsed="false">
      <c r="A40" s="40" t="str">
        <f aca="false">Settings!I5</f>
        <v>Shoes</v>
      </c>
      <c r="B40" s="41" t="n">
        <f aca="false">COUNTIFS(Inventory!$F$4:$F$503,$A40,Inventory!$B$4:$B$503,"&lt;&gt;")</f>
        <v>1</v>
      </c>
      <c r="C40" s="41" t="n">
        <f aca="false">COUNTIFS(Sales!$O$4:$O$503,$A40,Sales!$E$4:$E$503,"&lt;&gt;")</f>
        <v>1</v>
      </c>
      <c r="D40" s="42" t="n">
        <f aca="false">SUMIFS(Inventory!$J$4:$J$503,Inventory!$F$4:$F$503,$A40)</f>
        <v>26</v>
      </c>
      <c r="E40" s="42" t="n">
        <f aca="false">D40-SUMIFS(Inventory!$J$4:$J$503,Inventory!$F$4:$F$503,$A40,Inventory!$K$4:$K$503,"Sold")-SUMIFS(Inventory!$J$4:$J$503,Inventory!$F$4:$F$503,$A40,Inventory!$K$4:$K$503,"Donated")</f>
        <v>0</v>
      </c>
      <c r="F40" s="42" t="n">
        <f aca="false">SUMIFS(Sales!$L$4:$L$503,Sales!$O$4:$O$503,$A40)</f>
        <v>28.4</v>
      </c>
      <c r="G40" s="46" t="n">
        <f aca="false">IFERROR(F40/SUMIFS(Sales!$K$4:$K$503,Sales!$O$4:$O$503,$A40),0)</f>
        <v>1.09230769230769</v>
      </c>
    </row>
    <row r="41" customFormat="false" ht="15" hidden="false" customHeight="false" outlineLevel="0" collapsed="false">
      <c r="A41" s="23" t="str">
        <f aca="false">Settings!I6</f>
        <v>Accessories</v>
      </c>
      <c r="B41" s="25" t="n">
        <f aca="false">COUNTIFS(Inventory!$F$4:$F$503,$A41,Inventory!$B$4:$B$503,"&lt;&gt;")</f>
        <v>0</v>
      </c>
      <c r="C41" s="25" t="n">
        <f aca="false">COUNTIFS(Sales!$O$4:$O$503,$A41,Sales!$E$4:$E$503,"&lt;&gt;")</f>
        <v>0</v>
      </c>
      <c r="D41" s="24" t="n">
        <f aca="false">SUMIFS(Inventory!$J$4:$J$503,Inventory!$F$4:$F$503,$A41)</f>
        <v>0</v>
      </c>
      <c r="E41" s="24" t="n">
        <f aca="false">D41-SUMIFS(Inventory!$J$4:$J$503,Inventory!$F$4:$F$503,$A41,Inventory!$K$4:$K$503,"Sold")-SUMIFS(Inventory!$J$4:$J$503,Inventory!$F$4:$F$503,$A41,Inventory!$K$4:$K$503,"Donated")</f>
        <v>0</v>
      </c>
      <c r="F41" s="24" t="n">
        <f aca="false">SUMIFS(Sales!$L$4:$L$503,Sales!$O$4:$O$503,$A41)</f>
        <v>0</v>
      </c>
      <c r="G41" s="28" t="n">
        <f aca="false">IFERROR(F41/SUMIFS(Sales!$K$4:$K$503,Sales!$O$4:$O$503,$A41),0)</f>
        <v>0</v>
      </c>
    </row>
    <row r="42" customFormat="false" ht="15" hidden="false" customHeight="false" outlineLevel="0" collapsed="false">
      <c r="A42" s="40" t="str">
        <f aca="false">Settings!I7</f>
        <v>Electronics</v>
      </c>
      <c r="B42" s="41" t="n">
        <f aca="false">COUNTIFS(Inventory!$F$4:$F$503,$A42,Inventory!$B$4:$B$503,"&lt;&gt;")</f>
        <v>1</v>
      </c>
      <c r="C42" s="41" t="n">
        <f aca="false">COUNTIFS(Sales!$O$4:$O$503,$A42,Sales!$E$4:$E$503,"&lt;&gt;")</f>
        <v>0</v>
      </c>
      <c r="D42" s="42" t="n">
        <f aca="false">SUMIFS(Inventory!$J$4:$J$503,Inventory!$F$4:$F$503,$A42)</f>
        <v>30</v>
      </c>
      <c r="E42" s="42" t="n">
        <f aca="false">D42-SUMIFS(Inventory!$J$4:$J$503,Inventory!$F$4:$F$503,$A42,Inventory!$K$4:$K$503,"Sold")-SUMIFS(Inventory!$J$4:$J$503,Inventory!$F$4:$F$503,$A42,Inventory!$K$4:$K$503,"Donated")</f>
        <v>30</v>
      </c>
      <c r="F42" s="42" t="n">
        <f aca="false">SUMIFS(Sales!$L$4:$L$503,Sales!$O$4:$O$503,$A42)</f>
        <v>0</v>
      </c>
      <c r="G42" s="46" t="n">
        <f aca="false">IFERROR(F42/SUMIFS(Sales!$K$4:$K$503,Sales!$O$4:$O$503,$A42),0)</f>
        <v>0</v>
      </c>
    </row>
    <row r="43" customFormat="false" ht="15" hidden="false" customHeight="false" outlineLevel="0" collapsed="false">
      <c r="A43" s="23" t="str">
        <f aca="false">Settings!I8</f>
        <v>Home</v>
      </c>
      <c r="B43" s="25" t="n">
        <f aca="false">COUNTIFS(Inventory!$F$4:$F$503,$A43,Inventory!$B$4:$B$503,"&lt;&gt;")</f>
        <v>1</v>
      </c>
      <c r="C43" s="25" t="n">
        <f aca="false">COUNTIFS(Sales!$O$4:$O$503,$A43,Sales!$E$4:$E$503,"&lt;&gt;")</f>
        <v>1</v>
      </c>
      <c r="D43" s="24" t="n">
        <f aca="false">SUMIFS(Inventory!$J$4:$J$503,Inventory!$F$4:$F$503,$A43)</f>
        <v>20.5</v>
      </c>
      <c r="E43" s="24" t="n">
        <f aca="false">D43-SUMIFS(Inventory!$J$4:$J$503,Inventory!$F$4:$F$503,$A43,Inventory!$K$4:$K$503,"Sold")-SUMIFS(Inventory!$J$4:$J$503,Inventory!$F$4:$F$503,$A43,Inventory!$K$4:$K$503,"Donated")</f>
        <v>0</v>
      </c>
      <c r="F43" s="24" t="n">
        <f aca="false">SUMIFS(Sales!$L$4:$L$503,Sales!$O$4:$O$503,$A43)</f>
        <v>33.991</v>
      </c>
      <c r="G43" s="28" t="n">
        <f aca="false">IFERROR(F43/SUMIFS(Sales!$K$4:$K$503,Sales!$O$4:$O$503,$A43),0)</f>
        <v>1.65809756097561</v>
      </c>
    </row>
    <row r="44" customFormat="false" ht="15" hidden="false" customHeight="false" outlineLevel="0" collapsed="false">
      <c r="A44" s="40" t="str">
        <f aca="false">Settings!I9</f>
        <v>Toys</v>
      </c>
      <c r="B44" s="41" t="n">
        <f aca="false">COUNTIFS(Inventory!$F$4:$F$503,$A44,Inventory!$B$4:$B$503,"&lt;&gt;")</f>
        <v>1</v>
      </c>
      <c r="C44" s="41" t="n">
        <f aca="false">COUNTIFS(Sales!$O$4:$O$503,$A44,Sales!$E$4:$E$503,"&lt;&gt;")</f>
        <v>1</v>
      </c>
      <c r="D44" s="42" t="n">
        <f aca="false">SUMIFS(Inventory!$J$4:$J$503,Inventory!$F$4:$F$503,$A44)</f>
        <v>45</v>
      </c>
      <c r="E44" s="42" t="n">
        <f aca="false">D44-SUMIFS(Inventory!$J$4:$J$503,Inventory!$F$4:$F$503,$A44,Inventory!$K$4:$K$503,"Sold")-SUMIFS(Inventory!$J$4:$J$503,Inventory!$F$4:$F$503,$A44,Inventory!$K$4:$K$503,"Donated")</f>
        <v>0</v>
      </c>
      <c r="F44" s="42" t="n">
        <f aca="false">SUMIFS(Sales!$L$4:$L$503,Sales!$O$4:$O$503,$A44)</f>
        <v>35.945</v>
      </c>
      <c r="G44" s="46" t="n">
        <f aca="false">IFERROR(F44/SUMIFS(Sales!$K$4:$K$503,Sales!$O$4:$O$503,$A44),0)</f>
        <v>0.798777777777778</v>
      </c>
    </row>
    <row r="45" customFormat="false" ht="15" hidden="false" customHeight="false" outlineLevel="0" collapsed="false">
      <c r="A45" s="23" t="str">
        <f aca="false">Settings!I10</f>
        <v>Books &amp; Media</v>
      </c>
      <c r="B45" s="25" t="n">
        <f aca="false">COUNTIFS(Inventory!$F$4:$F$503,$A45,Inventory!$B$4:$B$503,"&lt;&gt;")</f>
        <v>0</v>
      </c>
      <c r="C45" s="25" t="n">
        <f aca="false">COUNTIFS(Sales!$O$4:$O$503,$A45,Sales!$E$4:$E$503,"&lt;&gt;")</f>
        <v>0</v>
      </c>
      <c r="D45" s="24" t="n">
        <f aca="false">SUMIFS(Inventory!$J$4:$J$503,Inventory!$F$4:$F$503,$A45)</f>
        <v>0</v>
      </c>
      <c r="E45" s="24" t="n">
        <f aca="false">D45-SUMIFS(Inventory!$J$4:$J$503,Inventory!$F$4:$F$503,$A45,Inventory!$K$4:$K$503,"Sold")-SUMIFS(Inventory!$J$4:$J$503,Inventory!$F$4:$F$503,$A45,Inventory!$K$4:$K$503,"Donated")</f>
        <v>0</v>
      </c>
      <c r="F45" s="24" t="n">
        <f aca="false">SUMIFS(Sales!$L$4:$L$503,Sales!$O$4:$O$503,$A45)</f>
        <v>0</v>
      </c>
      <c r="G45" s="28" t="n">
        <f aca="false">IFERROR(F45/SUMIFS(Sales!$K$4:$K$503,Sales!$O$4:$O$503,$A45),0)</f>
        <v>0</v>
      </c>
    </row>
    <row r="46" customFormat="false" ht="15" hidden="false" customHeight="false" outlineLevel="0" collapsed="false">
      <c r="A46" s="40" t="str">
        <f aca="false">Settings!I11</f>
        <v>Collectibles</v>
      </c>
      <c r="B46" s="41" t="n">
        <f aca="false">COUNTIFS(Inventory!$F$4:$F$503,$A46,Inventory!$B$4:$B$503,"&lt;&gt;")</f>
        <v>0</v>
      </c>
      <c r="C46" s="41" t="n">
        <f aca="false">COUNTIFS(Sales!$O$4:$O$503,$A46,Sales!$E$4:$E$503,"&lt;&gt;")</f>
        <v>0</v>
      </c>
      <c r="D46" s="42" t="n">
        <f aca="false">SUMIFS(Inventory!$J$4:$J$503,Inventory!$F$4:$F$503,$A46)</f>
        <v>0</v>
      </c>
      <c r="E46" s="42" t="n">
        <f aca="false">D46-SUMIFS(Inventory!$J$4:$J$503,Inventory!$F$4:$F$503,$A46,Inventory!$K$4:$K$503,"Sold")-SUMIFS(Inventory!$J$4:$J$503,Inventory!$F$4:$F$503,$A46,Inventory!$K$4:$K$503,"Donated")</f>
        <v>0</v>
      </c>
      <c r="F46" s="42" t="n">
        <f aca="false">SUMIFS(Sales!$L$4:$L$503,Sales!$O$4:$O$503,$A46)</f>
        <v>0</v>
      </c>
      <c r="G46" s="46" t="n">
        <f aca="false">IFERROR(F46/SUMIFS(Sales!$K$4:$K$503,Sales!$O$4:$O$503,$A46),0)</f>
        <v>0</v>
      </c>
    </row>
    <row r="47" customFormat="false" ht="15" hidden="false" customHeight="false" outlineLevel="0" collapsed="false">
      <c r="A47" s="23" t="str">
        <f aca="false">Settings!I12</f>
        <v>Other</v>
      </c>
      <c r="B47" s="25" t="n">
        <f aca="false">COUNTIFS(Inventory!$F$4:$F$503,$A47,Inventory!$B$4:$B$503,"&lt;&gt;")</f>
        <v>0</v>
      </c>
      <c r="C47" s="25" t="n">
        <f aca="false">COUNTIFS(Sales!$O$4:$O$503,$A47,Sales!$E$4:$E$503,"&lt;&gt;")</f>
        <v>0</v>
      </c>
      <c r="D47" s="24" t="n">
        <f aca="false">SUMIFS(Inventory!$J$4:$J$503,Inventory!$F$4:$F$503,$A47)</f>
        <v>0</v>
      </c>
      <c r="E47" s="24" t="n">
        <f aca="false">D47-SUMIFS(Inventory!$J$4:$J$503,Inventory!$F$4:$F$503,$A47,Inventory!$K$4:$K$503,"Sold")-SUMIFS(Inventory!$J$4:$J$503,Inventory!$F$4:$F$503,$A47,Inventory!$K$4:$K$503,"Donated")</f>
        <v>0</v>
      </c>
      <c r="F47" s="24" t="n">
        <f aca="false">SUMIFS(Sales!$L$4:$L$503,Sales!$O$4:$O$503,$A47)</f>
        <v>0</v>
      </c>
      <c r="G47" s="28" t="n">
        <f aca="false">IFERROR(F47/SUMIFS(Sales!$K$4:$K$503,Sales!$O$4:$O$503,$A47),0)</f>
        <v>0</v>
      </c>
    </row>
    <row r="49" customFormat="false" ht="15" hidden="false" customHeight="false" outlineLevel="0" collapsed="false">
      <c r="A49" s="36" t="s">
        <v>216</v>
      </c>
    </row>
    <row r="50" customFormat="false" ht="30" hidden="false" customHeight="true" outlineLevel="0" collapsed="false">
      <c r="A50" s="9" t="s">
        <v>121</v>
      </c>
      <c r="B50" s="9" t="s">
        <v>199</v>
      </c>
      <c r="C50" s="9" t="s">
        <v>201</v>
      </c>
      <c r="D50" s="9" t="s">
        <v>217</v>
      </c>
      <c r="E50" s="9" t="s">
        <v>218</v>
      </c>
      <c r="F50" s="9" t="s">
        <v>214</v>
      </c>
      <c r="G50" s="9" t="s">
        <v>215</v>
      </c>
    </row>
    <row r="51" customFormat="false" ht="15" hidden="false" customHeight="false" outlineLevel="0" collapsed="false">
      <c r="A51" s="23" t="str">
        <f aca="false">Settings!H4</f>
        <v>Thrift</v>
      </c>
      <c r="B51" s="25" t="n">
        <f aca="false">COUNTIFS(Inventory!$C$4:$C$503,$A51,Inventory!$B$4:$B$503,"&lt;&gt;")</f>
        <v>3</v>
      </c>
      <c r="C51" s="25" t="n">
        <f aca="false">COUNTIFS(Sales!$P$4:$P$503,$A51,Sales!$E$4:$E$503,"&lt;&gt;")</f>
        <v>2</v>
      </c>
      <c r="D51" s="28" t="n">
        <f aca="false">IF(B51=0,0,C51/B51)</f>
        <v>0.666666666666667</v>
      </c>
      <c r="E51" s="24" t="n">
        <f aca="false">SUMIFS(Sales!$K$4:$K$503,Sales!$P$4:$P$503,$A51)</f>
        <v>38.99</v>
      </c>
      <c r="F51" s="24" t="n">
        <f aca="false">SUMIFS(Sales!$L$4:$L$503,Sales!$P$4:$P$503,$A51)</f>
        <v>73.416</v>
      </c>
      <c r="G51" s="28" t="n">
        <f aca="false">IF(E51=0,0,F51/E51)</f>
        <v>1.88294434470377</v>
      </c>
    </row>
    <row r="52" customFormat="false" ht="15" hidden="false" customHeight="false" outlineLevel="0" collapsed="false">
      <c r="A52" s="40" t="str">
        <f aca="false">Settings!H5</f>
        <v>Estate Sale</v>
      </c>
      <c r="B52" s="41" t="n">
        <f aca="false">COUNTIFS(Inventory!$C$4:$C$503,$A52,Inventory!$B$4:$B$503,"&lt;&gt;")</f>
        <v>1</v>
      </c>
      <c r="C52" s="41" t="n">
        <f aca="false">COUNTIFS(Sales!$P$4:$P$503,$A52,Sales!$E$4:$E$503,"&lt;&gt;")</f>
        <v>1</v>
      </c>
      <c r="D52" s="46" t="n">
        <f aca="false">IF(B52=0,0,C52/B52)</f>
        <v>1</v>
      </c>
      <c r="E52" s="42" t="n">
        <f aca="false">SUMIFS(Sales!$K$4:$K$503,Sales!$P$4:$P$503,$A52)</f>
        <v>20.5</v>
      </c>
      <c r="F52" s="42" t="n">
        <f aca="false">SUMIFS(Sales!$L$4:$L$503,Sales!$P$4:$P$503,$A52)</f>
        <v>33.991</v>
      </c>
      <c r="G52" s="46" t="n">
        <f aca="false">IF(E52=0,0,F52/E52)</f>
        <v>1.65809756097561</v>
      </c>
    </row>
    <row r="53" customFormat="false" ht="15" hidden="false" customHeight="false" outlineLevel="0" collapsed="false">
      <c r="A53" s="23" t="str">
        <f aca="false">Settings!H6</f>
        <v>Garage Sale</v>
      </c>
      <c r="B53" s="25" t="n">
        <f aca="false">COUNTIFS(Inventory!$C$4:$C$503,$A53,Inventory!$B$4:$B$503,"&lt;&gt;")</f>
        <v>1</v>
      </c>
      <c r="C53" s="25" t="n">
        <f aca="false">COUNTIFS(Sales!$P$4:$P$503,$A53,Sales!$E$4:$E$503,"&lt;&gt;")</f>
        <v>1</v>
      </c>
      <c r="D53" s="28" t="n">
        <f aca="false">IF(B53=0,0,C53/B53)</f>
        <v>1</v>
      </c>
      <c r="E53" s="24" t="n">
        <f aca="false">SUMIFS(Sales!$K$4:$K$503,Sales!$P$4:$P$503,$A53)</f>
        <v>3</v>
      </c>
      <c r="F53" s="24" t="n">
        <f aca="false">SUMIFS(Sales!$L$4:$L$503,Sales!$P$4:$P$503,$A53)</f>
        <v>8.05</v>
      </c>
      <c r="G53" s="28" t="n">
        <f aca="false">IF(E53=0,0,F53/E53)</f>
        <v>2.68333333333333</v>
      </c>
    </row>
    <row r="54" customFormat="false" ht="15" hidden="false" customHeight="false" outlineLevel="0" collapsed="false">
      <c r="A54" s="40" t="str">
        <f aca="false">Settings!H7</f>
        <v>Auction</v>
      </c>
      <c r="B54" s="41" t="n">
        <f aca="false">COUNTIFS(Inventory!$C$4:$C$503,$A54,Inventory!$B$4:$B$503,"&lt;&gt;")</f>
        <v>1</v>
      </c>
      <c r="C54" s="41" t="n">
        <f aca="false">COUNTIFS(Sales!$P$4:$P$503,$A54,Sales!$E$4:$E$503,"&lt;&gt;")</f>
        <v>0</v>
      </c>
      <c r="D54" s="46" t="n">
        <f aca="false">IF(B54=0,0,C54/B54)</f>
        <v>0</v>
      </c>
      <c r="E54" s="42" t="n">
        <f aca="false">SUMIFS(Sales!$K$4:$K$503,Sales!$P$4:$P$503,$A54)</f>
        <v>0</v>
      </c>
      <c r="F54" s="42" t="n">
        <f aca="false">SUMIFS(Sales!$L$4:$L$503,Sales!$P$4:$P$503,$A54)</f>
        <v>0</v>
      </c>
      <c r="G54" s="46" t="n">
        <f aca="false">IF(E54=0,0,F54/E54)</f>
        <v>0</v>
      </c>
    </row>
    <row r="55" customFormat="false" ht="15" hidden="false" customHeight="false" outlineLevel="0" collapsed="false">
      <c r="A55" s="23" t="str">
        <f aca="false">Settings!H8</f>
        <v>Online</v>
      </c>
      <c r="B55" s="25" t="n">
        <f aca="false">COUNTIFS(Inventory!$C$4:$C$503,$A55,Inventory!$B$4:$B$503,"&lt;&gt;")</f>
        <v>1</v>
      </c>
      <c r="C55" s="25" t="n">
        <f aca="false">COUNTIFS(Sales!$P$4:$P$503,$A55,Sales!$E$4:$E$503,"&lt;&gt;")</f>
        <v>1</v>
      </c>
      <c r="D55" s="28" t="n">
        <f aca="false">IF(B55=0,0,C55/B55)</f>
        <v>1</v>
      </c>
      <c r="E55" s="24" t="n">
        <f aca="false">SUMIFS(Sales!$K$4:$K$503,Sales!$P$4:$P$503,$A55)</f>
        <v>45</v>
      </c>
      <c r="F55" s="24" t="n">
        <f aca="false">SUMIFS(Sales!$L$4:$L$503,Sales!$P$4:$P$503,$A55)</f>
        <v>35.945</v>
      </c>
      <c r="G55" s="28" t="n">
        <f aca="false">IF(E55=0,0,F55/E55)</f>
        <v>0.798777777777778</v>
      </c>
    </row>
    <row r="56" customFormat="false" ht="15" hidden="false" customHeight="false" outlineLevel="0" collapsed="false">
      <c r="A56" s="40" t="str">
        <f aca="false">Settings!H9</f>
        <v>Wholesale</v>
      </c>
      <c r="B56" s="41" t="n">
        <f aca="false">COUNTIFS(Inventory!$C$4:$C$503,$A56,Inventory!$B$4:$B$503,"&lt;&gt;")</f>
        <v>1</v>
      </c>
      <c r="C56" s="41" t="n">
        <f aca="false">COUNTIFS(Sales!$P$4:$P$503,$A56,Sales!$E$4:$E$503,"&lt;&gt;")</f>
        <v>0</v>
      </c>
      <c r="D56" s="46" t="n">
        <f aca="false">IF(B56=0,0,C56/B56)</f>
        <v>0</v>
      </c>
      <c r="E56" s="42" t="n">
        <f aca="false">SUMIFS(Sales!$K$4:$K$503,Sales!$P$4:$P$503,$A56)</f>
        <v>0</v>
      </c>
      <c r="F56" s="42" t="n">
        <f aca="false">SUMIFS(Sales!$L$4:$L$503,Sales!$P$4:$P$503,$A56)</f>
        <v>0</v>
      </c>
      <c r="G56" s="46" t="n">
        <f aca="false">IF(E56=0,0,F56/E56)</f>
        <v>0</v>
      </c>
    </row>
    <row r="57" customFormat="false" ht="15" hidden="false" customHeight="false" outlineLevel="0" collapsed="false">
      <c r="A57" s="23" t="str">
        <f aca="false">Settings!H10</f>
        <v>Other</v>
      </c>
      <c r="B57" s="25" t="n">
        <f aca="false">COUNTIFS(Inventory!$C$4:$C$503,$A57,Inventory!$B$4:$B$503,"&lt;&gt;")</f>
        <v>0</v>
      </c>
      <c r="C57" s="25" t="n">
        <f aca="false">COUNTIFS(Sales!$P$4:$P$503,$A57,Sales!$E$4:$E$503,"&lt;&gt;")</f>
        <v>0</v>
      </c>
      <c r="D57" s="28" t="n">
        <f aca="false">IF(B57=0,0,C57/B57)</f>
        <v>0</v>
      </c>
      <c r="E57" s="24" t="n">
        <f aca="false">SUMIFS(Sales!$K$4:$K$503,Sales!$P$4:$P$503,$A57)</f>
        <v>0</v>
      </c>
      <c r="F57" s="24" t="n">
        <f aca="false">SUMIFS(Sales!$L$4:$L$503,Sales!$P$4:$P$503,$A57)</f>
        <v>0</v>
      </c>
      <c r="G57" s="28" t="n">
        <f aca="false">IF(E57=0,0,F57/E57)</f>
        <v>0</v>
      </c>
    </row>
  </sheetData>
  <mergeCells count="20"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</mergeCells>
  <conditionalFormatting sqref="J12:J24">
    <cfRule type="expression" priority="2" aboveAverage="0" equalAverage="0" bottom="0" percent="0" rank="0" text="" dxfId="12">
      <formula>AND(ISNUMBER(J12),J12&lt;0)</formula>
    </cfRule>
  </conditionalFormatting>
  <conditionalFormatting sqref="A28:G35">
    <cfRule type="expression" priority="3" aboveAverage="0" equalAverage="0" bottom="0" percent="0" rank="0" text="" dxfId="13">
      <formula>AND(MAX($E$28:$E$35)&gt;0,$E28=MAX($E$28:$E$35))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0006"/>
    <pageSetUpPr fitToPage="false"/>
  </sheetPr>
  <dimension ref="A1:K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11" min="11" style="0" width="14"/>
  </cols>
  <sheetData>
    <row r="1" customFormat="false" ht="19.7" hidden="false" customHeight="false" outlineLevel="0" collapsed="false">
      <c r="A1" s="1" t="s">
        <v>219</v>
      </c>
    </row>
    <row r="2" customFormat="false" ht="15" hidden="false" customHeight="false" outlineLevel="0" collapsed="false">
      <c r="A2" s="2" t="s">
        <v>220</v>
      </c>
    </row>
    <row r="4" customFormat="false" ht="15" hidden="false" customHeight="false" outlineLevel="0" collapsed="false">
      <c r="A4" s="47" t="s">
        <v>221</v>
      </c>
      <c r="B4" s="48" t="n">
        <f aca="false">Settings!$B$19</f>
        <v>60</v>
      </c>
    </row>
    <row r="5" customFormat="false" ht="15" hidden="false" customHeight="false" outlineLevel="0" collapsed="false">
      <c r="A5" s="47" t="s">
        <v>222</v>
      </c>
      <c r="B5" s="49" t="n">
        <f aca="false">COUNTIF(Inventory!$Q$4:$Q$503,"STALE")</f>
        <v>1</v>
      </c>
    </row>
    <row r="6" customFormat="false" ht="15" hidden="false" customHeight="false" outlineLevel="0" collapsed="false">
      <c r="A6" s="47" t="s">
        <v>223</v>
      </c>
      <c r="B6" s="50" t="n">
        <f aca="false">SUMIFS(Inventory!$J$4:$J$503,Inventory!$Q$4:$Q$503,"STALE")</f>
        <v>30.99</v>
      </c>
    </row>
    <row r="7" customFormat="false" ht="15" hidden="false" customHeight="false" outlineLevel="0" collapsed="false">
      <c r="A7" s="47" t="s">
        <v>224</v>
      </c>
      <c r="B7" s="50" t="n">
        <f aca="false">SUMIFS(Inventory!$M$4:$M$503,Inventory!$Q$4:$Q$503,"STALE")</f>
        <v>145</v>
      </c>
    </row>
    <row r="9" customFormat="false" ht="30" hidden="false" customHeight="true" outlineLevel="0" collapsed="false">
      <c r="A9" s="9" t="s">
        <v>225</v>
      </c>
      <c r="B9" s="9" t="s">
        <v>119</v>
      </c>
      <c r="C9" s="9" t="s">
        <v>122</v>
      </c>
      <c r="D9" s="9" t="s">
        <v>123</v>
      </c>
      <c r="E9" s="9" t="s">
        <v>124</v>
      </c>
      <c r="F9" s="9" t="s">
        <v>132</v>
      </c>
      <c r="G9" s="9" t="s">
        <v>130</v>
      </c>
      <c r="H9" s="9" t="s">
        <v>134</v>
      </c>
      <c r="I9" s="9" t="s">
        <v>131</v>
      </c>
      <c r="J9" s="9" t="s">
        <v>128</v>
      </c>
      <c r="K9" s="9" t="s">
        <v>226</v>
      </c>
    </row>
    <row r="10" customFormat="false" ht="15" hidden="false" customHeight="false" outlineLevel="0" collapsed="false">
      <c r="A10" s="51" t="n">
        <v>1</v>
      </c>
      <c r="B10" s="23" t="str">
        <f aca="false">IF($A10&gt;$B$5,"",IFERROR(INDEX(Inventory!$A$4:$A$503,MATCH($A10,Inventory!$R$4:$R$503,0)),""))</f>
        <v>SKU-0006</v>
      </c>
      <c r="C10" s="23" t="str">
        <f aca="false">IF($A10&gt;$B$5,"",IFERROR(INDEX(Inventory!$D$4:$D$503,MATCH($A10,Inventory!$R$4:$R$503,0)),""))</f>
        <v>Carhartt</v>
      </c>
      <c r="D10" s="23" t="str">
        <f aca="false">IF($A10&gt;$B$5,"",IFERROR(INDEX(Inventory!$E$4:$E$503,MATCH($A10,Inventory!$R$4:$R$503,0)),""))</f>
        <v>Detroit Jacket, Duck Canvas, Brown</v>
      </c>
      <c r="E10" s="23" t="str">
        <f aca="false">IF($A10&gt;$B$5,"",IFERROR(INDEX(Inventory!$F$4:$F$503,MATCH($A10,Inventory!$R$4:$R$503,0)),""))</f>
        <v>Clothing</v>
      </c>
      <c r="F10" s="23" t="str">
        <f aca="false">IF($A10&gt;$B$5,"",IFERROR(INDEX(Inventory!$N$4:$N$503,MATCH($A10,Inventory!$R$4:$R$503,0)),""))</f>
        <v>eBay</v>
      </c>
      <c r="G10" s="52" t="n">
        <f aca="false">IF($A10&gt;$B$5,"",IFERROR(INDEX(Inventory!$L$4:$L$503,MATCH($A10,Inventory!$R$4:$R$503,0)),""))</f>
        <v>46101</v>
      </c>
      <c r="H10" s="25" t="n">
        <f aca="false">IF($A10&gt;$B$5,"",IFERROR(INDEX(Inventory!$P$4:$P$503,MATCH($A10,Inventory!$R$4:$R$503,0)),""))</f>
        <v>186</v>
      </c>
      <c r="I10" s="24" t="n">
        <f aca="false">IF($A10&gt;$B$5,"",IFERROR(INDEX(Inventory!$M$4:$M$503,MATCH($A10,Inventory!$R$4:$R$503,0)),""))</f>
        <v>145</v>
      </c>
      <c r="J10" s="24" t="n">
        <f aca="false">IF($A10&gt;$B$5,"",IFERROR(INDEX(Inventory!$J$4:$J$503,MATCH($A10,Inventory!$R$4:$R$503,0)),""))</f>
        <v>30.99</v>
      </c>
      <c r="K10" s="24" t="n">
        <f aca="false">IF(I10="","",ROUND(I10*0.85,2))</f>
        <v>123.25</v>
      </c>
    </row>
    <row r="11" customFormat="false" ht="15" hidden="false" customHeight="false" outlineLevel="0" collapsed="false">
      <c r="A11" s="53" t="n">
        <v>2</v>
      </c>
      <c r="B11" s="40" t="str">
        <f aca="false">IF($A11&gt;$B$5,"",IFERROR(INDEX(Inventory!$A$4:$A$503,MATCH($A11,Inventory!$R$4:$R$503,0)),""))</f>
        <v/>
      </c>
      <c r="C11" s="40" t="str">
        <f aca="false">IF($A11&gt;$B$5,"",IFERROR(INDEX(Inventory!$D$4:$D$503,MATCH($A11,Inventory!$R$4:$R$503,0)),""))</f>
        <v/>
      </c>
      <c r="D11" s="40" t="str">
        <f aca="false">IF($A11&gt;$B$5,"",IFERROR(INDEX(Inventory!$E$4:$E$503,MATCH($A11,Inventory!$R$4:$R$503,0)),""))</f>
        <v/>
      </c>
      <c r="E11" s="40" t="str">
        <f aca="false">IF($A11&gt;$B$5,"",IFERROR(INDEX(Inventory!$F$4:$F$503,MATCH($A11,Inventory!$R$4:$R$503,0)),""))</f>
        <v/>
      </c>
      <c r="F11" s="40" t="str">
        <f aca="false">IF($A11&gt;$B$5,"",IFERROR(INDEX(Inventory!$N$4:$N$503,MATCH($A11,Inventory!$R$4:$R$503,0)),""))</f>
        <v/>
      </c>
      <c r="G11" s="54" t="str">
        <f aca="false">IF($A11&gt;$B$5,"",IFERROR(INDEX(Inventory!$L$4:$L$503,MATCH($A11,Inventory!$R$4:$R$503,0)),""))</f>
        <v/>
      </c>
      <c r="H11" s="41" t="str">
        <f aca="false">IF($A11&gt;$B$5,"",IFERROR(INDEX(Inventory!$P$4:$P$503,MATCH($A11,Inventory!$R$4:$R$503,0)),""))</f>
        <v/>
      </c>
      <c r="I11" s="42" t="str">
        <f aca="false">IF($A11&gt;$B$5,"",IFERROR(INDEX(Inventory!$M$4:$M$503,MATCH($A11,Inventory!$R$4:$R$503,0)),""))</f>
        <v/>
      </c>
      <c r="J11" s="42" t="str">
        <f aca="false">IF($A11&gt;$B$5,"",IFERROR(INDEX(Inventory!$J$4:$J$503,MATCH($A11,Inventory!$R$4:$R$503,0)),""))</f>
        <v/>
      </c>
      <c r="K11" s="42" t="str">
        <f aca="false">IF(I11="","",ROUND(I11*0.85,2))</f>
        <v/>
      </c>
    </row>
    <row r="12" customFormat="false" ht="15" hidden="false" customHeight="false" outlineLevel="0" collapsed="false">
      <c r="A12" s="51" t="n">
        <v>3</v>
      </c>
      <c r="B12" s="23" t="str">
        <f aca="false">IF($A12&gt;$B$5,"",IFERROR(INDEX(Inventory!$A$4:$A$503,MATCH($A12,Inventory!$R$4:$R$503,0)),""))</f>
        <v/>
      </c>
      <c r="C12" s="23" t="str">
        <f aca="false">IF($A12&gt;$B$5,"",IFERROR(INDEX(Inventory!$D$4:$D$503,MATCH($A12,Inventory!$R$4:$R$503,0)),""))</f>
        <v/>
      </c>
      <c r="D12" s="23" t="str">
        <f aca="false">IF($A12&gt;$B$5,"",IFERROR(INDEX(Inventory!$E$4:$E$503,MATCH($A12,Inventory!$R$4:$R$503,0)),""))</f>
        <v/>
      </c>
      <c r="E12" s="23" t="str">
        <f aca="false">IF($A12&gt;$B$5,"",IFERROR(INDEX(Inventory!$F$4:$F$503,MATCH($A12,Inventory!$R$4:$R$503,0)),""))</f>
        <v/>
      </c>
      <c r="F12" s="23" t="str">
        <f aca="false">IF($A12&gt;$B$5,"",IFERROR(INDEX(Inventory!$N$4:$N$503,MATCH($A12,Inventory!$R$4:$R$503,0)),""))</f>
        <v/>
      </c>
      <c r="G12" s="52" t="str">
        <f aca="false">IF($A12&gt;$B$5,"",IFERROR(INDEX(Inventory!$L$4:$L$503,MATCH($A12,Inventory!$R$4:$R$503,0)),""))</f>
        <v/>
      </c>
      <c r="H12" s="25" t="str">
        <f aca="false">IF($A12&gt;$B$5,"",IFERROR(INDEX(Inventory!$P$4:$P$503,MATCH($A12,Inventory!$R$4:$R$503,0)),""))</f>
        <v/>
      </c>
      <c r="I12" s="24" t="str">
        <f aca="false">IF($A12&gt;$B$5,"",IFERROR(INDEX(Inventory!$M$4:$M$503,MATCH($A12,Inventory!$R$4:$R$503,0)),""))</f>
        <v/>
      </c>
      <c r="J12" s="24" t="str">
        <f aca="false">IF($A12&gt;$B$5,"",IFERROR(INDEX(Inventory!$J$4:$J$503,MATCH($A12,Inventory!$R$4:$R$503,0)),""))</f>
        <v/>
      </c>
      <c r="K12" s="24" t="str">
        <f aca="false">IF(I12="","",ROUND(I12*0.85,2))</f>
        <v/>
      </c>
    </row>
    <row r="13" customFormat="false" ht="15" hidden="false" customHeight="false" outlineLevel="0" collapsed="false">
      <c r="A13" s="53" t="n">
        <v>4</v>
      </c>
      <c r="B13" s="40" t="str">
        <f aca="false">IF($A13&gt;$B$5,"",IFERROR(INDEX(Inventory!$A$4:$A$503,MATCH($A13,Inventory!$R$4:$R$503,0)),""))</f>
        <v/>
      </c>
      <c r="C13" s="40" t="str">
        <f aca="false">IF($A13&gt;$B$5,"",IFERROR(INDEX(Inventory!$D$4:$D$503,MATCH($A13,Inventory!$R$4:$R$503,0)),""))</f>
        <v/>
      </c>
      <c r="D13" s="40" t="str">
        <f aca="false">IF($A13&gt;$B$5,"",IFERROR(INDEX(Inventory!$E$4:$E$503,MATCH($A13,Inventory!$R$4:$R$503,0)),""))</f>
        <v/>
      </c>
      <c r="E13" s="40" t="str">
        <f aca="false">IF($A13&gt;$B$5,"",IFERROR(INDEX(Inventory!$F$4:$F$503,MATCH($A13,Inventory!$R$4:$R$503,0)),""))</f>
        <v/>
      </c>
      <c r="F13" s="40" t="str">
        <f aca="false">IF($A13&gt;$B$5,"",IFERROR(INDEX(Inventory!$N$4:$N$503,MATCH($A13,Inventory!$R$4:$R$503,0)),""))</f>
        <v/>
      </c>
      <c r="G13" s="54" t="str">
        <f aca="false">IF($A13&gt;$B$5,"",IFERROR(INDEX(Inventory!$L$4:$L$503,MATCH($A13,Inventory!$R$4:$R$503,0)),""))</f>
        <v/>
      </c>
      <c r="H13" s="41" t="str">
        <f aca="false">IF($A13&gt;$B$5,"",IFERROR(INDEX(Inventory!$P$4:$P$503,MATCH($A13,Inventory!$R$4:$R$503,0)),""))</f>
        <v/>
      </c>
      <c r="I13" s="42" t="str">
        <f aca="false">IF($A13&gt;$B$5,"",IFERROR(INDEX(Inventory!$M$4:$M$503,MATCH($A13,Inventory!$R$4:$R$503,0)),""))</f>
        <v/>
      </c>
      <c r="J13" s="42" t="str">
        <f aca="false">IF($A13&gt;$B$5,"",IFERROR(INDEX(Inventory!$J$4:$J$503,MATCH($A13,Inventory!$R$4:$R$503,0)),""))</f>
        <v/>
      </c>
      <c r="K13" s="42" t="str">
        <f aca="false">IF(I13="","",ROUND(I13*0.85,2))</f>
        <v/>
      </c>
    </row>
    <row r="14" customFormat="false" ht="15" hidden="false" customHeight="false" outlineLevel="0" collapsed="false">
      <c r="A14" s="51" t="n">
        <v>5</v>
      </c>
      <c r="B14" s="23" t="str">
        <f aca="false">IF($A14&gt;$B$5,"",IFERROR(INDEX(Inventory!$A$4:$A$503,MATCH($A14,Inventory!$R$4:$R$503,0)),""))</f>
        <v/>
      </c>
      <c r="C14" s="23" t="str">
        <f aca="false">IF($A14&gt;$B$5,"",IFERROR(INDEX(Inventory!$D$4:$D$503,MATCH($A14,Inventory!$R$4:$R$503,0)),""))</f>
        <v/>
      </c>
      <c r="D14" s="23" t="str">
        <f aca="false">IF($A14&gt;$B$5,"",IFERROR(INDEX(Inventory!$E$4:$E$503,MATCH($A14,Inventory!$R$4:$R$503,0)),""))</f>
        <v/>
      </c>
      <c r="E14" s="23" t="str">
        <f aca="false">IF($A14&gt;$B$5,"",IFERROR(INDEX(Inventory!$F$4:$F$503,MATCH($A14,Inventory!$R$4:$R$503,0)),""))</f>
        <v/>
      </c>
      <c r="F14" s="23" t="str">
        <f aca="false">IF($A14&gt;$B$5,"",IFERROR(INDEX(Inventory!$N$4:$N$503,MATCH($A14,Inventory!$R$4:$R$503,0)),""))</f>
        <v/>
      </c>
      <c r="G14" s="52" t="str">
        <f aca="false">IF($A14&gt;$B$5,"",IFERROR(INDEX(Inventory!$L$4:$L$503,MATCH($A14,Inventory!$R$4:$R$503,0)),""))</f>
        <v/>
      </c>
      <c r="H14" s="25" t="str">
        <f aca="false">IF($A14&gt;$B$5,"",IFERROR(INDEX(Inventory!$P$4:$P$503,MATCH($A14,Inventory!$R$4:$R$503,0)),""))</f>
        <v/>
      </c>
      <c r="I14" s="24" t="str">
        <f aca="false">IF($A14&gt;$B$5,"",IFERROR(INDEX(Inventory!$M$4:$M$503,MATCH($A14,Inventory!$R$4:$R$503,0)),""))</f>
        <v/>
      </c>
      <c r="J14" s="24" t="str">
        <f aca="false">IF($A14&gt;$B$5,"",IFERROR(INDEX(Inventory!$J$4:$J$503,MATCH($A14,Inventory!$R$4:$R$503,0)),""))</f>
        <v/>
      </c>
      <c r="K14" s="24" t="str">
        <f aca="false">IF(I14="","",ROUND(I14*0.85,2))</f>
        <v/>
      </c>
    </row>
    <row r="15" customFormat="false" ht="15" hidden="false" customHeight="false" outlineLevel="0" collapsed="false">
      <c r="A15" s="53" t="n">
        <v>6</v>
      </c>
      <c r="B15" s="40" t="str">
        <f aca="false">IF($A15&gt;$B$5,"",IFERROR(INDEX(Inventory!$A$4:$A$503,MATCH($A15,Inventory!$R$4:$R$503,0)),""))</f>
        <v/>
      </c>
      <c r="C15" s="40" t="str">
        <f aca="false">IF($A15&gt;$B$5,"",IFERROR(INDEX(Inventory!$D$4:$D$503,MATCH($A15,Inventory!$R$4:$R$503,0)),""))</f>
        <v/>
      </c>
      <c r="D15" s="40" t="str">
        <f aca="false">IF($A15&gt;$B$5,"",IFERROR(INDEX(Inventory!$E$4:$E$503,MATCH($A15,Inventory!$R$4:$R$503,0)),""))</f>
        <v/>
      </c>
      <c r="E15" s="40" t="str">
        <f aca="false">IF($A15&gt;$B$5,"",IFERROR(INDEX(Inventory!$F$4:$F$503,MATCH($A15,Inventory!$R$4:$R$503,0)),""))</f>
        <v/>
      </c>
      <c r="F15" s="40" t="str">
        <f aca="false">IF($A15&gt;$B$5,"",IFERROR(INDEX(Inventory!$N$4:$N$503,MATCH($A15,Inventory!$R$4:$R$503,0)),""))</f>
        <v/>
      </c>
      <c r="G15" s="54" t="str">
        <f aca="false">IF($A15&gt;$B$5,"",IFERROR(INDEX(Inventory!$L$4:$L$503,MATCH($A15,Inventory!$R$4:$R$503,0)),""))</f>
        <v/>
      </c>
      <c r="H15" s="41" t="str">
        <f aca="false">IF($A15&gt;$B$5,"",IFERROR(INDEX(Inventory!$P$4:$P$503,MATCH($A15,Inventory!$R$4:$R$503,0)),""))</f>
        <v/>
      </c>
      <c r="I15" s="42" t="str">
        <f aca="false">IF($A15&gt;$B$5,"",IFERROR(INDEX(Inventory!$M$4:$M$503,MATCH($A15,Inventory!$R$4:$R$503,0)),""))</f>
        <v/>
      </c>
      <c r="J15" s="42" t="str">
        <f aca="false">IF($A15&gt;$B$5,"",IFERROR(INDEX(Inventory!$J$4:$J$503,MATCH($A15,Inventory!$R$4:$R$503,0)),""))</f>
        <v/>
      </c>
      <c r="K15" s="42" t="str">
        <f aca="false">IF(I15="","",ROUND(I15*0.85,2))</f>
        <v/>
      </c>
    </row>
    <row r="16" customFormat="false" ht="15" hidden="false" customHeight="false" outlineLevel="0" collapsed="false">
      <c r="A16" s="51" t="n">
        <v>7</v>
      </c>
      <c r="B16" s="23" t="str">
        <f aca="false">IF($A16&gt;$B$5,"",IFERROR(INDEX(Inventory!$A$4:$A$503,MATCH($A16,Inventory!$R$4:$R$503,0)),""))</f>
        <v/>
      </c>
      <c r="C16" s="23" t="str">
        <f aca="false">IF($A16&gt;$B$5,"",IFERROR(INDEX(Inventory!$D$4:$D$503,MATCH($A16,Inventory!$R$4:$R$503,0)),""))</f>
        <v/>
      </c>
      <c r="D16" s="23" t="str">
        <f aca="false">IF($A16&gt;$B$5,"",IFERROR(INDEX(Inventory!$E$4:$E$503,MATCH($A16,Inventory!$R$4:$R$503,0)),""))</f>
        <v/>
      </c>
      <c r="E16" s="23" t="str">
        <f aca="false">IF($A16&gt;$B$5,"",IFERROR(INDEX(Inventory!$F$4:$F$503,MATCH($A16,Inventory!$R$4:$R$503,0)),""))</f>
        <v/>
      </c>
      <c r="F16" s="23" t="str">
        <f aca="false">IF($A16&gt;$B$5,"",IFERROR(INDEX(Inventory!$N$4:$N$503,MATCH($A16,Inventory!$R$4:$R$503,0)),""))</f>
        <v/>
      </c>
      <c r="G16" s="52" t="str">
        <f aca="false">IF($A16&gt;$B$5,"",IFERROR(INDEX(Inventory!$L$4:$L$503,MATCH($A16,Inventory!$R$4:$R$503,0)),""))</f>
        <v/>
      </c>
      <c r="H16" s="25" t="str">
        <f aca="false">IF($A16&gt;$B$5,"",IFERROR(INDEX(Inventory!$P$4:$P$503,MATCH($A16,Inventory!$R$4:$R$503,0)),""))</f>
        <v/>
      </c>
      <c r="I16" s="24" t="str">
        <f aca="false">IF($A16&gt;$B$5,"",IFERROR(INDEX(Inventory!$M$4:$M$503,MATCH($A16,Inventory!$R$4:$R$503,0)),""))</f>
        <v/>
      </c>
      <c r="J16" s="24" t="str">
        <f aca="false">IF($A16&gt;$B$5,"",IFERROR(INDEX(Inventory!$J$4:$J$503,MATCH($A16,Inventory!$R$4:$R$503,0)),""))</f>
        <v/>
      </c>
      <c r="K16" s="24" t="str">
        <f aca="false">IF(I16="","",ROUND(I16*0.85,2))</f>
        <v/>
      </c>
    </row>
    <row r="17" customFormat="false" ht="15" hidden="false" customHeight="false" outlineLevel="0" collapsed="false">
      <c r="A17" s="53" t="n">
        <v>8</v>
      </c>
      <c r="B17" s="40" t="str">
        <f aca="false">IF($A17&gt;$B$5,"",IFERROR(INDEX(Inventory!$A$4:$A$503,MATCH($A17,Inventory!$R$4:$R$503,0)),""))</f>
        <v/>
      </c>
      <c r="C17" s="40" t="str">
        <f aca="false">IF($A17&gt;$B$5,"",IFERROR(INDEX(Inventory!$D$4:$D$503,MATCH($A17,Inventory!$R$4:$R$503,0)),""))</f>
        <v/>
      </c>
      <c r="D17" s="40" t="str">
        <f aca="false">IF($A17&gt;$B$5,"",IFERROR(INDEX(Inventory!$E$4:$E$503,MATCH($A17,Inventory!$R$4:$R$503,0)),""))</f>
        <v/>
      </c>
      <c r="E17" s="40" t="str">
        <f aca="false">IF($A17&gt;$B$5,"",IFERROR(INDEX(Inventory!$F$4:$F$503,MATCH($A17,Inventory!$R$4:$R$503,0)),""))</f>
        <v/>
      </c>
      <c r="F17" s="40" t="str">
        <f aca="false">IF($A17&gt;$B$5,"",IFERROR(INDEX(Inventory!$N$4:$N$503,MATCH($A17,Inventory!$R$4:$R$503,0)),""))</f>
        <v/>
      </c>
      <c r="G17" s="54" t="str">
        <f aca="false">IF($A17&gt;$B$5,"",IFERROR(INDEX(Inventory!$L$4:$L$503,MATCH($A17,Inventory!$R$4:$R$503,0)),""))</f>
        <v/>
      </c>
      <c r="H17" s="41" t="str">
        <f aca="false">IF($A17&gt;$B$5,"",IFERROR(INDEX(Inventory!$P$4:$P$503,MATCH($A17,Inventory!$R$4:$R$503,0)),""))</f>
        <v/>
      </c>
      <c r="I17" s="42" t="str">
        <f aca="false">IF($A17&gt;$B$5,"",IFERROR(INDEX(Inventory!$M$4:$M$503,MATCH($A17,Inventory!$R$4:$R$503,0)),""))</f>
        <v/>
      </c>
      <c r="J17" s="42" t="str">
        <f aca="false">IF($A17&gt;$B$5,"",IFERROR(INDEX(Inventory!$J$4:$J$503,MATCH($A17,Inventory!$R$4:$R$503,0)),""))</f>
        <v/>
      </c>
      <c r="K17" s="42" t="str">
        <f aca="false">IF(I17="","",ROUND(I17*0.85,2))</f>
        <v/>
      </c>
    </row>
    <row r="18" customFormat="false" ht="15" hidden="false" customHeight="false" outlineLevel="0" collapsed="false">
      <c r="A18" s="51" t="n">
        <v>9</v>
      </c>
      <c r="B18" s="23" t="str">
        <f aca="false">IF($A18&gt;$B$5,"",IFERROR(INDEX(Inventory!$A$4:$A$503,MATCH($A18,Inventory!$R$4:$R$503,0)),""))</f>
        <v/>
      </c>
      <c r="C18" s="23" t="str">
        <f aca="false">IF($A18&gt;$B$5,"",IFERROR(INDEX(Inventory!$D$4:$D$503,MATCH($A18,Inventory!$R$4:$R$503,0)),""))</f>
        <v/>
      </c>
      <c r="D18" s="23" t="str">
        <f aca="false">IF($A18&gt;$B$5,"",IFERROR(INDEX(Inventory!$E$4:$E$503,MATCH($A18,Inventory!$R$4:$R$503,0)),""))</f>
        <v/>
      </c>
      <c r="E18" s="23" t="str">
        <f aca="false">IF($A18&gt;$B$5,"",IFERROR(INDEX(Inventory!$F$4:$F$503,MATCH($A18,Inventory!$R$4:$R$503,0)),""))</f>
        <v/>
      </c>
      <c r="F18" s="23" t="str">
        <f aca="false">IF($A18&gt;$B$5,"",IFERROR(INDEX(Inventory!$N$4:$N$503,MATCH($A18,Inventory!$R$4:$R$503,0)),""))</f>
        <v/>
      </c>
      <c r="G18" s="52" t="str">
        <f aca="false">IF($A18&gt;$B$5,"",IFERROR(INDEX(Inventory!$L$4:$L$503,MATCH($A18,Inventory!$R$4:$R$503,0)),""))</f>
        <v/>
      </c>
      <c r="H18" s="25" t="str">
        <f aca="false">IF($A18&gt;$B$5,"",IFERROR(INDEX(Inventory!$P$4:$P$503,MATCH($A18,Inventory!$R$4:$R$503,0)),""))</f>
        <v/>
      </c>
      <c r="I18" s="24" t="str">
        <f aca="false">IF($A18&gt;$B$5,"",IFERROR(INDEX(Inventory!$M$4:$M$503,MATCH($A18,Inventory!$R$4:$R$503,0)),""))</f>
        <v/>
      </c>
      <c r="J18" s="24" t="str">
        <f aca="false">IF($A18&gt;$B$5,"",IFERROR(INDEX(Inventory!$J$4:$J$503,MATCH($A18,Inventory!$R$4:$R$503,0)),""))</f>
        <v/>
      </c>
      <c r="K18" s="24" t="str">
        <f aca="false">IF(I18="","",ROUND(I18*0.85,2))</f>
        <v/>
      </c>
    </row>
    <row r="19" customFormat="false" ht="15" hidden="false" customHeight="false" outlineLevel="0" collapsed="false">
      <c r="A19" s="53" t="n">
        <v>10</v>
      </c>
      <c r="B19" s="40" t="str">
        <f aca="false">IF($A19&gt;$B$5,"",IFERROR(INDEX(Inventory!$A$4:$A$503,MATCH($A19,Inventory!$R$4:$R$503,0)),""))</f>
        <v/>
      </c>
      <c r="C19" s="40" t="str">
        <f aca="false">IF($A19&gt;$B$5,"",IFERROR(INDEX(Inventory!$D$4:$D$503,MATCH($A19,Inventory!$R$4:$R$503,0)),""))</f>
        <v/>
      </c>
      <c r="D19" s="40" t="str">
        <f aca="false">IF($A19&gt;$B$5,"",IFERROR(INDEX(Inventory!$E$4:$E$503,MATCH($A19,Inventory!$R$4:$R$503,0)),""))</f>
        <v/>
      </c>
      <c r="E19" s="40" t="str">
        <f aca="false">IF($A19&gt;$B$5,"",IFERROR(INDEX(Inventory!$F$4:$F$503,MATCH($A19,Inventory!$R$4:$R$503,0)),""))</f>
        <v/>
      </c>
      <c r="F19" s="40" t="str">
        <f aca="false">IF($A19&gt;$B$5,"",IFERROR(INDEX(Inventory!$N$4:$N$503,MATCH($A19,Inventory!$R$4:$R$503,0)),""))</f>
        <v/>
      </c>
      <c r="G19" s="54" t="str">
        <f aca="false">IF($A19&gt;$B$5,"",IFERROR(INDEX(Inventory!$L$4:$L$503,MATCH($A19,Inventory!$R$4:$R$503,0)),""))</f>
        <v/>
      </c>
      <c r="H19" s="41" t="str">
        <f aca="false">IF($A19&gt;$B$5,"",IFERROR(INDEX(Inventory!$P$4:$P$503,MATCH($A19,Inventory!$R$4:$R$503,0)),""))</f>
        <v/>
      </c>
      <c r="I19" s="42" t="str">
        <f aca="false">IF($A19&gt;$B$5,"",IFERROR(INDEX(Inventory!$M$4:$M$503,MATCH($A19,Inventory!$R$4:$R$503,0)),""))</f>
        <v/>
      </c>
      <c r="J19" s="42" t="str">
        <f aca="false">IF($A19&gt;$B$5,"",IFERROR(INDEX(Inventory!$J$4:$J$503,MATCH($A19,Inventory!$R$4:$R$503,0)),""))</f>
        <v/>
      </c>
      <c r="K19" s="42" t="str">
        <f aca="false">IF(I19="","",ROUND(I19*0.85,2))</f>
        <v/>
      </c>
    </row>
    <row r="20" customFormat="false" ht="15" hidden="false" customHeight="false" outlineLevel="0" collapsed="false">
      <c r="A20" s="51" t="n">
        <v>11</v>
      </c>
      <c r="B20" s="23" t="str">
        <f aca="false">IF($A20&gt;$B$5,"",IFERROR(INDEX(Inventory!$A$4:$A$503,MATCH($A20,Inventory!$R$4:$R$503,0)),""))</f>
        <v/>
      </c>
      <c r="C20" s="23" t="str">
        <f aca="false">IF($A20&gt;$B$5,"",IFERROR(INDEX(Inventory!$D$4:$D$503,MATCH($A20,Inventory!$R$4:$R$503,0)),""))</f>
        <v/>
      </c>
      <c r="D20" s="23" t="str">
        <f aca="false">IF($A20&gt;$B$5,"",IFERROR(INDEX(Inventory!$E$4:$E$503,MATCH($A20,Inventory!$R$4:$R$503,0)),""))</f>
        <v/>
      </c>
      <c r="E20" s="23" t="str">
        <f aca="false">IF($A20&gt;$B$5,"",IFERROR(INDEX(Inventory!$F$4:$F$503,MATCH($A20,Inventory!$R$4:$R$503,0)),""))</f>
        <v/>
      </c>
      <c r="F20" s="23" t="str">
        <f aca="false">IF($A20&gt;$B$5,"",IFERROR(INDEX(Inventory!$N$4:$N$503,MATCH($A20,Inventory!$R$4:$R$503,0)),""))</f>
        <v/>
      </c>
      <c r="G20" s="52" t="str">
        <f aca="false">IF($A20&gt;$B$5,"",IFERROR(INDEX(Inventory!$L$4:$L$503,MATCH($A20,Inventory!$R$4:$R$503,0)),""))</f>
        <v/>
      </c>
      <c r="H20" s="25" t="str">
        <f aca="false">IF($A20&gt;$B$5,"",IFERROR(INDEX(Inventory!$P$4:$P$503,MATCH($A20,Inventory!$R$4:$R$503,0)),""))</f>
        <v/>
      </c>
      <c r="I20" s="24" t="str">
        <f aca="false">IF($A20&gt;$B$5,"",IFERROR(INDEX(Inventory!$M$4:$M$503,MATCH($A20,Inventory!$R$4:$R$503,0)),""))</f>
        <v/>
      </c>
      <c r="J20" s="24" t="str">
        <f aca="false">IF($A20&gt;$B$5,"",IFERROR(INDEX(Inventory!$J$4:$J$503,MATCH($A20,Inventory!$R$4:$R$503,0)),""))</f>
        <v/>
      </c>
      <c r="K20" s="24" t="str">
        <f aca="false">IF(I20="","",ROUND(I20*0.85,2))</f>
        <v/>
      </c>
    </row>
    <row r="21" customFormat="false" ht="15" hidden="false" customHeight="false" outlineLevel="0" collapsed="false">
      <c r="A21" s="53" t="n">
        <v>12</v>
      </c>
      <c r="B21" s="40" t="str">
        <f aca="false">IF($A21&gt;$B$5,"",IFERROR(INDEX(Inventory!$A$4:$A$503,MATCH($A21,Inventory!$R$4:$R$503,0)),""))</f>
        <v/>
      </c>
      <c r="C21" s="40" t="str">
        <f aca="false">IF($A21&gt;$B$5,"",IFERROR(INDEX(Inventory!$D$4:$D$503,MATCH($A21,Inventory!$R$4:$R$503,0)),""))</f>
        <v/>
      </c>
      <c r="D21" s="40" t="str">
        <f aca="false">IF($A21&gt;$B$5,"",IFERROR(INDEX(Inventory!$E$4:$E$503,MATCH($A21,Inventory!$R$4:$R$503,0)),""))</f>
        <v/>
      </c>
      <c r="E21" s="40" t="str">
        <f aca="false">IF($A21&gt;$B$5,"",IFERROR(INDEX(Inventory!$F$4:$F$503,MATCH($A21,Inventory!$R$4:$R$503,0)),""))</f>
        <v/>
      </c>
      <c r="F21" s="40" t="str">
        <f aca="false">IF($A21&gt;$B$5,"",IFERROR(INDEX(Inventory!$N$4:$N$503,MATCH($A21,Inventory!$R$4:$R$503,0)),""))</f>
        <v/>
      </c>
      <c r="G21" s="54" t="str">
        <f aca="false">IF($A21&gt;$B$5,"",IFERROR(INDEX(Inventory!$L$4:$L$503,MATCH($A21,Inventory!$R$4:$R$503,0)),""))</f>
        <v/>
      </c>
      <c r="H21" s="41" t="str">
        <f aca="false">IF($A21&gt;$B$5,"",IFERROR(INDEX(Inventory!$P$4:$P$503,MATCH($A21,Inventory!$R$4:$R$503,0)),""))</f>
        <v/>
      </c>
      <c r="I21" s="42" t="str">
        <f aca="false">IF($A21&gt;$B$5,"",IFERROR(INDEX(Inventory!$M$4:$M$503,MATCH($A21,Inventory!$R$4:$R$503,0)),""))</f>
        <v/>
      </c>
      <c r="J21" s="42" t="str">
        <f aca="false">IF($A21&gt;$B$5,"",IFERROR(INDEX(Inventory!$J$4:$J$503,MATCH($A21,Inventory!$R$4:$R$503,0)),""))</f>
        <v/>
      </c>
      <c r="K21" s="42" t="str">
        <f aca="false">IF(I21="","",ROUND(I21*0.85,2))</f>
        <v/>
      </c>
    </row>
    <row r="22" customFormat="false" ht="15" hidden="false" customHeight="false" outlineLevel="0" collapsed="false">
      <c r="A22" s="51" t="n">
        <v>13</v>
      </c>
      <c r="B22" s="23" t="str">
        <f aca="false">IF($A22&gt;$B$5,"",IFERROR(INDEX(Inventory!$A$4:$A$503,MATCH($A22,Inventory!$R$4:$R$503,0)),""))</f>
        <v/>
      </c>
      <c r="C22" s="23" t="str">
        <f aca="false">IF($A22&gt;$B$5,"",IFERROR(INDEX(Inventory!$D$4:$D$503,MATCH($A22,Inventory!$R$4:$R$503,0)),""))</f>
        <v/>
      </c>
      <c r="D22" s="23" t="str">
        <f aca="false">IF($A22&gt;$B$5,"",IFERROR(INDEX(Inventory!$E$4:$E$503,MATCH($A22,Inventory!$R$4:$R$503,0)),""))</f>
        <v/>
      </c>
      <c r="E22" s="23" t="str">
        <f aca="false">IF($A22&gt;$B$5,"",IFERROR(INDEX(Inventory!$F$4:$F$503,MATCH($A22,Inventory!$R$4:$R$503,0)),""))</f>
        <v/>
      </c>
      <c r="F22" s="23" t="str">
        <f aca="false">IF($A22&gt;$B$5,"",IFERROR(INDEX(Inventory!$N$4:$N$503,MATCH($A22,Inventory!$R$4:$R$503,0)),""))</f>
        <v/>
      </c>
      <c r="G22" s="52" t="str">
        <f aca="false">IF($A22&gt;$B$5,"",IFERROR(INDEX(Inventory!$L$4:$L$503,MATCH($A22,Inventory!$R$4:$R$503,0)),""))</f>
        <v/>
      </c>
      <c r="H22" s="25" t="str">
        <f aca="false">IF($A22&gt;$B$5,"",IFERROR(INDEX(Inventory!$P$4:$P$503,MATCH($A22,Inventory!$R$4:$R$503,0)),""))</f>
        <v/>
      </c>
      <c r="I22" s="24" t="str">
        <f aca="false">IF($A22&gt;$B$5,"",IFERROR(INDEX(Inventory!$M$4:$M$503,MATCH($A22,Inventory!$R$4:$R$503,0)),""))</f>
        <v/>
      </c>
      <c r="J22" s="24" t="str">
        <f aca="false">IF($A22&gt;$B$5,"",IFERROR(INDEX(Inventory!$J$4:$J$503,MATCH($A22,Inventory!$R$4:$R$503,0)),""))</f>
        <v/>
      </c>
      <c r="K22" s="24" t="str">
        <f aca="false">IF(I22="","",ROUND(I22*0.85,2))</f>
        <v/>
      </c>
    </row>
    <row r="23" customFormat="false" ht="15" hidden="false" customHeight="false" outlineLevel="0" collapsed="false">
      <c r="A23" s="53" t="n">
        <v>14</v>
      </c>
      <c r="B23" s="40" t="str">
        <f aca="false">IF($A23&gt;$B$5,"",IFERROR(INDEX(Inventory!$A$4:$A$503,MATCH($A23,Inventory!$R$4:$R$503,0)),""))</f>
        <v/>
      </c>
      <c r="C23" s="40" t="str">
        <f aca="false">IF($A23&gt;$B$5,"",IFERROR(INDEX(Inventory!$D$4:$D$503,MATCH($A23,Inventory!$R$4:$R$503,0)),""))</f>
        <v/>
      </c>
      <c r="D23" s="40" t="str">
        <f aca="false">IF($A23&gt;$B$5,"",IFERROR(INDEX(Inventory!$E$4:$E$503,MATCH($A23,Inventory!$R$4:$R$503,0)),""))</f>
        <v/>
      </c>
      <c r="E23" s="40" t="str">
        <f aca="false">IF($A23&gt;$B$5,"",IFERROR(INDEX(Inventory!$F$4:$F$503,MATCH($A23,Inventory!$R$4:$R$503,0)),""))</f>
        <v/>
      </c>
      <c r="F23" s="40" t="str">
        <f aca="false">IF($A23&gt;$B$5,"",IFERROR(INDEX(Inventory!$N$4:$N$503,MATCH($A23,Inventory!$R$4:$R$503,0)),""))</f>
        <v/>
      </c>
      <c r="G23" s="54" t="str">
        <f aca="false">IF($A23&gt;$B$5,"",IFERROR(INDEX(Inventory!$L$4:$L$503,MATCH($A23,Inventory!$R$4:$R$503,0)),""))</f>
        <v/>
      </c>
      <c r="H23" s="41" t="str">
        <f aca="false">IF($A23&gt;$B$5,"",IFERROR(INDEX(Inventory!$P$4:$P$503,MATCH($A23,Inventory!$R$4:$R$503,0)),""))</f>
        <v/>
      </c>
      <c r="I23" s="42" t="str">
        <f aca="false">IF($A23&gt;$B$5,"",IFERROR(INDEX(Inventory!$M$4:$M$503,MATCH($A23,Inventory!$R$4:$R$503,0)),""))</f>
        <v/>
      </c>
      <c r="J23" s="42" t="str">
        <f aca="false">IF($A23&gt;$B$5,"",IFERROR(INDEX(Inventory!$J$4:$J$503,MATCH($A23,Inventory!$R$4:$R$503,0)),""))</f>
        <v/>
      </c>
      <c r="K23" s="42" t="str">
        <f aca="false">IF(I23="","",ROUND(I23*0.85,2))</f>
        <v/>
      </c>
    </row>
    <row r="24" customFormat="false" ht="15" hidden="false" customHeight="false" outlineLevel="0" collapsed="false">
      <c r="A24" s="51" t="n">
        <v>15</v>
      </c>
      <c r="B24" s="23" t="str">
        <f aca="false">IF($A24&gt;$B$5,"",IFERROR(INDEX(Inventory!$A$4:$A$503,MATCH($A24,Inventory!$R$4:$R$503,0)),""))</f>
        <v/>
      </c>
      <c r="C24" s="23" t="str">
        <f aca="false">IF($A24&gt;$B$5,"",IFERROR(INDEX(Inventory!$D$4:$D$503,MATCH($A24,Inventory!$R$4:$R$503,0)),""))</f>
        <v/>
      </c>
      <c r="D24" s="23" t="str">
        <f aca="false">IF($A24&gt;$B$5,"",IFERROR(INDEX(Inventory!$E$4:$E$503,MATCH($A24,Inventory!$R$4:$R$503,0)),""))</f>
        <v/>
      </c>
      <c r="E24" s="23" t="str">
        <f aca="false">IF($A24&gt;$B$5,"",IFERROR(INDEX(Inventory!$F$4:$F$503,MATCH($A24,Inventory!$R$4:$R$503,0)),""))</f>
        <v/>
      </c>
      <c r="F24" s="23" t="str">
        <f aca="false">IF($A24&gt;$B$5,"",IFERROR(INDEX(Inventory!$N$4:$N$503,MATCH($A24,Inventory!$R$4:$R$503,0)),""))</f>
        <v/>
      </c>
      <c r="G24" s="52" t="str">
        <f aca="false">IF($A24&gt;$B$5,"",IFERROR(INDEX(Inventory!$L$4:$L$503,MATCH($A24,Inventory!$R$4:$R$503,0)),""))</f>
        <v/>
      </c>
      <c r="H24" s="25" t="str">
        <f aca="false">IF($A24&gt;$B$5,"",IFERROR(INDEX(Inventory!$P$4:$P$503,MATCH($A24,Inventory!$R$4:$R$503,0)),""))</f>
        <v/>
      </c>
      <c r="I24" s="24" t="str">
        <f aca="false">IF($A24&gt;$B$5,"",IFERROR(INDEX(Inventory!$M$4:$M$503,MATCH($A24,Inventory!$R$4:$R$503,0)),""))</f>
        <v/>
      </c>
      <c r="J24" s="24" t="str">
        <f aca="false">IF($A24&gt;$B$5,"",IFERROR(INDEX(Inventory!$J$4:$J$503,MATCH($A24,Inventory!$R$4:$R$503,0)),""))</f>
        <v/>
      </c>
      <c r="K24" s="24" t="str">
        <f aca="false">IF(I24="","",ROUND(I24*0.85,2))</f>
        <v/>
      </c>
    </row>
    <row r="25" customFormat="false" ht="15" hidden="false" customHeight="false" outlineLevel="0" collapsed="false">
      <c r="A25" s="53" t="n">
        <v>16</v>
      </c>
      <c r="B25" s="40" t="str">
        <f aca="false">IF($A25&gt;$B$5,"",IFERROR(INDEX(Inventory!$A$4:$A$503,MATCH($A25,Inventory!$R$4:$R$503,0)),""))</f>
        <v/>
      </c>
      <c r="C25" s="40" t="str">
        <f aca="false">IF($A25&gt;$B$5,"",IFERROR(INDEX(Inventory!$D$4:$D$503,MATCH($A25,Inventory!$R$4:$R$503,0)),""))</f>
        <v/>
      </c>
      <c r="D25" s="40" t="str">
        <f aca="false">IF($A25&gt;$B$5,"",IFERROR(INDEX(Inventory!$E$4:$E$503,MATCH($A25,Inventory!$R$4:$R$503,0)),""))</f>
        <v/>
      </c>
      <c r="E25" s="40" t="str">
        <f aca="false">IF($A25&gt;$B$5,"",IFERROR(INDEX(Inventory!$F$4:$F$503,MATCH($A25,Inventory!$R$4:$R$503,0)),""))</f>
        <v/>
      </c>
      <c r="F25" s="40" t="str">
        <f aca="false">IF($A25&gt;$B$5,"",IFERROR(INDEX(Inventory!$N$4:$N$503,MATCH($A25,Inventory!$R$4:$R$503,0)),""))</f>
        <v/>
      </c>
      <c r="G25" s="54" t="str">
        <f aca="false">IF($A25&gt;$B$5,"",IFERROR(INDEX(Inventory!$L$4:$L$503,MATCH($A25,Inventory!$R$4:$R$503,0)),""))</f>
        <v/>
      </c>
      <c r="H25" s="41" t="str">
        <f aca="false">IF($A25&gt;$B$5,"",IFERROR(INDEX(Inventory!$P$4:$P$503,MATCH($A25,Inventory!$R$4:$R$503,0)),""))</f>
        <v/>
      </c>
      <c r="I25" s="42" t="str">
        <f aca="false">IF($A25&gt;$B$5,"",IFERROR(INDEX(Inventory!$M$4:$M$503,MATCH($A25,Inventory!$R$4:$R$503,0)),""))</f>
        <v/>
      </c>
      <c r="J25" s="42" t="str">
        <f aca="false">IF($A25&gt;$B$5,"",IFERROR(INDEX(Inventory!$J$4:$J$503,MATCH($A25,Inventory!$R$4:$R$503,0)),""))</f>
        <v/>
      </c>
      <c r="K25" s="42" t="str">
        <f aca="false">IF(I25="","",ROUND(I25*0.85,2))</f>
        <v/>
      </c>
    </row>
    <row r="26" customFormat="false" ht="15" hidden="false" customHeight="false" outlineLevel="0" collapsed="false">
      <c r="A26" s="51" t="n">
        <v>17</v>
      </c>
      <c r="B26" s="23" t="str">
        <f aca="false">IF($A26&gt;$B$5,"",IFERROR(INDEX(Inventory!$A$4:$A$503,MATCH($A26,Inventory!$R$4:$R$503,0)),""))</f>
        <v/>
      </c>
      <c r="C26" s="23" t="str">
        <f aca="false">IF($A26&gt;$B$5,"",IFERROR(INDEX(Inventory!$D$4:$D$503,MATCH($A26,Inventory!$R$4:$R$503,0)),""))</f>
        <v/>
      </c>
      <c r="D26" s="23" t="str">
        <f aca="false">IF($A26&gt;$B$5,"",IFERROR(INDEX(Inventory!$E$4:$E$503,MATCH($A26,Inventory!$R$4:$R$503,0)),""))</f>
        <v/>
      </c>
      <c r="E26" s="23" t="str">
        <f aca="false">IF($A26&gt;$B$5,"",IFERROR(INDEX(Inventory!$F$4:$F$503,MATCH($A26,Inventory!$R$4:$R$503,0)),""))</f>
        <v/>
      </c>
      <c r="F26" s="23" t="str">
        <f aca="false">IF($A26&gt;$B$5,"",IFERROR(INDEX(Inventory!$N$4:$N$503,MATCH($A26,Inventory!$R$4:$R$503,0)),""))</f>
        <v/>
      </c>
      <c r="G26" s="52" t="str">
        <f aca="false">IF($A26&gt;$B$5,"",IFERROR(INDEX(Inventory!$L$4:$L$503,MATCH($A26,Inventory!$R$4:$R$503,0)),""))</f>
        <v/>
      </c>
      <c r="H26" s="25" t="str">
        <f aca="false">IF($A26&gt;$B$5,"",IFERROR(INDEX(Inventory!$P$4:$P$503,MATCH($A26,Inventory!$R$4:$R$503,0)),""))</f>
        <v/>
      </c>
      <c r="I26" s="24" t="str">
        <f aca="false">IF($A26&gt;$B$5,"",IFERROR(INDEX(Inventory!$M$4:$M$503,MATCH($A26,Inventory!$R$4:$R$503,0)),""))</f>
        <v/>
      </c>
      <c r="J26" s="24" t="str">
        <f aca="false">IF($A26&gt;$B$5,"",IFERROR(INDEX(Inventory!$J$4:$J$503,MATCH($A26,Inventory!$R$4:$R$503,0)),""))</f>
        <v/>
      </c>
      <c r="K26" s="24" t="str">
        <f aca="false">IF(I26="","",ROUND(I26*0.85,2))</f>
        <v/>
      </c>
    </row>
    <row r="27" customFormat="false" ht="15" hidden="false" customHeight="false" outlineLevel="0" collapsed="false">
      <c r="A27" s="53" t="n">
        <v>18</v>
      </c>
      <c r="B27" s="40" t="str">
        <f aca="false">IF($A27&gt;$B$5,"",IFERROR(INDEX(Inventory!$A$4:$A$503,MATCH($A27,Inventory!$R$4:$R$503,0)),""))</f>
        <v/>
      </c>
      <c r="C27" s="40" t="str">
        <f aca="false">IF($A27&gt;$B$5,"",IFERROR(INDEX(Inventory!$D$4:$D$503,MATCH($A27,Inventory!$R$4:$R$503,0)),""))</f>
        <v/>
      </c>
      <c r="D27" s="40" t="str">
        <f aca="false">IF($A27&gt;$B$5,"",IFERROR(INDEX(Inventory!$E$4:$E$503,MATCH($A27,Inventory!$R$4:$R$503,0)),""))</f>
        <v/>
      </c>
      <c r="E27" s="40" t="str">
        <f aca="false">IF($A27&gt;$B$5,"",IFERROR(INDEX(Inventory!$F$4:$F$503,MATCH($A27,Inventory!$R$4:$R$503,0)),""))</f>
        <v/>
      </c>
      <c r="F27" s="40" t="str">
        <f aca="false">IF($A27&gt;$B$5,"",IFERROR(INDEX(Inventory!$N$4:$N$503,MATCH($A27,Inventory!$R$4:$R$503,0)),""))</f>
        <v/>
      </c>
      <c r="G27" s="54" t="str">
        <f aca="false">IF($A27&gt;$B$5,"",IFERROR(INDEX(Inventory!$L$4:$L$503,MATCH($A27,Inventory!$R$4:$R$503,0)),""))</f>
        <v/>
      </c>
      <c r="H27" s="41" t="str">
        <f aca="false">IF($A27&gt;$B$5,"",IFERROR(INDEX(Inventory!$P$4:$P$503,MATCH($A27,Inventory!$R$4:$R$503,0)),""))</f>
        <v/>
      </c>
      <c r="I27" s="42" t="str">
        <f aca="false">IF($A27&gt;$B$5,"",IFERROR(INDEX(Inventory!$M$4:$M$503,MATCH($A27,Inventory!$R$4:$R$503,0)),""))</f>
        <v/>
      </c>
      <c r="J27" s="42" t="str">
        <f aca="false">IF($A27&gt;$B$5,"",IFERROR(INDEX(Inventory!$J$4:$J$503,MATCH($A27,Inventory!$R$4:$R$503,0)),""))</f>
        <v/>
      </c>
      <c r="K27" s="42" t="str">
        <f aca="false">IF(I27="","",ROUND(I27*0.85,2))</f>
        <v/>
      </c>
    </row>
    <row r="28" customFormat="false" ht="15" hidden="false" customHeight="false" outlineLevel="0" collapsed="false">
      <c r="A28" s="51" t="n">
        <v>19</v>
      </c>
      <c r="B28" s="23" t="str">
        <f aca="false">IF($A28&gt;$B$5,"",IFERROR(INDEX(Inventory!$A$4:$A$503,MATCH($A28,Inventory!$R$4:$R$503,0)),""))</f>
        <v/>
      </c>
      <c r="C28" s="23" t="str">
        <f aca="false">IF($A28&gt;$B$5,"",IFERROR(INDEX(Inventory!$D$4:$D$503,MATCH($A28,Inventory!$R$4:$R$503,0)),""))</f>
        <v/>
      </c>
      <c r="D28" s="23" t="str">
        <f aca="false">IF($A28&gt;$B$5,"",IFERROR(INDEX(Inventory!$E$4:$E$503,MATCH($A28,Inventory!$R$4:$R$503,0)),""))</f>
        <v/>
      </c>
      <c r="E28" s="23" t="str">
        <f aca="false">IF($A28&gt;$B$5,"",IFERROR(INDEX(Inventory!$F$4:$F$503,MATCH($A28,Inventory!$R$4:$R$503,0)),""))</f>
        <v/>
      </c>
      <c r="F28" s="23" t="str">
        <f aca="false">IF($A28&gt;$B$5,"",IFERROR(INDEX(Inventory!$N$4:$N$503,MATCH($A28,Inventory!$R$4:$R$503,0)),""))</f>
        <v/>
      </c>
      <c r="G28" s="52" t="str">
        <f aca="false">IF($A28&gt;$B$5,"",IFERROR(INDEX(Inventory!$L$4:$L$503,MATCH($A28,Inventory!$R$4:$R$503,0)),""))</f>
        <v/>
      </c>
      <c r="H28" s="25" t="str">
        <f aca="false">IF($A28&gt;$B$5,"",IFERROR(INDEX(Inventory!$P$4:$P$503,MATCH($A28,Inventory!$R$4:$R$503,0)),""))</f>
        <v/>
      </c>
      <c r="I28" s="24" t="str">
        <f aca="false">IF($A28&gt;$B$5,"",IFERROR(INDEX(Inventory!$M$4:$M$503,MATCH($A28,Inventory!$R$4:$R$503,0)),""))</f>
        <v/>
      </c>
      <c r="J28" s="24" t="str">
        <f aca="false">IF($A28&gt;$B$5,"",IFERROR(INDEX(Inventory!$J$4:$J$503,MATCH($A28,Inventory!$R$4:$R$503,0)),""))</f>
        <v/>
      </c>
      <c r="K28" s="24" t="str">
        <f aca="false">IF(I28="","",ROUND(I28*0.85,2))</f>
        <v/>
      </c>
    </row>
    <row r="29" customFormat="false" ht="15" hidden="false" customHeight="false" outlineLevel="0" collapsed="false">
      <c r="A29" s="53" t="n">
        <v>20</v>
      </c>
      <c r="B29" s="40" t="str">
        <f aca="false">IF($A29&gt;$B$5,"",IFERROR(INDEX(Inventory!$A$4:$A$503,MATCH($A29,Inventory!$R$4:$R$503,0)),""))</f>
        <v/>
      </c>
      <c r="C29" s="40" t="str">
        <f aca="false">IF($A29&gt;$B$5,"",IFERROR(INDEX(Inventory!$D$4:$D$503,MATCH($A29,Inventory!$R$4:$R$503,0)),""))</f>
        <v/>
      </c>
      <c r="D29" s="40" t="str">
        <f aca="false">IF($A29&gt;$B$5,"",IFERROR(INDEX(Inventory!$E$4:$E$503,MATCH($A29,Inventory!$R$4:$R$503,0)),""))</f>
        <v/>
      </c>
      <c r="E29" s="40" t="str">
        <f aca="false">IF($A29&gt;$B$5,"",IFERROR(INDEX(Inventory!$F$4:$F$503,MATCH($A29,Inventory!$R$4:$R$503,0)),""))</f>
        <v/>
      </c>
      <c r="F29" s="40" t="str">
        <f aca="false">IF($A29&gt;$B$5,"",IFERROR(INDEX(Inventory!$N$4:$N$503,MATCH($A29,Inventory!$R$4:$R$503,0)),""))</f>
        <v/>
      </c>
      <c r="G29" s="54" t="str">
        <f aca="false">IF($A29&gt;$B$5,"",IFERROR(INDEX(Inventory!$L$4:$L$503,MATCH($A29,Inventory!$R$4:$R$503,0)),""))</f>
        <v/>
      </c>
      <c r="H29" s="41" t="str">
        <f aca="false">IF($A29&gt;$B$5,"",IFERROR(INDEX(Inventory!$P$4:$P$503,MATCH($A29,Inventory!$R$4:$R$503,0)),""))</f>
        <v/>
      </c>
      <c r="I29" s="42" t="str">
        <f aca="false">IF($A29&gt;$B$5,"",IFERROR(INDEX(Inventory!$M$4:$M$503,MATCH($A29,Inventory!$R$4:$R$503,0)),""))</f>
        <v/>
      </c>
      <c r="J29" s="42" t="str">
        <f aca="false">IF($A29&gt;$B$5,"",IFERROR(INDEX(Inventory!$J$4:$J$503,MATCH($A29,Inventory!$R$4:$R$503,0)),""))</f>
        <v/>
      </c>
      <c r="K29" s="42" t="str">
        <f aca="false">IF(I29="","",ROUND(I29*0.85,2))</f>
        <v/>
      </c>
    </row>
    <row r="30" customFormat="false" ht="15" hidden="false" customHeight="false" outlineLevel="0" collapsed="false">
      <c r="A30" s="51" t="n">
        <v>21</v>
      </c>
      <c r="B30" s="23" t="str">
        <f aca="false">IF($A30&gt;$B$5,"",IFERROR(INDEX(Inventory!$A$4:$A$503,MATCH($A30,Inventory!$R$4:$R$503,0)),""))</f>
        <v/>
      </c>
      <c r="C30" s="23" t="str">
        <f aca="false">IF($A30&gt;$B$5,"",IFERROR(INDEX(Inventory!$D$4:$D$503,MATCH($A30,Inventory!$R$4:$R$503,0)),""))</f>
        <v/>
      </c>
      <c r="D30" s="23" t="str">
        <f aca="false">IF($A30&gt;$B$5,"",IFERROR(INDEX(Inventory!$E$4:$E$503,MATCH($A30,Inventory!$R$4:$R$503,0)),""))</f>
        <v/>
      </c>
      <c r="E30" s="23" t="str">
        <f aca="false">IF($A30&gt;$B$5,"",IFERROR(INDEX(Inventory!$F$4:$F$503,MATCH($A30,Inventory!$R$4:$R$503,0)),""))</f>
        <v/>
      </c>
      <c r="F30" s="23" t="str">
        <f aca="false">IF($A30&gt;$B$5,"",IFERROR(INDEX(Inventory!$N$4:$N$503,MATCH($A30,Inventory!$R$4:$R$503,0)),""))</f>
        <v/>
      </c>
      <c r="G30" s="52" t="str">
        <f aca="false">IF($A30&gt;$B$5,"",IFERROR(INDEX(Inventory!$L$4:$L$503,MATCH($A30,Inventory!$R$4:$R$503,0)),""))</f>
        <v/>
      </c>
      <c r="H30" s="25" t="str">
        <f aca="false">IF($A30&gt;$B$5,"",IFERROR(INDEX(Inventory!$P$4:$P$503,MATCH($A30,Inventory!$R$4:$R$503,0)),""))</f>
        <v/>
      </c>
      <c r="I30" s="24" t="str">
        <f aca="false">IF($A30&gt;$B$5,"",IFERROR(INDEX(Inventory!$M$4:$M$503,MATCH($A30,Inventory!$R$4:$R$503,0)),""))</f>
        <v/>
      </c>
      <c r="J30" s="24" t="str">
        <f aca="false">IF($A30&gt;$B$5,"",IFERROR(INDEX(Inventory!$J$4:$J$503,MATCH($A30,Inventory!$R$4:$R$503,0)),""))</f>
        <v/>
      </c>
      <c r="K30" s="24" t="str">
        <f aca="false">IF(I30="","",ROUND(I30*0.85,2))</f>
        <v/>
      </c>
    </row>
    <row r="31" customFormat="false" ht="15" hidden="false" customHeight="false" outlineLevel="0" collapsed="false">
      <c r="A31" s="53" t="n">
        <v>22</v>
      </c>
      <c r="B31" s="40" t="str">
        <f aca="false">IF($A31&gt;$B$5,"",IFERROR(INDEX(Inventory!$A$4:$A$503,MATCH($A31,Inventory!$R$4:$R$503,0)),""))</f>
        <v/>
      </c>
      <c r="C31" s="40" t="str">
        <f aca="false">IF($A31&gt;$B$5,"",IFERROR(INDEX(Inventory!$D$4:$D$503,MATCH($A31,Inventory!$R$4:$R$503,0)),""))</f>
        <v/>
      </c>
      <c r="D31" s="40" t="str">
        <f aca="false">IF($A31&gt;$B$5,"",IFERROR(INDEX(Inventory!$E$4:$E$503,MATCH($A31,Inventory!$R$4:$R$503,0)),""))</f>
        <v/>
      </c>
      <c r="E31" s="40" t="str">
        <f aca="false">IF($A31&gt;$B$5,"",IFERROR(INDEX(Inventory!$F$4:$F$503,MATCH($A31,Inventory!$R$4:$R$503,0)),""))</f>
        <v/>
      </c>
      <c r="F31" s="40" t="str">
        <f aca="false">IF($A31&gt;$B$5,"",IFERROR(INDEX(Inventory!$N$4:$N$503,MATCH($A31,Inventory!$R$4:$R$503,0)),""))</f>
        <v/>
      </c>
      <c r="G31" s="54" t="str">
        <f aca="false">IF($A31&gt;$B$5,"",IFERROR(INDEX(Inventory!$L$4:$L$503,MATCH($A31,Inventory!$R$4:$R$503,0)),""))</f>
        <v/>
      </c>
      <c r="H31" s="41" t="str">
        <f aca="false">IF($A31&gt;$B$5,"",IFERROR(INDEX(Inventory!$P$4:$P$503,MATCH($A31,Inventory!$R$4:$R$503,0)),""))</f>
        <v/>
      </c>
      <c r="I31" s="42" t="str">
        <f aca="false">IF($A31&gt;$B$5,"",IFERROR(INDEX(Inventory!$M$4:$M$503,MATCH($A31,Inventory!$R$4:$R$503,0)),""))</f>
        <v/>
      </c>
      <c r="J31" s="42" t="str">
        <f aca="false">IF($A31&gt;$B$5,"",IFERROR(INDEX(Inventory!$J$4:$J$503,MATCH($A31,Inventory!$R$4:$R$503,0)),""))</f>
        <v/>
      </c>
      <c r="K31" s="42" t="str">
        <f aca="false">IF(I31="","",ROUND(I31*0.85,2))</f>
        <v/>
      </c>
    </row>
    <row r="32" customFormat="false" ht="15" hidden="false" customHeight="false" outlineLevel="0" collapsed="false">
      <c r="A32" s="51" t="n">
        <v>23</v>
      </c>
      <c r="B32" s="23" t="str">
        <f aca="false">IF($A32&gt;$B$5,"",IFERROR(INDEX(Inventory!$A$4:$A$503,MATCH($A32,Inventory!$R$4:$R$503,0)),""))</f>
        <v/>
      </c>
      <c r="C32" s="23" t="str">
        <f aca="false">IF($A32&gt;$B$5,"",IFERROR(INDEX(Inventory!$D$4:$D$503,MATCH($A32,Inventory!$R$4:$R$503,0)),""))</f>
        <v/>
      </c>
      <c r="D32" s="23" t="str">
        <f aca="false">IF($A32&gt;$B$5,"",IFERROR(INDEX(Inventory!$E$4:$E$503,MATCH($A32,Inventory!$R$4:$R$503,0)),""))</f>
        <v/>
      </c>
      <c r="E32" s="23" t="str">
        <f aca="false">IF($A32&gt;$B$5,"",IFERROR(INDEX(Inventory!$F$4:$F$503,MATCH($A32,Inventory!$R$4:$R$503,0)),""))</f>
        <v/>
      </c>
      <c r="F32" s="23" t="str">
        <f aca="false">IF($A32&gt;$B$5,"",IFERROR(INDEX(Inventory!$N$4:$N$503,MATCH($A32,Inventory!$R$4:$R$503,0)),""))</f>
        <v/>
      </c>
      <c r="G32" s="52" t="str">
        <f aca="false">IF($A32&gt;$B$5,"",IFERROR(INDEX(Inventory!$L$4:$L$503,MATCH($A32,Inventory!$R$4:$R$503,0)),""))</f>
        <v/>
      </c>
      <c r="H32" s="25" t="str">
        <f aca="false">IF($A32&gt;$B$5,"",IFERROR(INDEX(Inventory!$P$4:$P$503,MATCH($A32,Inventory!$R$4:$R$503,0)),""))</f>
        <v/>
      </c>
      <c r="I32" s="24" t="str">
        <f aca="false">IF($A32&gt;$B$5,"",IFERROR(INDEX(Inventory!$M$4:$M$503,MATCH($A32,Inventory!$R$4:$R$503,0)),""))</f>
        <v/>
      </c>
      <c r="J32" s="24" t="str">
        <f aca="false">IF($A32&gt;$B$5,"",IFERROR(INDEX(Inventory!$J$4:$J$503,MATCH($A32,Inventory!$R$4:$R$503,0)),""))</f>
        <v/>
      </c>
      <c r="K32" s="24" t="str">
        <f aca="false">IF(I32="","",ROUND(I32*0.85,2))</f>
        <v/>
      </c>
    </row>
    <row r="33" customFormat="false" ht="15" hidden="false" customHeight="false" outlineLevel="0" collapsed="false">
      <c r="A33" s="53" t="n">
        <v>24</v>
      </c>
      <c r="B33" s="40" t="str">
        <f aca="false">IF($A33&gt;$B$5,"",IFERROR(INDEX(Inventory!$A$4:$A$503,MATCH($A33,Inventory!$R$4:$R$503,0)),""))</f>
        <v/>
      </c>
      <c r="C33" s="40" t="str">
        <f aca="false">IF($A33&gt;$B$5,"",IFERROR(INDEX(Inventory!$D$4:$D$503,MATCH($A33,Inventory!$R$4:$R$503,0)),""))</f>
        <v/>
      </c>
      <c r="D33" s="40" t="str">
        <f aca="false">IF($A33&gt;$B$5,"",IFERROR(INDEX(Inventory!$E$4:$E$503,MATCH($A33,Inventory!$R$4:$R$503,0)),""))</f>
        <v/>
      </c>
      <c r="E33" s="40" t="str">
        <f aca="false">IF($A33&gt;$B$5,"",IFERROR(INDEX(Inventory!$F$4:$F$503,MATCH($A33,Inventory!$R$4:$R$503,0)),""))</f>
        <v/>
      </c>
      <c r="F33" s="40" t="str">
        <f aca="false">IF($A33&gt;$B$5,"",IFERROR(INDEX(Inventory!$N$4:$N$503,MATCH($A33,Inventory!$R$4:$R$503,0)),""))</f>
        <v/>
      </c>
      <c r="G33" s="54" t="str">
        <f aca="false">IF($A33&gt;$B$5,"",IFERROR(INDEX(Inventory!$L$4:$L$503,MATCH($A33,Inventory!$R$4:$R$503,0)),""))</f>
        <v/>
      </c>
      <c r="H33" s="41" t="str">
        <f aca="false">IF($A33&gt;$B$5,"",IFERROR(INDEX(Inventory!$P$4:$P$503,MATCH($A33,Inventory!$R$4:$R$503,0)),""))</f>
        <v/>
      </c>
      <c r="I33" s="42" t="str">
        <f aca="false">IF($A33&gt;$B$5,"",IFERROR(INDEX(Inventory!$M$4:$M$503,MATCH($A33,Inventory!$R$4:$R$503,0)),""))</f>
        <v/>
      </c>
      <c r="J33" s="42" t="str">
        <f aca="false">IF($A33&gt;$B$5,"",IFERROR(INDEX(Inventory!$J$4:$J$503,MATCH($A33,Inventory!$R$4:$R$503,0)),""))</f>
        <v/>
      </c>
      <c r="K33" s="42" t="str">
        <f aca="false">IF(I33="","",ROUND(I33*0.85,2))</f>
        <v/>
      </c>
    </row>
    <row r="34" customFormat="false" ht="15" hidden="false" customHeight="false" outlineLevel="0" collapsed="false">
      <c r="A34" s="51" t="n">
        <v>25</v>
      </c>
      <c r="B34" s="23" t="str">
        <f aca="false">IF($A34&gt;$B$5,"",IFERROR(INDEX(Inventory!$A$4:$A$503,MATCH($A34,Inventory!$R$4:$R$503,0)),""))</f>
        <v/>
      </c>
      <c r="C34" s="23" t="str">
        <f aca="false">IF($A34&gt;$B$5,"",IFERROR(INDEX(Inventory!$D$4:$D$503,MATCH($A34,Inventory!$R$4:$R$503,0)),""))</f>
        <v/>
      </c>
      <c r="D34" s="23" t="str">
        <f aca="false">IF($A34&gt;$B$5,"",IFERROR(INDEX(Inventory!$E$4:$E$503,MATCH($A34,Inventory!$R$4:$R$503,0)),""))</f>
        <v/>
      </c>
      <c r="E34" s="23" t="str">
        <f aca="false">IF($A34&gt;$B$5,"",IFERROR(INDEX(Inventory!$F$4:$F$503,MATCH($A34,Inventory!$R$4:$R$503,0)),""))</f>
        <v/>
      </c>
      <c r="F34" s="23" t="str">
        <f aca="false">IF($A34&gt;$B$5,"",IFERROR(INDEX(Inventory!$N$4:$N$503,MATCH($A34,Inventory!$R$4:$R$503,0)),""))</f>
        <v/>
      </c>
      <c r="G34" s="52" t="str">
        <f aca="false">IF($A34&gt;$B$5,"",IFERROR(INDEX(Inventory!$L$4:$L$503,MATCH($A34,Inventory!$R$4:$R$503,0)),""))</f>
        <v/>
      </c>
      <c r="H34" s="25" t="str">
        <f aca="false">IF($A34&gt;$B$5,"",IFERROR(INDEX(Inventory!$P$4:$P$503,MATCH($A34,Inventory!$R$4:$R$503,0)),""))</f>
        <v/>
      </c>
      <c r="I34" s="24" t="str">
        <f aca="false">IF($A34&gt;$B$5,"",IFERROR(INDEX(Inventory!$M$4:$M$503,MATCH($A34,Inventory!$R$4:$R$503,0)),""))</f>
        <v/>
      </c>
      <c r="J34" s="24" t="str">
        <f aca="false">IF($A34&gt;$B$5,"",IFERROR(INDEX(Inventory!$J$4:$J$503,MATCH($A34,Inventory!$R$4:$R$503,0)),""))</f>
        <v/>
      </c>
      <c r="K34" s="24" t="str">
        <f aca="false">IF(I34="","",ROUND(I34*0.85,2))</f>
        <v/>
      </c>
    </row>
    <row r="35" customFormat="false" ht="15" hidden="false" customHeight="false" outlineLevel="0" collapsed="false">
      <c r="A35" s="53" t="n">
        <v>26</v>
      </c>
      <c r="B35" s="40" t="str">
        <f aca="false">IF($A35&gt;$B$5,"",IFERROR(INDEX(Inventory!$A$4:$A$503,MATCH($A35,Inventory!$R$4:$R$503,0)),""))</f>
        <v/>
      </c>
      <c r="C35" s="40" t="str">
        <f aca="false">IF($A35&gt;$B$5,"",IFERROR(INDEX(Inventory!$D$4:$D$503,MATCH($A35,Inventory!$R$4:$R$503,0)),""))</f>
        <v/>
      </c>
      <c r="D35" s="40" t="str">
        <f aca="false">IF($A35&gt;$B$5,"",IFERROR(INDEX(Inventory!$E$4:$E$503,MATCH($A35,Inventory!$R$4:$R$503,0)),""))</f>
        <v/>
      </c>
      <c r="E35" s="40" t="str">
        <f aca="false">IF($A35&gt;$B$5,"",IFERROR(INDEX(Inventory!$F$4:$F$503,MATCH($A35,Inventory!$R$4:$R$503,0)),""))</f>
        <v/>
      </c>
      <c r="F35" s="40" t="str">
        <f aca="false">IF($A35&gt;$B$5,"",IFERROR(INDEX(Inventory!$N$4:$N$503,MATCH($A35,Inventory!$R$4:$R$503,0)),""))</f>
        <v/>
      </c>
      <c r="G35" s="54" t="str">
        <f aca="false">IF($A35&gt;$B$5,"",IFERROR(INDEX(Inventory!$L$4:$L$503,MATCH($A35,Inventory!$R$4:$R$503,0)),""))</f>
        <v/>
      </c>
      <c r="H35" s="41" t="str">
        <f aca="false">IF($A35&gt;$B$5,"",IFERROR(INDEX(Inventory!$P$4:$P$503,MATCH($A35,Inventory!$R$4:$R$503,0)),""))</f>
        <v/>
      </c>
      <c r="I35" s="42" t="str">
        <f aca="false">IF($A35&gt;$B$5,"",IFERROR(INDEX(Inventory!$M$4:$M$503,MATCH($A35,Inventory!$R$4:$R$503,0)),""))</f>
        <v/>
      </c>
      <c r="J35" s="42" t="str">
        <f aca="false">IF($A35&gt;$B$5,"",IFERROR(INDEX(Inventory!$J$4:$J$503,MATCH($A35,Inventory!$R$4:$R$503,0)),""))</f>
        <v/>
      </c>
      <c r="K35" s="42" t="str">
        <f aca="false">IF(I35="","",ROUND(I35*0.85,2))</f>
        <v/>
      </c>
    </row>
    <row r="36" customFormat="false" ht="15" hidden="false" customHeight="false" outlineLevel="0" collapsed="false">
      <c r="A36" s="51" t="n">
        <v>27</v>
      </c>
      <c r="B36" s="23" t="str">
        <f aca="false">IF($A36&gt;$B$5,"",IFERROR(INDEX(Inventory!$A$4:$A$503,MATCH($A36,Inventory!$R$4:$R$503,0)),""))</f>
        <v/>
      </c>
      <c r="C36" s="23" t="str">
        <f aca="false">IF($A36&gt;$B$5,"",IFERROR(INDEX(Inventory!$D$4:$D$503,MATCH($A36,Inventory!$R$4:$R$503,0)),""))</f>
        <v/>
      </c>
      <c r="D36" s="23" t="str">
        <f aca="false">IF($A36&gt;$B$5,"",IFERROR(INDEX(Inventory!$E$4:$E$503,MATCH($A36,Inventory!$R$4:$R$503,0)),""))</f>
        <v/>
      </c>
      <c r="E36" s="23" t="str">
        <f aca="false">IF($A36&gt;$B$5,"",IFERROR(INDEX(Inventory!$F$4:$F$503,MATCH($A36,Inventory!$R$4:$R$503,0)),""))</f>
        <v/>
      </c>
      <c r="F36" s="23" t="str">
        <f aca="false">IF($A36&gt;$B$5,"",IFERROR(INDEX(Inventory!$N$4:$N$503,MATCH($A36,Inventory!$R$4:$R$503,0)),""))</f>
        <v/>
      </c>
      <c r="G36" s="52" t="str">
        <f aca="false">IF($A36&gt;$B$5,"",IFERROR(INDEX(Inventory!$L$4:$L$503,MATCH($A36,Inventory!$R$4:$R$503,0)),""))</f>
        <v/>
      </c>
      <c r="H36" s="25" t="str">
        <f aca="false">IF($A36&gt;$B$5,"",IFERROR(INDEX(Inventory!$P$4:$P$503,MATCH($A36,Inventory!$R$4:$R$503,0)),""))</f>
        <v/>
      </c>
      <c r="I36" s="24" t="str">
        <f aca="false">IF($A36&gt;$B$5,"",IFERROR(INDEX(Inventory!$M$4:$M$503,MATCH($A36,Inventory!$R$4:$R$503,0)),""))</f>
        <v/>
      </c>
      <c r="J36" s="24" t="str">
        <f aca="false">IF($A36&gt;$B$5,"",IFERROR(INDEX(Inventory!$J$4:$J$503,MATCH($A36,Inventory!$R$4:$R$503,0)),""))</f>
        <v/>
      </c>
      <c r="K36" s="24" t="str">
        <f aca="false">IF(I36="","",ROUND(I36*0.85,2))</f>
        <v/>
      </c>
    </row>
    <row r="37" customFormat="false" ht="15" hidden="false" customHeight="false" outlineLevel="0" collapsed="false">
      <c r="A37" s="53" t="n">
        <v>28</v>
      </c>
      <c r="B37" s="40" t="str">
        <f aca="false">IF($A37&gt;$B$5,"",IFERROR(INDEX(Inventory!$A$4:$A$503,MATCH($A37,Inventory!$R$4:$R$503,0)),""))</f>
        <v/>
      </c>
      <c r="C37" s="40" t="str">
        <f aca="false">IF($A37&gt;$B$5,"",IFERROR(INDEX(Inventory!$D$4:$D$503,MATCH($A37,Inventory!$R$4:$R$503,0)),""))</f>
        <v/>
      </c>
      <c r="D37" s="40" t="str">
        <f aca="false">IF($A37&gt;$B$5,"",IFERROR(INDEX(Inventory!$E$4:$E$503,MATCH($A37,Inventory!$R$4:$R$503,0)),""))</f>
        <v/>
      </c>
      <c r="E37" s="40" t="str">
        <f aca="false">IF($A37&gt;$B$5,"",IFERROR(INDEX(Inventory!$F$4:$F$503,MATCH($A37,Inventory!$R$4:$R$503,0)),""))</f>
        <v/>
      </c>
      <c r="F37" s="40" t="str">
        <f aca="false">IF($A37&gt;$B$5,"",IFERROR(INDEX(Inventory!$N$4:$N$503,MATCH($A37,Inventory!$R$4:$R$503,0)),""))</f>
        <v/>
      </c>
      <c r="G37" s="54" t="str">
        <f aca="false">IF($A37&gt;$B$5,"",IFERROR(INDEX(Inventory!$L$4:$L$503,MATCH($A37,Inventory!$R$4:$R$503,0)),""))</f>
        <v/>
      </c>
      <c r="H37" s="41" t="str">
        <f aca="false">IF($A37&gt;$B$5,"",IFERROR(INDEX(Inventory!$P$4:$P$503,MATCH($A37,Inventory!$R$4:$R$503,0)),""))</f>
        <v/>
      </c>
      <c r="I37" s="42" t="str">
        <f aca="false">IF($A37&gt;$B$5,"",IFERROR(INDEX(Inventory!$M$4:$M$503,MATCH($A37,Inventory!$R$4:$R$503,0)),""))</f>
        <v/>
      </c>
      <c r="J37" s="42" t="str">
        <f aca="false">IF($A37&gt;$B$5,"",IFERROR(INDEX(Inventory!$J$4:$J$503,MATCH($A37,Inventory!$R$4:$R$503,0)),""))</f>
        <v/>
      </c>
      <c r="K37" s="42" t="str">
        <f aca="false">IF(I37="","",ROUND(I37*0.85,2))</f>
        <v/>
      </c>
    </row>
    <row r="38" customFormat="false" ht="15" hidden="false" customHeight="false" outlineLevel="0" collapsed="false">
      <c r="A38" s="51" t="n">
        <v>29</v>
      </c>
      <c r="B38" s="23" t="str">
        <f aca="false">IF($A38&gt;$B$5,"",IFERROR(INDEX(Inventory!$A$4:$A$503,MATCH($A38,Inventory!$R$4:$R$503,0)),""))</f>
        <v/>
      </c>
      <c r="C38" s="23" t="str">
        <f aca="false">IF($A38&gt;$B$5,"",IFERROR(INDEX(Inventory!$D$4:$D$503,MATCH($A38,Inventory!$R$4:$R$503,0)),""))</f>
        <v/>
      </c>
      <c r="D38" s="23" t="str">
        <f aca="false">IF($A38&gt;$B$5,"",IFERROR(INDEX(Inventory!$E$4:$E$503,MATCH($A38,Inventory!$R$4:$R$503,0)),""))</f>
        <v/>
      </c>
      <c r="E38" s="23" t="str">
        <f aca="false">IF($A38&gt;$B$5,"",IFERROR(INDEX(Inventory!$F$4:$F$503,MATCH($A38,Inventory!$R$4:$R$503,0)),""))</f>
        <v/>
      </c>
      <c r="F38" s="23" t="str">
        <f aca="false">IF($A38&gt;$B$5,"",IFERROR(INDEX(Inventory!$N$4:$N$503,MATCH($A38,Inventory!$R$4:$R$503,0)),""))</f>
        <v/>
      </c>
      <c r="G38" s="52" t="str">
        <f aca="false">IF($A38&gt;$B$5,"",IFERROR(INDEX(Inventory!$L$4:$L$503,MATCH($A38,Inventory!$R$4:$R$503,0)),""))</f>
        <v/>
      </c>
      <c r="H38" s="25" t="str">
        <f aca="false">IF($A38&gt;$B$5,"",IFERROR(INDEX(Inventory!$P$4:$P$503,MATCH($A38,Inventory!$R$4:$R$503,0)),""))</f>
        <v/>
      </c>
      <c r="I38" s="24" t="str">
        <f aca="false">IF($A38&gt;$B$5,"",IFERROR(INDEX(Inventory!$M$4:$M$503,MATCH($A38,Inventory!$R$4:$R$503,0)),""))</f>
        <v/>
      </c>
      <c r="J38" s="24" t="str">
        <f aca="false">IF($A38&gt;$B$5,"",IFERROR(INDEX(Inventory!$J$4:$J$503,MATCH($A38,Inventory!$R$4:$R$503,0)),""))</f>
        <v/>
      </c>
      <c r="K38" s="24" t="str">
        <f aca="false">IF(I38="","",ROUND(I38*0.85,2))</f>
        <v/>
      </c>
    </row>
    <row r="39" customFormat="false" ht="15" hidden="false" customHeight="false" outlineLevel="0" collapsed="false">
      <c r="A39" s="53" t="n">
        <v>30</v>
      </c>
      <c r="B39" s="40" t="str">
        <f aca="false">IF($A39&gt;$B$5,"",IFERROR(INDEX(Inventory!$A$4:$A$503,MATCH($A39,Inventory!$R$4:$R$503,0)),""))</f>
        <v/>
      </c>
      <c r="C39" s="40" t="str">
        <f aca="false">IF($A39&gt;$B$5,"",IFERROR(INDEX(Inventory!$D$4:$D$503,MATCH($A39,Inventory!$R$4:$R$503,0)),""))</f>
        <v/>
      </c>
      <c r="D39" s="40" t="str">
        <f aca="false">IF($A39&gt;$B$5,"",IFERROR(INDEX(Inventory!$E$4:$E$503,MATCH($A39,Inventory!$R$4:$R$503,0)),""))</f>
        <v/>
      </c>
      <c r="E39" s="40" t="str">
        <f aca="false">IF($A39&gt;$B$5,"",IFERROR(INDEX(Inventory!$F$4:$F$503,MATCH($A39,Inventory!$R$4:$R$503,0)),""))</f>
        <v/>
      </c>
      <c r="F39" s="40" t="str">
        <f aca="false">IF($A39&gt;$B$5,"",IFERROR(INDEX(Inventory!$N$4:$N$503,MATCH($A39,Inventory!$R$4:$R$503,0)),""))</f>
        <v/>
      </c>
      <c r="G39" s="54" t="str">
        <f aca="false">IF($A39&gt;$B$5,"",IFERROR(INDEX(Inventory!$L$4:$L$503,MATCH($A39,Inventory!$R$4:$R$503,0)),""))</f>
        <v/>
      </c>
      <c r="H39" s="41" t="str">
        <f aca="false">IF($A39&gt;$B$5,"",IFERROR(INDEX(Inventory!$P$4:$P$503,MATCH($A39,Inventory!$R$4:$R$503,0)),""))</f>
        <v/>
      </c>
      <c r="I39" s="42" t="str">
        <f aca="false">IF($A39&gt;$B$5,"",IFERROR(INDEX(Inventory!$M$4:$M$503,MATCH($A39,Inventory!$R$4:$R$503,0)),""))</f>
        <v/>
      </c>
      <c r="J39" s="42" t="str">
        <f aca="false">IF($A39&gt;$B$5,"",IFERROR(INDEX(Inventory!$J$4:$J$503,MATCH($A39,Inventory!$R$4:$R$503,0)),""))</f>
        <v/>
      </c>
      <c r="K39" s="42" t="str">
        <f aca="false">IF(I39="","",ROUND(I39*0.85,2))</f>
        <v/>
      </c>
    </row>
    <row r="40" customFormat="false" ht="15" hidden="false" customHeight="false" outlineLevel="0" collapsed="false">
      <c r="A40" s="51" t="n">
        <v>31</v>
      </c>
      <c r="B40" s="23" t="str">
        <f aca="false">IF($A40&gt;$B$5,"",IFERROR(INDEX(Inventory!$A$4:$A$503,MATCH($A40,Inventory!$R$4:$R$503,0)),""))</f>
        <v/>
      </c>
      <c r="C40" s="23" t="str">
        <f aca="false">IF($A40&gt;$B$5,"",IFERROR(INDEX(Inventory!$D$4:$D$503,MATCH($A40,Inventory!$R$4:$R$503,0)),""))</f>
        <v/>
      </c>
      <c r="D40" s="23" t="str">
        <f aca="false">IF($A40&gt;$B$5,"",IFERROR(INDEX(Inventory!$E$4:$E$503,MATCH($A40,Inventory!$R$4:$R$503,0)),""))</f>
        <v/>
      </c>
      <c r="E40" s="23" t="str">
        <f aca="false">IF($A40&gt;$B$5,"",IFERROR(INDEX(Inventory!$F$4:$F$503,MATCH($A40,Inventory!$R$4:$R$503,0)),""))</f>
        <v/>
      </c>
      <c r="F40" s="23" t="str">
        <f aca="false">IF($A40&gt;$B$5,"",IFERROR(INDEX(Inventory!$N$4:$N$503,MATCH($A40,Inventory!$R$4:$R$503,0)),""))</f>
        <v/>
      </c>
      <c r="G40" s="52" t="str">
        <f aca="false">IF($A40&gt;$B$5,"",IFERROR(INDEX(Inventory!$L$4:$L$503,MATCH($A40,Inventory!$R$4:$R$503,0)),""))</f>
        <v/>
      </c>
      <c r="H40" s="25" t="str">
        <f aca="false">IF($A40&gt;$B$5,"",IFERROR(INDEX(Inventory!$P$4:$P$503,MATCH($A40,Inventory!$R$4:$R$503,0)),""))</f>
        <v/>
      </c>
      <c r="I40" s="24" t="str">
        <f aca="false">IF($A40&gt;$B$5,"",IFERROR(INDEX(Inventory!$M$4:$M$503,MATCH($A40,Inventory!$R$4:$R$503,0)),""))</f>
        <v/>
      </c>
      <c r="J40" s="24" t="str">
        <f aca="false">IF($A40&gt;$B$5,"",IFERROR(INDEX(Inventory!$J$4:$J$503,MATCH($A40,Inventory!$R$4:$R$503,0)),""))</f>
        <v/>
      </c>
      <c r="K40" s="24" t="str">
        <f aca="false">IF(I40="","",ROUND(I40*0.85,2))</f>
        <v/>
      </c>
    </row>
    <row r="41" customFormat="false" ht="15" hidden="false" customHeight="false" outlineLevel="0" collapsed="false">
      <c r="A41" s="53" t="n">
        <v>32</v>
      </c>
      <c r="B41" s="40" t="str">
        <f aca="false">IF($A41&gt;$B$5,"",IFERROR(INDEX(Inventory!$A$4:$A$503,MATCH($A41,Inventory!$R$4:$R$503,0)),""))</f>
        <v/>
      </c>
      <c r="C41" s="40" t="str">
        <f aca="false">IF($A41&gt;$B$5,"",IFERROR(INDEX(Inventory!$D$4:$D$503,MATCH($A41,Inventory!$R$4:$R$503,0)),""))</f>
        <v/>
      </c>
      <c r="D41" s="40" t="str">
        <f aca="false">IF($A41&gt;$B$5,"",IFERROR(INDEX(Inventory!$E$4:$E$503,MATCH($A41,Inventory!$R$4:$R$503,0)),""))</f>
        <v/>
      </c>
      <c r="E41" s="40" t="str">
        <f aca="false">IF($A41&gt;$B$5,"",IFERROR(INDEX(Inventory!$F$4:$F$503,MATCH($A41,Inventory!$R$4:$R$503,0)),""))</f>
        <v/>
      </c>
      <c r="F41" s="40" t="str">
        <f aca="false">IF($A41&gt;$B$5,"",IFERROR(INDEX(Inventory!$N$4:$N$503,MATCH($A41,Inventory!$R$4:$R$503,0)),""))</f>
        <v/>
      </c>
      <c r="G41" s="54" t="str">
        <f aca="false">IF($A41&gt;$B$5,"",IFERROR(INDEX(Inventory!$L$4:$L$503,MATCH($A41,Inventory!$R$4:$R$503,0)),""))</f>
        <v/>
      </c>
      <c r="H41" s="41" t="str">
        <f aca="false">IF($A41&gt;$B$5,"",IFERROR(INDEX(Inventory!$P$4:$P$503,MATCH($A41,Inventory!$R$4:$R$503,0)),""))</f>
        <v/>
      </c>
      <c r="I41" s="42" t="str">
        <f aca="false">IF($A41&gt;$B$5,"",IFERROR(INDEX(Inventory!$M$4:$M$503,MATCH($A41,Inventory!$R$4:$R$503,0)),""))</f>
        <v/>
      </c>
      <c r="J41" s="42" t="str">
        <f aca="false">IF($A41&gt;$B$5,"",IFERROR(INDEX(Inventory!$J$4:$J$503,MATCH($A41,Inventory!$R$4:$R$503,0)),""))</f>
        <v/>
      </c>
      <c r="K41" s="42" t="str">
        <f aca="false">IF(I41="","",ROUND(I41*0.85,2))</f>
        <v/>
      </c>
    </row>
    <row r="42" customFormat="false" ht="15" hidden="false" customHeight="false" outlineLevel="0" collapsed="false">
      <c r="A42" s="51" t="n">
        <v>33</v>
      </c>
      <c r="B42" s="23" t="str">
        <f aca="false">IF($A42&gt;$B$5,"",IFERROR(INDEX(Inventory!$A$4:$A$503,MATCH($A42,Inventory!$R$4:$R$503,0)),""))</f>
        <v/>
      </c>
      <c r="C42" s="23" t="str">
        <f aca="false">IF($A42&gt;$B$5,"",IFERROR(INDEX(Inventory!$D$4:$D$503,MATCH($A42,Inventory!$R$4:$R$503,0)),""))</f>
        <v/>
      </c>
      <c r="D42" s="23" t="str">
        <f aca="false">IF($A42&gt;$B$5,"",IFERROR(INDEX(Inventory!$E$4:$E$503,MATCH($A42,Inventory!$R$4:$R$503,0)),""))</f>
        <v/>
      </c>
      <c r="E42" s="23" t="str">
        <f aca="false">IF($A42&gt;$B$5,"",IFERROR(INDEX(Inventory!$F$4:$F$503,MATCH($A42,Inventory!$R$4:$R$503,0)),""))</f>
        <v/>
      </c>
      <c r="F42" s="23" t="str">
        <f aca="false">IF($A42&gt;$B$5,"",IFERROR(INDEX(Inventory!$N$4:$N$503,MATCH($A42,Inventory!$R$4:$R$503,0)),""))</f>
        <v/>
      </c>
      <c r="G42" s="52" t="str">
        <f aca="false">IF($A42&gt;$B$5,"",IFERROR(INDEX(Inventory!$L$4:$L$503,MATCH($A42,Inventory!$R$4:$R$503,0)),""))</f>
        <v/>
      </c>
      <c r="H42" s="25" t="str">
        <f aca="false">IF($A42&gt;$B$5,"",IFERROR(INDEX(Inventory!$P$4:$P$503,MATCH($A42,Inventory!$R$4:$R$503,0)),""))</f>
        <v/>
      </c>
      <c r="I42" s="24" t="str">
        <f aca="false">IF($A42&gt;$B$5,"",IFERROR(INDEX(Inventory!$M$4:$M$503,MATCH($A42,Inventory!$R$4:$R$503,0)),""))</f>
        <v/>
      </c>
      <c r="J42" s="24" t="str">
        <f aca="false">IF($A42&gt;$B$5,"",IFERROR(INDEX(Inventory!$J$4:$J$503,MATCH($A42,Inventory!$R$4:$R$503,0)),""))</f>
        <v/>
      </c>
      <c r="K42" s="24" t="str">
        <f aca="false">IF(I42="","",ROUND(I42*0.85,2))</f>
        <v/>
      </c>
    </row>
    <row r="43" customFormat="false" ht="15" hidden="false" customHeight="false" outlineLevel="0" collapsed="false">
      <c r="A43" s="53" t="n">
        <v>34</v>
      </c>
      <c r="B43" s="40" t="str">
        <f aca="false">IF($A43&gt;$B$5,"",IFERROR(INDEX(Inventory!$A$4:$A$503,MATCH($A43,Inventory!$R$4:$R$503,0)),""))</f>
        <v/>
      </c>
      <c r="C43" s="40" t="str">
        <f aca="false">IF($A43&gt;$B$5,"",IFERROR(INDEX(Inventory!$D$4:$D$503,MATCH($A43,Inventory!$R$4:$R$503,0)),""))</f>
        <v/>
      </c>
      <c r="D43" s="40" t="str">
        <f aca="false">IF($A43&gt;$B$5,"",IFERROR(INDEX(Inventory!$E$4:$E$503,MATCH($A43,Inventory!$R$4:$R$503,0)),""))</f>
        <v/>
      </c>
      <c r="E43" s="40" t="str">
        <f aca="false">IF($A43&gt;$B$5,"",IFERROR(INDEX(Inventory!$F$4:$F$503,MATCH($A43,Inventory!$R$4:$R$503,0)),""))</f>
        <v/>
      </c>
      <c r="F43" s="40" t="str">
        <f aca="false">IF($A43&gt;$B$5,"",IFERROR(INDEX(Inventory!$N$4:$N$503,MATCH($A43,Inventory!$R$4:$R$503,0)),""))</f>
        <v/>
      </c>
      <c r="G43" s="54" t="str">
        <f aca="false">IF($A43&gt;$B$5,"",IFERROR(INDEX(Inventory!$L$4:$L$503,MATCH($A43,Inventory!$R$4:$R$503,0)),""))</f>
        <v/>
      </c>
      <c r="H43" s="41" t="str">
        <f aca="false">IF($A43&gt;$B$5,"",IFERROR(INDEX(Inventory!$P$4:$P$503,MATCH($A43,Inventory!$R$4:$R$503,0)),""))</f>
        <v/>
      </c>
      <c r="I43" s="42" t="str">
        <f aca="false">IF($A43&gt;$B$5,"",IFERROR(INDEX(Inventory!$M$4:$M$503,MATCH($A43,Inventory!$R$4:$R$503,0)),""))</f>
        <v/>
      </c>
      <c r="J43" s="42" t="str">
        <f aca="false">IF($A43&gt;$B$5,"",IFERROR(INDEX(Inventory!$J$4:$J$503,MATCH($A43,Inventory!$R$4:$R$503,0)),""))</f>
        <v/>
      </c>
      <c r="K43" s="42" t="str">
        <f aca="false">IF(I43="","",ROUND(I43*0.85,2))</f>
        <v/>
      </c>
    </row>
    <row r="44" customFormat="false" ht="15" hidden="false" customHeight="false" outlineLevel="0" collapsed="false">
      <c r="A44" s="51" t="n">
        <v>35</v>
      </c>
      <c r="B44" s="23" t="str">
        <f aca="false">IF($A44&gt;$B$5,"",IFERROR(INDEX(Inventory!$A$4:$A$503,MATCH($A44,Inventory!$R$4:$R$503,0)),""))</f>
        <v/>
      </c>
      <c r="C44" s="23" t="str">
        <f aca="false">IF($A44&gt;$B$5,"",IFERROR(INDEX(Inventory!$D$4:$D$503,MATCH($A44,Inventory!$R$4:$R$503,0)),""))</f>
        <v/>
      </c>
      <c r="D44" s="23" t="str">
        <f aca="false">IF($A44&gt;$B$5,"",IFERROR(INDEX(Inventory!$E$4:$E$503,MATCH($A44,Inventory!$R$4:$R$503,0)),""))</f>
        <v/>
      </c>
      <c r="E44" s="23" t="str">
        <f aca="false">IF($A44&gt;$B$5,"",IFERROR(INDEX(Inventory!$F$4:$F$503,MATCH($A44,Inventory!$R$4:$R$503,0)),""))</f>
        <v/>
      </c>
      <c r="F44" s="23" t="str">
        <f aca="false">IF($A44&gt;$B$5,"",IFERROR(INDEX(Inventory!$N$4:$N$503,MATCH($A44,Inventory!$R$4:$R$503,0)),""))</f>
        <v/>
      </c>
      <c r="G44" s="52" t="str">
        <f aca="false">IF($A44&gt;$B$5,"",IFERROR(INDEX(Inventory!$L$4:$L$503,MATCH($A44,Inventory!$R$4:$R$503,0)),""))</f>
        <v/>
      </c>
      <c r="H44" s="25" t="str">
        <f aca="false">IF($A44&gt;$B$5,"",IFERROR(INDEX(Inventory!$P$4:$P$503,MATCH($A44,Inventory!$R$4:$R$503,0)),""))</f>
        <v/>
      </c>
      <c r="I44" s="24" t="str">
        <f aca="false">IF($A44&gt;$B$5,"",IFERROR(INDEX(Inventory!$M$4:$M$503,MATCH($A44,Inventory!$R$4:$R$503,0)),""))</f>
        <v/>
      </c>
      <c r="J44" s="24" t="str">
        <f aca="false">IF($A44&gt;$B$5,"",IFERROR(INDEX(Inventory!$J$4:$J$503,MATCH($A44,Inventory!$R$4:$R$503,0)),""))</f>
        <v/>
      </c>
      <c r="K44" s="24" t="str">
        <f aca="false">IF(I44="","",ROUND(I44*0.85,2))</f>
        <v/>
      </c>
    </row>
    <row r="45" customFormat="false" ht="15" hidden="false" customHeight="false" outlineLevel="0" collapsed="false">
      <c r="A45" s="53" t="n">
        <v>36</v>
      </c>
      <c r="B45" s="40" t="str">
        <f aca="false">IF($A45&gt;$B$5,"",IFERROR(INDEX(Inventory!$A$4:$A$503,MATCH($A45,Inventory!$R$4:$R$503,0)),""))</f>
        <v/>
      </c>
      <c r="C45" s="40" t="str">
        <f aca="false">IF($A45&gt;$B$5,"",IFERROR(INDEX(Inventory!$D$4:$D$503,MATCH($A45,Inventory!$R$4:$R$503,0)),""))</f>
        <v/>
      </c>
      <c r="D45" s="40" t="str">
        <f aca="false">IF($A45&gt;$B$5,"",IFERROR(INDEX(Inventory!$E$4:$E$503,MATCH($A45,Inventory!$R$4:$R$503,0)),""))</f>
        <v/>
      </c>
      <c r="E45" s="40" t="str">
        <f aca="false">IF($A45&gt;$B$5,"",IFERROR(INDEX(Inventory!$F$4:$F$503,MATCH($A45,Inventory!$R$4:$R$503,0)),""))</f>
        <v/>
      </c>
      <c r="F45" s="40" t="str">
        <f aca="false">IF($A45&gt;$B$5,"",IFERROR(INDEX(Inventory!$N$4:$N$503,MATCH($A45,Inventory!$R$4:$R$503,0)),""))</f>
        <v/>
      </c>
      <c r="G45" s="54" t="str">
        <f aca="false">IF($A45&gt;$B$5,"",IFERROR(INDEX(Inventory!$L$4:$L$503,MATCH($A45,Inventory!$R$4:$R$503,0)),""))</f>
        <v/>
      </c>
      <c r="H45" s="41" t="str">
        <f aca="false">IF($A45&gt;$B$5,"",IFERROR(INDEX(Inventory!$P$4:$P$503,MATCH($A45,Inventory!$R$4:$R$503,0)),""))</f>
        <v/>
      </c>
      <c r="I45" s="42" t="str">
        <f aca="false">IF($A45&gt;$B$5,"",IFERROR(INDEX(Inventory!$M$4:$M$503,MATCH($A45,Inventory!$R$4:$R$503,0)),""))</f>
        <v/>
      </c>
      <c r="J45" s="42" t="str">
        <f aca="false">IF($A45&gt;$B$5,"",IFERROR(INDEX(Inventory!$J$4:$J$503,MATCH($A45,Inventory!$R$4:$R$503,0)),""))</f>
        <v/>
      </c>
      <c r="K45" s="42" t="str">
        <f aca="false">IF(I45="","",ROUND(I45*0.85,2))</f>
        <v/>
      </c>
    </row>
    <row r="46" customFormat="false" ht="15" hidden="false" customHeight="false" outlineLevel="0" collapsed="false">
      <c r="A46" s="51" t="n">
        <v>37</v>
      </c>
      <c r="B46" s="23" t="str">
        <f aca="false">IF($A46&gt;$B$5,"",IFERROR(INDEX(Inventory!$A$4:$A$503,MATCH($A46,Inventory!$R$4:$R$503,0)),""))</f>
        <v/>
      </c>
      <c r="C46" s="23" t="str">
        <f aca="false">IF($A46&gt;$B$5,"",IFERROR(INDEX(Inventory!$D$4:$D$503,MATCH($A46,Inventory!$R$4:$R$503,0)),""))</f>
        <v/>
      </c>
      <c r="D46" s="23" t="str">
        <f aca="false">IF($A46&gt;$B$5,"",IFERROR(INDEX(Inventory!$E$4:$E$503,MATCH($A46,Inventory!$R$4:$R$503,0)),""))</f>
        <v/>
      </c>
      <c r="E46" s="23" t="str">
        <f aca="false">IF($A46&gt;$B$5,"",IFERROR(INDEX(Inventory!$F$4:$F$503,MATCH($A46,Inventory!$R$4:$R$503,0)),""))</f>
        <v/>
      </c>
      <c r="F46" s="23" t="str">
        <f aca="false">IF($A46&gt;$B$5,"",IFERROR(INDEX(Inventory!$N$4:$N$503,MATCH($A46,Inventory!$R$4:$R$503,0)),""))</f>
        <v/>
      </c>
      <c r="G46" s="52" t="str">
        <f aca="false">IF($A46&gt;$B$5,"",IFERROR(INDEX(Inventory!$L$4:$L$503,MATCH($A46,Inventory!$R$4:$R$503,0)),""))</f>
        <v/>
      </c>
      <c r="H46" s="25" t="str">
        <f aca="false">IF($A46&gt;$B$5,"",IFERROR(INDEX(Inventory!$P$4:$P$503,MATCH($A46,Inventory!$R$4:$R$503,0)),""))</f>
        <v/>
      </c>
      <c r="I46" s="24" t="str">
        <f aca="false">IF($A46&gt;$B$5,"",IFERROR(INDEX(Inventory!$M$4:$M$503,MATCH($A46,Inventory!$R$4:$R$503,0)),""))</f>
        <v/>
      </c>
      <c r="J46" s="24" t="str">
        <f aca="false">IF($A46&gt;$B$5,"",IFERROR(INDEX(Inventory!$J$4:$J$503,MATCH($A46,Inventory!$R$4:$R$503,0)),""))</f>
        <v/>
      </c>
      <c r="K46" s="24" t="str">
        <f aca="false">IF(I46="","",ROUND(I46*0.85,2))</f>
        <v/>
      </c>
    </row>
    <row r="47" customFormat="false" ht="15" hidden="false" customHeight="false" outlineLevel="0" collapsed="false">
      <c r="A47" s="53" t="n">
        <v>38</v>
      </c>
      <c r="B47" s="40" t="str">
        <f aca="false">IF($A47&gt;$B$5,"",IFERROR(INDEX(Inventory!$A$4:$A$503,MATCH($A47,Inventory!$R$4:$R$503,0)),""))</f>
        <v/>
      </c>
      <c r="C47" s="40" t="str">
        <f aca="false">IF($A47&gt;$B$5,"",IFERROR(INDEX(Inventory!$D$4:$D$503,MATCH($A47,Inventory!$R$4:$R$503,0)),""))</f>
        <v/>
      </c>
      <c r="D47" s="40" t="str">
        <f aca="false">IF($A47&gt;$B$5,"",IFERROR(INDEX(Inventory!$E$4:$E$503,MATCH($A47,Inventory!$R$4:$R$503,0)),""))</f>
        <v/>
      </c>
      <c r="E47" s="40" t="str">
        <f aca="false">IF($A47&gt;$B$5,"",IFERROR(INDEX(Inventory!$F$4:$F$503,MATCH($A47,Inventory!$R$4:$R$503,0)),""))</f>
        <v/>
      </c>
      <c r="F47" s="40" t="str">
        <f aca="false">IF($A47&gt;$B$5,"",IFERROR(INDEX(Inventory!$N$4:$N$503,MATCH($A47,Inventory!$R$4:$R$503,0)),""))</f>
        <v/>
      </c>
      <c r="G47" s="54" t="str">
        <f aca="false">IF($A47&gt;$B$5,"",IFERROR(INDEX(Inventory!$L$4:$L$503,MATCH($A47,Inventory!$R$4:$R$503,0)),""))</f>
        <v/>
      </c>
      <c r="H47" s="41" t="str">
        <f aca="false">IF($A47&gt;$B$5,"",IFERROR(INDEX(Inventory!$P$4:$P$503,MATCH($A47,Inventory!$R$4:$R$503,0)),""))</f>
        <v/>
      </c>
      <c r="I47" s="42" t="str">
        <f aca="false">IF($A47&gt;$B$5,"",IFERROR(INDEX(Inventory!$M$4:$M$503,MATCH($A47,Inventory!$R$4:$R$503,0)),""))</f>
        <v/>
      </c>
      <c r="J47" s="42" t="str">
        <f aca="false">IF($A47&gt;$B$5,"",IFERROR(INDEX(Inventory!$J$4:$J$503,MATCH($A47,Inventory!$R$4:$R$503,0)),""))</f>
        <v/>
      </c>
      <c r="K47" s="42" t="str">
        <f aca="false">IF(I47="","",ROUND(I47*0.85,2))</f>
        <v/>
      </c>
    </row>
    <row r="48" customFormat="false" ht="15" hidden="false" customHeight="false" outlineLevel="0" collapsed="false">
      <c r="A48" s="51" t="n">
        <v>39</v>
      </c>
      <c r="B48" s="23" t="str">
        <f aca="false">IF($A48&gt;$B$5,"",IFERROR(INDEX(Inventory!$A$4:$A$503,MATCH($A48,Inventory!$R$4:$R$503,0)),""))</f>
        <v/>
      </c>
      <c r="C48" s="23" t="str">
        <f aca="false">IF($A48&gt;$B$5,"",IFERROR(INDEX(Inventory!$D$4:$D$503,MATCH($A48,Inventory!$R$4:$R$503,0)),""))</f>
        <v/>
      </c>
      <c r="D48" s="23" t="str">
        <f aca="false">IF($A48&gt;$B$5,"",IFERROR(INDEX(Inventory!$E$4:$E$503,MATCH($A48,Inventory!$R$4:$R$503,0)),""))</f>
        <v/>
      </c>
      <c r="E48" s="23" t="str">
        <f aca="false">IF($A48&gt;$B$5,"",IFERROR(INDEX(Inventory!$F$4:$F$503,MATCH($A48,Inventory!$R$4:$R$503,0)),""))</f>
        <v/>
      </c>
      <c r="F48" s="23" t="str">
        <f aca="false">IF($A48&gt;$B$5,"",IFERROR(INDEX(Inventory!$N$4:$N$503,MATCH($A48,Inventory!$R$4:$R$503,0)),""))</f>
        <v/>
      </c>
      <c r="G48" s="52" t="str">
        <f aca="false">IF($A48&gt;$B$5,"",IFERROR(INDEX(Inventory!$L$4:$L$503,MATCH($A48,Inventory!$R$4:$R$503,0)),""))</f>
        <v/>
      </c>
      <c r="H48" s="25" t="str">
        <f aca="false">IF($A48&gt;$B$5,"",IFERROR(INDEX(Inventory!$P$4:$P$503,MATCH($A48,Inventory!$R$4:$R$503,0)),""))</f>
        <v/>
      </c>
      <c r="I48" s="24" t="str">
        <f aca="false">IF($A48&gt;$B$5,"",IFERROR(INDEX(Inventory!$M$4:$M$503,MATCH($A48,Inventory!$R$4:$R$503,0)),""))</f>
        <v/>
      </c>
      <c r="J48" s="24" t="str">
        <f aca="false">IF($A48&gt;$B$5,"",IFERROR(INDEX(Inventory!$J$4:$J$503,MATCH($A48,Inventory!$R$4:$R$503,0)),""))</f>
        <v/>
      </c>
      <c r="K48" s="24" t="str">
        <f aca="false">IF(I48="","",ROUND(I48*0.85,2))</f>
        <v/>
      </c>
    </row>
    <row r="49" customFormat="false" ht="15" hidden="false" customHeight="false" outlineLevel="0" collapsed="false">
      <c r="A49" s="53" t="n">
        <v>40</v>
      </c>
      <c r="B49" s="40" t="str">
        <f aca="false">IF($A49&gt;$B$5,"",IFERROR(INDEX(Inventory!$A$4:$A$503,MATCH($A49,Inventory!$R$4:$R$503,0)),""))</f>
        <v/>
      </c>
      <c r="C49" s="40" t="str">
        <f aca="false">IF($A49&gt;$B$5,"",IFERROR(INDEX(Inventory!$D$4:$D$503,MATCH($A49,Inventory!$R$4:$R$503,0)),""))</f>
        <v/>
      </c>
      <c r="D49" s="40" t="str">
        <f aca="false">IF($A49&gt;$B$5,"",IFERROR(INDEX(Inventory!$E$4:$E$503,MATCH($A49,Inventory!$R$4:$R$503,0)),""))</f>
        <v/>
      </c>
      <c r="E49" s="40" t="str">
        <f aca="false">IF($A49&gt;$B$5,"",IFERROR(INDEX(Inventory!$F$4:$F$503,MATCH($A49,Inventory!$R$4:$R$503,0)),""))</f>
        <v/>
      </c>
      <c r="F49" s="40" t="str">
        <f aca="false">IF($A49&gt;$B$5,"",IFERROR(INDEX(Inventory!$N$4:$N$503,MATCH($A49,Inventory!$R$4:$R$503,0)),""))</f>
        <v/>
      </c>
      <c r="G49" s="54" t="str">
        <f aca="false">IF($A49&gt;$B$5,"",IFERROR(INDEX(Inventory!$L$4:$L$503,MATCH($A49,Inventory!$R$4:$R$503,0)),""))</f>
        <v/>
      </c>
      <c r="H49" s="41" t="str">
        <f aca="false">IF($A49&gt;$B$5,"",IFERROR(INDEX(Inventory!$P$4:$P$503,MATCH($A49,Inventory!$R$4:$R$503,0)),""))</f>
        <v/>
      </c>
      <c r="I49" s="42" t="str">
        <f aca="false">IF($A49&gt;$B$5,"",IFERROR(INDEX(Inventory!$M$4:$M$503,MATCH($A49,Inventory!$R$4:$R$503,0)),""))</f>
        <v/>
      </c>
      <c r="J49" s="42" t="str">
        <f aca="false">IF($A49&gt;$B$5,"",IFERROR(INDEX(Inventory!$J$4:$J$503,MATCH($A49,Inventory!$R$4:$R$503,0)),""))</f>
        <v/>
      </c>
      <c r="K49" s="42" t="str">
        <f aca="false">IF(I49="","",ROUND(I49*0.85,2))</f>
        <v/>
      </c>
    </row>
    <row r="50" customFormat="false" ht="15" hidden="false" customHeight="false" outlineLevel="0" collapsed="false">
      <c r="A50" s="51" t="n">
        <v>41</v>
      </c>
      <c r="B50" s="23" t="str">
        <f aca="false">IF($A50&gt;$B$5,"",IFERROR(INDEX(Inventory!$A$4:$A$503,MATCH($A50,Inventory!$R$4:$R$503,0)),""))</f>
        <v/>
      </c>
      <c r="C50" s="23" t="str">
        <f aca="false">IF($A50&gt;$B$5,"",IFERROR(INDEX(Inventory!$D$4:$D$503,MATCH($A50,Inventory!$R$4:$R$503,0)),""))</f>
        <v/>
      </c>
      <c r="D50" s="23" t="str">
        <f aca="false">IF($A50&gt;$B$5,"",IFERROR(INDEX(Inventory!$E$4:$E$503,MATCH($A50,Inventory!$R$4:$R$503,0)),""))</f>
        <v/>
      </c>
      <c r="E50" s="23" t="str">
        <f aca="false">IF($A50&gt;$B$5,"",IFERROR(INDEX(Inventory!$F$4:$F$503,MATCH($A50,Inventory!$R$4:$R$503,0)),""))</f>
        <v/>
      </c>
      <c r="F50" s="23" t="str">
        <f aca="false">IF($A50&gt;$B$5,"",IFERROR(INDEX(Inventory!$N$4:$N$503,MATCH($A50,Inventory!$R$4:$R$503,0)),""))</f>
        <v/>
      </c>
      <c r="G50" s="52" t="str">
        <f aca="false">IF($A50&gt;$B$5,"",IFERROR(INDEX(Inventory!$L$4:$L$503,MATCH($A50,Inventory!$R$4:$R$503,0)),""))</f>
        <v/>
      </c>
      <c r="H50" s="25" t="str">
        <f aca="false">IF($A50&gt;$B$5,"",IFERROR(INDEX(Inventory!$P$4:$P$503,MATCH($A50,Inventory!$R$4:$R$503,0)),""))</f>
        <v/>
      </c>
      <c r="I50" s="24" t="str">
        <f aca="false">IF($A50&gt;$B$5,"",IFERROR(INDEX(Inventory!$M$4:$M$503,MATCH($A50,Inventory!$R$4:$R$503,0)),""))</f>
        <v/>
      </c>
      <c r="J50" s="24" t="str">
        <f aca="false">IF($A50&gt;$B$5,"",IFERROR(INDEX(Inventory!$J$4:$J$503,MATCH($A50,Inventory!$R$4:$R$503,0)),""))</f>
        <v/>
      </c>
      <c r="K50" s="24" t="str">
        <f aca="false">IF(I50="","",ROUND(I50*0.85,2))</f>
        <v/>
      </c>
    </row>
    <row r="51" customFormat="false" ht="15" hidden="false" customHeight="false" outlineLevel="0" collapsed="false">
      <c r="A51" s="53" t="n">
        <v>42</v>
      </c>
      <c r="B51" s="40" t="str">
        <f aca="false">IF($A51&gt;$B$5,"",IFERROR(INDEX(Inventory!$A$4:$A$503,MATCH($A51,Inventory!$R$4:$R$503,0)),""))</f>
        <v/>
      </c>
      <c r="C51" s="40" t="str">
        <f aca="false">IF($A51&gt;$B$5,"",IFERROR(INDEX(Inventory!$D$4:$D$503,MATCH($A51,Inventory!$R$4:$R$503,0)),""))</f>
        <v/>
      </c>
      <c r="D51" s="40" t="str">
        <f aca="false">IF($A51&gt;$B$5,"",IFERROR(INDEX(Inventory!$E$4:$E$503,MATCH($A51,Inventory!$R$4:$R$503,0)),""))</f>
        <v/>
      </c>
      <c r="E51" s="40" t="str">
        <f aca="false">IF($A51&gt;$B$5,"",IFERROR(INDEX(Inventory!$F$4:$F$503,MATCH($A51,Inventory!$R$4:$R$503,0)),""))</f>
        <v/>
      </c>
      <c r="F51" s="40" t="str">
        <f aca="false">IF($A51&gt;$B$5,"",IFERROR(INDEX(Inventory!$N$4:$N$503,MATCH($A51,Inventory!$R$4:$R$503,0)),""))</f>
        <v/>
      </c>
      <c r="G51" s="54" t="str">
        <f aca="false">IF($A51&gt;$B$5,"",IFERROR(INDEX(Inventory!$L$4:$L$503,MATCH($A51,Inventory!$R$4:$R$503,0)),""))</f>
        <v/>
      </c>
      <c r="H51" s="41" t="str">
        <f aca="false">IF($A51&gt;$B$5,"",IFERROR(INDEX(Inventory!$P$4:$P$503,MATCH($A51,Inventory!$R$4:$R$503,0)),""))</f>
        <v/>
      </c>
      <c r="I51" s="42" t="str">
        <f aca="false">IF($A51&gt;$B$5,"",IFERROR(INDEX(Inventory!$M$4:$M$503,MATCH($A51,Inventory!$R$4:$R$503,0)),""))</f>
        <v/>
      </c>
      <c r="J51" s="42" t="str">
        <f aca="false">IF($A51&gt;$B$5,"",IFERROR(INDEX(Inventory!$J$4:$J$503,MATCH($A51,Inventory!$R$4:$R$503,0)),""))</f>
        <v/>
      </c>
      <c r="K51" s="42" t="str">
        <f aca="false">IF(I51="","",ROUND(I51*0.85,2))</f>
        <v/>
      </c>
    </row>
    <row r="52" customFormat="false" ht="15" hidden="false" customHeight="false" outlineLevel="0" collapsed="false">
      <c r="A52" s="51" t="n">
        <v>43</v>
      </c>
      <c r="B52" s="23" t="str">
        <f aca="false">IF($A52&gt;$B$5,"",IFERROR(INDEX(Inventory!$A$4:$A$503,MATCH($A52,Inventory!$R$4:$R$503,0)),""))</f>
        <v/>
      </c>
      <c r="C52" s="23" t="str">
        <f aca="false">IF($A52&gt;$B$5,"",IFERROR(INDEX(Inventory!$D$4:$D$503,MATCH($A52,Inventory!$R$4:$R$503,0)),""))</f>
        <v/>
      </c>
      <c r="D52" s="23" t="str">
        <f aca="false">IF($A52&gt;$B$5,"",IFERROR(INDEX(Inventory!$E$4:$E$503,MATCH($A52,Inventory!$R$4:$R$503,0)),""))</f>
        <v/>
      </c>
      <c r="E52" s="23" t="str">
        <f aca="false">IF($A52&gt;$B$5,"",IFERROR(INDEX(Inventory!$F$4:$F$503,MATCH($A52,Inventory!$R$4:$R$503,0)),""))</f>
        <v/>
      </c>
      <c r="F52" s="23" t="str">
        <f aca="false">IF($A52&gt;$B$5,"",IFERROR(INDEX(Inventory!$N$4:$N$503,MATCH($A52,Inventory!$R$4:$R$503,0)),""))</f>
        <v/>
      </c>
      <c r="G52" s="52" t="str">
        <f aca="false">IF($A52&gt;$B$5,"",IFERROR(INDEX(Inventory!$L$4:$L$503,MATCH($A52,Inventory!$R$4:$R$503,0)),""))</f>
        <v/>
      </c>
      <c r="H52" s="25" t="str">
        <f aca="false">IF($A52&gt;$B$5,"",IFERROR(INDEX(Inventory!$P$4:$P$503,MATCH($A52,Inventory!$R$4:$R$503,0)),""))</f>
        <v/>
      </c>
      <c r="I52" s="24" t="str">
        <f aca="false">IF($A52&gt;$B$5,"",IFERROR(INDEX(Inventory!$M$4:$M$503,MATCH($A52,Inventory!$R$4:$R$503,0)),""))</f>
        <v/>
      </c>
      <c r="J52" s="24" t="str">
        <f aca="false">IF($A52&gt;$B$5,"",IFERROR(INDEX(Inventory!$J$4:$J$503,MATCH($A52,Inventory!$R$4:$R$503,0)),""))</f>
        <v/>
      </c>
      <c r="K52" s="24" t="str">
        <f aca="false">IF(I52="","",ROUND(I52*0.85,2))</f>
        <v/>
      </c>
    </row>
    <row r="53" customFormat="false" ht="15" hidden="false" customHeight="false" outlineLevel="0" collapsed="false">
      <c r="A53" s="53" t="n">
        <v>44</v>
      </c>
      <c r="B53" s="40" t="str">
        <f aca="false">IF($A53&gt;$B$5,"",IFERROR(INDEX(Inventory!$A$4:$A$503,MATCH($A53,Inventory!$R$4:$R$503,0)),""))</f>
        <v/>
      </c>
      <c r="C53" s="40" t="str">
        <f aca="false">IF($A53&gt;$B$5,"",IFERROR(INDEX(Inventory!$D$4:$D$503,MATCH($A53,Inventory!$R$4:$R$503,0)),""))</f>
        <v/>
      </c>
      <c r="D53" s="40" t="str">
        <f aca="false">IF($A53&gt;$B$5,"",IFERROR(INDEX(Inventory!$E$4:$E$503,MATCH($A53,Inventory!$R$4:$R$503,0)),""))</f>
        <v/>
      </c>
      <c r="E53" s="40" t="str">
        <f aca="false">IF($A53&gt;$B$5,"",IFERROR(INDEX(Inventory!$F$4:$F$503,MATCH($A53,Inventory!$R$4:$R$503,0)),""))</f>
        <v/>
      </c>
      <c r="F53" s="40" t="str">
        <f aca="false">IF($A53&gt;$B$5,"",IFERROR(INDEX(Inventory!$N$4:$N$503,MATCH($A53,Inventory!$R$4:$R$503,0)),""))</f>
        <v/>
      </c>
      <c r="G53" s="54" t="str">
        <f aca="false">IF($A53&gt;$B$5,"",IFERROR(INDEX(Inventory!$L$4:$L$503,MATCH($A53,Inventory!$R$4:$R$503,0)),""))</f>
        <v/>
      </c>
      <c r="H53" s="41" t="str">
        <f aca="false">IF($A53&gt;$B$5,"",IFERROR(INDEX(Inventory!$P$4:$P$503,MATCH($A53,Inventory!$R$4:$R$503,0)),""))</f>
        <v/>
      </c>
      <c r="I53" s="42" t="str">
        <f aca="false">IF($A53&gt;$B$5,"",IFERROR(INDEX(Inventory!$M$4:$M$503,MATCH($A53,Inventory!$R$4:$R$503,0)),""))</f>
        <v/>
      </c>
      <c r="J53" s="42" t="str">
        <f aca="false">IF($A53&gt;$B$5,"",IFERROR(INDEX(Inventory!$J$4:$J$503,MATCH($A53,Inventory!$R$4:$R$503,0)),""))</f>
        <v/>
      </c>
      <c r="K53" s="42" t="str">
        <f aca="false">IF(I53="","",ROUND(I53*0.85,2))</f>
        <v/>
      </c>
    </row>
    <row r="54" customFormat="false" ht="15" hidden="false" customHeight="false" outlineLevel="0" collapsed="false">
      <c r="A54" s="51" t="n">
        <v>45</v>
      </c>
      <c r="B54" s="23" t="str">
        <f aca="false">IF($A54&gt;$B$5,"",IFERROR(INDEX(Inventory!$A$4:$A$503,MATCH($A54,Inventory!$R$4:$R$503,0)),""))</f>
        <v/>
      </c>
      <c r="C54" s="23" t="str">
        <f aca="false">IF($A54&gt;$B$5,"",IFERROR(INDEX(Inventory!$D$4:$D$503,MATCH($A54,Inventory!$R$4:$R$503,0)),""))</f>
        <v/>
      </c>
      <c r="D54" s="23" t="str">
        <f aca="false">IF($A54&gt;$B$5,"",IFERROR(INDEX(Inventory!$E$4:$E$503,MATCH($A54,Inventory!$R$4:$R$503,0)),""))</f>
        <v/>
      </c>
      <c r="E54" s="23" t="str">
        <f aca="false">IF($A54&gt;$B$5,"",IFERROR(INDEX(Inventory!$F$4:$F$503,MATCH($A54,Inventory!$R$4:$R$503,0)),""))</f>
        <v/>
      </c>
      <c r="F54" s="23" t="str">
        <f aca="false">IF($A54&gt;$B$5,"",IFERROR(INDEX(Inventory!$N$4:$N$503,MATCH($A54,Inventory!$R$4:$R$503,0)),""))</f>
        <v/>
      </c>
      <c r="G54" s="52" t="str">
        <f aca="false">IF($A54&gt;$B$5,"",IFERROR(INDEX(Inventory!$L$4:$L$503,MATCH($A54,Inventory!$R$4:$R$503,0)),""))</f>
        <v/>
      </c>
      <c r="H54" s="25" t="str">
        <f aca="false">IF($A54&gt;$B$5,"",IFERROR(INDEX(Inventory!$P$4:$P$503,MATCH($A54,Inventory!$R$4:$R$503,0)),""))</f>
        <v/>
      </c>
      <c r="I54" s="24" t="str">
        <f aca="false">IF($A54&gt;$B$5,"",IFERROR(INDEX(Inventory!$M$4:$M$503,MATCH($A54,Inventory!$R$4:$R$503,0)),""))</f>
        <v/>
      </c>
      <c r="J54" s="24" t="str">
        <f aca="false">IF($A54&gt;$B$5,"",IFERROR(INDEX(Inventory!$J$4:$J$503,MATCH($A54,Inventory!$R$4:$R$503,0)),""))</f>
        <v/>
      </c>
      <c r="K54" s="24" t="str">
        <f aca="false">IF(I54="","",ROUND(I54*0.85,2))</f>
        <v/>
      </c>
    </row>
    <row r="55" customFormat="false" ht="15" hidden="false" customHeight="false" outlineLevel="0" collapsed="false">
      <c r="A55" s="53" t="n">
        <v>46</v>
      </c>
      <c r="B55" s="40" t="str">
        <f aca="false">IF($A55&gt;$B$5,"",IFERROR(INDEX(Inventory!$A$4:$A$503,MATCH($A55,Inventory!$R$4:$R$503,0)),""))</f>
        <v/>
      </c>
      <c r="C55" s="40" t="str">
        <f aca="false">IF($A55&gt;$B$5,"",IFERROR(INDEX(Inventory!$D$4:$D$503,MATCH($A55,Inventory!$R$4:$R$503,0)),""))</f>
        <v/>
      </c>
      <c r="D55" s="40" t="str">
        <f aca="false">IF($A55&gt;$B$5,"",IFERROR(INDEX(Inventory!$E$4:$E$503,MATCH($A55,Inventory!$R$4:$R$503,0)),""))</f>
        <v/>
      </c>
      <c r="E55" s="40" t="str">
        <f aca="false">IF($A55&gt;$B$5,"",IFERROR(INDEX(Inventory!$F$4:$F$503,MATCH($A55,Inventory!$R$4:$R$503,0)),""))</f>
        <v/>
      </c>
      <c r="F55" s="40" t="str">
        <f aca="false">IF($A55&gt;$B$5,"",IFERROR(INDEX(Inventory!$N$4:$N$503,MATCH($A55,Inventory!$R$4:$R$503,0)),""))</f>
        <v/>
      </c>
      <c r="G55" s="54" t="str">
        <f aca="false">IF($A55&gt;$B$5,"",IFERROR(INDEX(Inventory!$L$4:$L$503,MATCH($A55,Inventory!$R$4:$R$503,0)),""))</f>
        <v/>
      </c>
      <c r="H55" s="41" t="str">
        <f aca="false">IF($A55&gt;$B$5,"",IFERROR(INDEX(Inventory!$P$4:$P$503,MATCH($A55,Inventory!$R$4:$R$503,0)),""))</f>
        <v/>
      </c>
      <c r="I55" s="42" t="str">
        <f aca="false">IF($A55&gt;$B$5,"",IFERROR(INDEX(Inventory!$M$4:$M$503,MATCH($A55,Inventory!$R$4:$R$503,0)),""))</f>
        <v/>
      </c>
      <c r="J55" s="42" t="str">
        <f aca="false">IF($A55&gt;$B$5,"",IFERROR(INDEX(Inventory!$J$4:$J$503,MATCH($A55,Inventory!$R$4:$R$503,0)),""))</f>
        <v/>
      </c>
      <c r="K55" s="42" t="str">
        <f aca="false">IF(I55="","",ROUND(I55*0.85,2))</f>
        <v/>
      </c>
    </row>
    <row r="56" customFormat="false" ht="15" hidden="false" customHeight="false" outlineLevel="0" collapsed="false">
      <c r="A56" s="51" t="n">
        <v>47</v>
      </c>
      <c r="B56" s="23" t="str">
        <f aca="false">IF($A56&gt;$B$5,"",IFERROR(INDEX(Inventory!$A$4:$A$503,MATCH($A56,Inventory!$R$4:$R$503,0)),""))</f>
        <v/>
      </c>
      <c r="C56" s="23" t="str">
        <f aca="false">IF($A56&gt;$B$5,"",IFERROR(INDEX(Inventory!$D$4:$D$503,MATCH($A56,Inventory!$R$4:$R$503,0)),""))</f>
        <v/>
      </c>
      <c r="D56" s="23" t="str">
        <f aca="false">IF($A56&gt;$B$5,"",IFERROR(INDEX(Inventory!$E$4:$E$503,MATCH($A56,Inventory!$R$4:$R$503,0)),""))</f>
        <v/>
      </c>
      <c r="E56" s="23" t="str">
        <f aca="false">IF($A56&gt;$B$5,"",IFERROR(INDEX(Inventory!$F$4:$F$503,MATCH($A56,Inventory!$R$4:$R$503,0)),""))</f>
        <v/>
      </c>
      <c r="F56" s="23" t="str">
        <f aca="false">IF($A56&gt;$B$5,"",IFERROR(INDEX(Inventory!$N$4:$N$503,MATCH($A56,Inventory!$R$4:$R$503,0)),""))</f>
        <v/>
      </c>
      <c r="G56" s="52" t="str">
        <f aca="false">IF($A56&gt;$B$5,"",IFERROR(INDEX(Inventory!$L$4:$L$503,MATCH($A56,Inventory!$R$4:$R$503,0)),""))</f>
        <v/>
      </c>
      <c r="H56" s="25" t="str">
        <f aca="false">IF($A56&gt;$B$5,"",IFERROR(INDEX(Inventory!$P$4:$P$503,MATCH($A56,Inventory!$R$4:$R$503,0)),""))</f>
        <v/>
      </c>
      <c r="I56" s="24" t="str">
        <f aca="false">IF($A56&gt;$B$5,"",IFERROR(INDEX(Inventory!$M$4:$M$503,MATCH($A56,Inventory!$R$4:$R$503,0)),""))</f>
        <v/>
      </c>
      <c r="J56" s="24" t="str">
        <f aca="false">IF($A56&gt;$B$5,"",IFERROR(INDEX(Inventory!$J$4:$J$503,MATCH($A56,Inventory!$R$4:$R$503,0)),""))</f>
        <v/>
      </c>
      <c r="K56" s="24" t="str">
        <f aca="false">IF(I56="","",ROUND(I56*0.85,2))</f>
        <v/>
      </c>
    </row>
    <row r="57" customFormat="false" ht="15" hidden="false" customHeight="false" outlineLevel="0" collapsed="false">
      <c r="A57" s="53" t="n">
        <v>48</v>
      </c>
      <c r="B57" s="40" t="str">
        <f aca="false">IF($A57&gt;$B$5,"",IFERROR(INDEX(Inventory!$A$4:$A$503,MATCH($A57,Inventory!$R$4:$R$503,0)),""))</f>
        <v/>
      </c>
      <c r="C57" s="40" t="str">
        <f aca="false">IF($A57&gt;$B$5,"",IFERROR(INDEX(Inventory!$D$4:$D$503,MATCH($A57,Inventory!$R$4:$R$503,0)),""))</f>
        <v/>
      </c>
      <c r="D57" s="40" t="str">
        <f aca="false">IF($A57&gt;$B$5,"",IFERROR(INDEX(Inventory!$E$4:$E$503,MATCH($A57,Inventory!$R$4:$R$503,0)),""))</f>
        <v/>
      </c>
      <c r="E57" s="40" t="str">
        <f aca="false">IF($A57&gt;$B$5,"",IFERROR(INDEX(Inventory!$F$4:$F$503,MATCH($A57,Inventory!$R$4:$R$503,0)),""))</f>
        <v/>
      </c>
      <c r="F57" s="40" t="str">
        <f aca="false">IF($A57&gt;$B$5,"",IFERROR(INDEX(Inventory!$N$4:$N$503,MATCH($A57,Inventory!$R$4:$R$503,0)),""))</f>
        <v/>
      </c>
      <c r="G57" s="54" t="str">
        <f aca="false">IF($A57&gt;$B$5,"",IFERROR(INDEX(Inventory!$L$4:$L$503,MATCH($A57,Inventory!$R$4:$R$503,0)),""))</f>
        <v/>
      </c>
      <c r="H57" s="41" t="str">
        <f aca="false">IF($A57&gt;$B$5,"",IFERROR(INDEX(Inventory!$P$4:$P$503,MATCH($A57,Inventory!$R$4:$R$503,0)),""))</f>
        <v/>
      </c>
      <c r="I57" s="42" t="str">
        <f aca="false">IF($A57&gt;$B$5,"",IFERROR(INDEX(Inventory!$M$4:$M$503,MATCH($A57,Inventory!$R$4:$R$503,0)),""))</f>
        <v/>
      </c>
      <c r="J57" s="42" t="str">
        <f aca="false">IF($A57&gt;$B$5,"",IFERROR(INDEX(Inventory!$J$4:$J$503,MATCH($A57,Inventory!$R$4:$R$503,0)),""))</f>
        <v/>
      </c>
      <c r="K57" s="42" t="str">
        <f aca="false">IF(I57="","",ROUND(I57*0.85,2))</f>
        <v/>
      </c>
    </row>
    <row r="58" customFormat="false" ht="15" hidden="false" customHeight="false" outlineLevel="0" collapsed="false">
      <c r="A58" s="51" t="n">
        <v>49</v>
      </c>
      <c r="B58" s="23" t="str">
        <f aca="false">IF($A58&gt;$B$5,"",IFERROR(INDEX(Inventory!$A$4:$A$503,MATCH($A58,Inventory!$R$4:$R$503,0)),""))</f>
        <v/>
      </c>
      <c r="C58" s="23" t="str">
        <f aca="false">IF($A58&gt;$B$5,"",IFERROR(INDEX(Inventory!$D$4:$D$503,MATCH($A58,Inventory!$R$4:$R$503,0)),""))</f>
        <v/>
      </c>
      <c r="D58" s="23" t="str">
        <f aca="false">IF($A58&gt;$B$5,"",IFERROR(INDEX(Inventory!$E$4:$E$503,MATCH($A58,Inventory!$R$4:$R$503,0)),""))</f>
        <v/>
      </c>
      <c r="E58" s="23" t="str">
        <f aca="false">IF($A58&gt;$B$5,"",IFERROR(INDEX(Inventory!$F$4:$F$503,MATCH($A58,Inventory!$R$4:$R$503,0)),""))</f>
        <v/>
      </c>
      <c r="F58" s="23" t="str">
        <f aca="false">IF($A58&gt;$B$5,"",IFERROR(INDEX(Inventory!$N$4:$N$503,MATCH($A58,Inventory!$R$4:$R$503,0)),""))</f>
        <v/>
      </c>
      <c r="G58" s="52" t="str">
        <f aca="false">IF($A58&gt;$B$5,"",IFERROR(INDEX(Inventory!$L$4:$L$503,MATCH($A58,Inventory!$R$4:$R$503,0)),""))</f>
        <v/>
      </c>
      <c r="H58" s="25" t="str">
        <f aca="false">IF($A58&gt;$B$5,"",IFERROR(INDEX(Inventory!$P$4:$P$503,MATCH($A58,Inventory!$R$4:$R$503,0)),""))</f>
        <v/>
      </c>
      <c r="I58" s="24" t="str">
        <f aca="false">IF($A58&gt;$B$5,"",IFERROR(INDEX(Inventory!$M$4:$M$503,MATCH($A58,Inventory!$R$4:$R$503,0)),""))</f>
        <v/>
      </c>
      <c r="J58" s="24" t="str">
        <f aca="false">IF($A58&gt;$B$5,"",IFERROR(INDEX(Inventory!$J$4:$J$503,MATCH($A58,Inventory!$R$4:$R$503,0)),""))</f>
        <v/>
      </c>
      <c r="K58" s="24" t="str">
        <f aca="false">IF(I58="","",ROUND(I58*0.85,2))</f>
        <v/>
      </c>
    </row>
    <row r="59" customFormat="false" ht="15" hidden="false" customHeight="false" outlineLevel="0" collapsed="false">
      <c r="A59" s="53" t="n">
        <v>50</v>
      </c>
      <c r="B59" s="40" t="str">
        <f aca="false">IF($A59&gt;$B$5,"",IFERROR(INDEX(Inventory!$A$4:$A$503,MATCH($A59,Inventory!$R$4:$R$503,0)),""))</f>
        <v/>
      </c>
      <c r="C59" s="40" t="str">
        <f aca="false">IF($A59&gt;$B$5,"",IFERROR(INDEX(Inventory!$D$4:$D$503,MATCH($A59,Inventory!$R$4:$R$503,0)),""))</f>
        <v/>
      </c>
      <c r="D59" s="40" t="str">
        <f aca="false">IF($A59&gt;$B$5,"",IFERROR(INDEX(Inventory!$E$4:$E$503,MATCH($A59,Inventory!$R$4:$R$503,0)),""))</f>
        <v/>
      </c>
      <c r="E59" s="40" t="str">
        <f aca="false">IF($A59&gt;$B$5,"",IFERROR(INDEX(Inventory!$F$4:$F$503,MATCH($A59,Inventory!$R$4:$R$503,0)),""))</f>
        <v/>
      </c>
      <c r="F59" s="40" t="str">
        <f aca="false">IF($A59&gt;$B$5,"",IFERROR(INDEX(Inventory!$N$4:$N$503,MATCH($A59,Inventory!$R$4:$R$503,0)),""))</f>
        <v/>
      </c>
      <c r="G59" s="54" t="str">
        <f aca="false">IF($A59&gt;$B$5,"",IFERROR(INDEX(Inventory!$L$4:$L$503,MATCH($A59,Inventory!$R$4:$R$503,0)),""))</f>
        <v/>
      </c>
      <c r="H59" s="41" t="str">
        <f aca="false">IF($A59&gt;$B$5,"",IFERROR(INDEX(Inventory!$P$4:$P$503,MATCH($A59,Inventory!$R$4:$R$503,0)),""))</f>
        <v/>
      </c>
      <c r="I59" s="42" t="str">
        <f aca="false">IF($A59&gt;$B$5,"",IFERROR(INDEX(Inventory!$M$4:$M$503,MATCH($A59,Inventory!$R$4:$R$503,0)),""))</f>
        <v/>
      </c>
      <c r="J59" s="42" t="str">
        <f aca="false">IF($A59&gt;$B$5,"",IFERROR(INDEX(Inventory!$J$4:$J$503,MATCH($A59,Inventory!$R$4:$R$503,0)),""))</f>
        <v/>
      </c>
      <c r="K59" s="42" t="str">
        <f aca="false">IF(I59="","",ROUND(I59*0.85,2))</f>
        <v/>
      </c>
    </row>
    <row r="61" customFormat="false" ht="15" hidden="false" customHeight="false" outlineLevel="0" collapsed="false">
      <c r="A61" s="2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5" min="4" style="0" width="40"/>
  </cols>
  <sheetData>
    <row r="1" customFormat="false" ht="19.7" hidden="false" customHeight="false" outlineLevel="0" collapsed="false">
      <c r="A1" s="1" t="s">
        <v>228</v>
      </c>
    </row>
    <row r="2" customFormat="false" ht="15" hidden="false" customHeight="false" outlineLevel="0" collapsed="false">
      <c r="A2" s="2" t="s">
        <v>229</v>
      </c>
    </row>
    <row r="3" customFormat="false" ht="30" hidden="false" customHeight="true" outlineLevel="0" collapsed="false">
      <c r="A3" s="9" t="s">
        <v>230</v>
      </c>
      <c r="B3" s="9" t="s">
        <v>231</v>
      </c>
      <c r="C3" s="9" t="s">
        <v>182</v>
      </c>
      <c r="D3" s="9" t="s">
        <v>232</v>
      </c>
      <c r="E3" s="9" t="s">
        <v>121</v>
      </c>
    </row>
    <row r="4" customFormat="false" ht="15" hidden="false" customHeight="false" outlineLevel="0" collapsed="false">
      <c r="A4" s="55" t="s">
        <v>233</v>
      </c>
      <c r="B4" s="56"/>
      <c r="C4" s="56"/>
      <c r="D4" s="56"/>
      <c r="E4" s="56"/>
    </row>
    <row r="5" customFormat="false" ht="15" hidden="false" customHeight="false" outlineLevel="0" collapsed="false">
      <c r="A5" s="23" t="s">
        <v>3</v>
      </c>
      <c r="B5" s="23" t="s">
        <v>234</v>
      </c>
      <c r="C5" s="24" t="n">
        <f aca="false">SUMIFS(Sales!$E$4:$E$503,Sales!$A$4:$A$503,"&gt;="&amp;Settings!$B$15,Sales!$A$4:$A$503,"&lt;"&amp;EDATE(Settings!$B$15,12))</f>
        <v>321</v>
      </c>
      <c r="D5" s="14" t="s">
        <v>235</v>
      </c>
      <c r="E5" s="57" t="s">
        <v>236</v>
      </c>
    </row>
    <row r="6" customFormat="false" ht="15" hidden="false" customHeight="false" outlineLevel="0" collapsed="false">
      <c r="A6" s="23" t="s">
        <v>5</v>
      </c>
      <c r="B6" s="23" t="s">
        <v>237</v>
      </c>
      <c r="C6" s="24" t="n">
        <f aca="false">SUMIFS(Sales!$F$4:$F$503,Sales!$A$4:$A$503,"&gt;="&amp;Settings!$B$15,Sales!$A$4:$A$503,"&lt;"&amp;EDATE(Settings!$B$15,12))</f>
        <v>20.99</v>
      </c>
      <c r="D6" s="14" t="s">
        <v>235</v>
      </c>
      <c r="E6" s="57" t="s">
        <v>238</v>
      </c>
    </row>
    <row r="7" customFormat="false" ht="15" hidden="false" customHeight="false" outlineLevel="0" collapsed="false">
      <c r="A7" s="17" t="s">
        <v>7</v>
      </c>
      <c r="B7" s="17" t="s">
        <v>239</v>
      </c>
      <c r="C7" s="58" t="n">
        <f aca="false">C5+C6</f>
        <v>341.99</v>
      </c>
      <c r="D7" s="14" t="s">
        <v>240</v>
      </c>
      <c r="E7" s="57" t="s">
        <v>241</v>
      </c>
    </row>
    <row r="8" customFormat="false" ht="15" hidden="false" customHeight="false" outlineLevel="0" collapsed="false">
      <c r="A8" s="23" t="s">
        <v>9</v>
      </c>
      <c r="B8" s="23" t="s">
        <v>242</v>
      </c>
      <c r="C8" s="24" t="n">
        <f aca="false">SUMIFS(Sales!$K$4:$K$503,Sales!$A$4:$A$503,"&gt;="&amp;Settings!$B$15,Sales!$A$4:$A$503,"&lt;"&amp;EDATE(Settings!$B$15,12))</f>
        <v>107.49</v>
      </c>
      <c r="D8" s="14" t="s">
        <v>243</v>
      </c>
      <c r="E8" s="57" t="s">
        <v>244</v>
      </c>
    </row>
    <row r="9" customFormat="false" ht="15" hidden="false" customHeight="false" outlineLevel="0" collapsed="false">
      <c r="A9" s="17" t="s">
        <v>11</v>
      </c>
      <c r="B9" s="17" t="s">
        <v>245</v>
      </c>
      <c r="C9" s="58" t="n">
        <f aca="false">C7-C8</f>
        <v>234.5</v>
      </c>
      <c r="D9" s="14" t="s">
        <v>246</v>
      </c>
      <c r="E9" s="57" t="s">
        <v>247</v>
      </c>
    </row>
    <row r="10" customFormat="false" ht="15" hidden="false" customHeight="false" outlineLevel="0" collapsed="false">
      <c r="A10" s="55" t="s">
        <v>248</v>
      </c>
      <c r="B10" s="56"/>
      <c r="C10" s="56"/>
      <c r="D10" s="56"/>
      <c r="E10" s="56"/>
    </row>
    <row r="11" customFormat="false" ht="15" hidden="false" customHeight="false" outlineLevel="0" collapsed="false">
      <c r="A11" s="23" t="s">
        <v>157</v>
      </c>
      <c r="B11" s="23" t="s">
        <v>249</v>
      </c>
      <c r="C11" s="24" t="n">
        <f aca="false">SUMIFS(Sales!$H$4:$H$503,Sales!$A$4:$A$503,"&gt;="&amp;Settings!$B$15,Sales!$A$4:$A$503,"&lt;"&amp;EDATE(Settings!$B$15,12))+SUMIFS(Expenses!$D$4:$D$503,Expenses!$B$4:$B$503,"Fees",Expenses!$A$4:$A$503,"&gt;="&amp;Settings!$B$15,Expenses!$A$4:$A$503,"&lt;"&amp;EDATE(Settings!$B$15,12))</f>
        <v>46.148</v>
      </c>
      <c r="D11" s="14" t="s">
        <v>250</v>
      </c>
      <c r="E11" s="57" t="s">
        <v>251</v>
      </c>
    </row>
    <row r="12" customFormat="false" ht="15" hidden="false" customHeight="false" outlineLevel="0" collapsed="false">
      <c r="A12" s="23" t="s">
        <v>252</v>
      </c>
      <c r="B12" s="23" t="s">
        <v>253</v>
      </c>
      <c r="C12" s="24" t="n">
        <f aca="false">SUMIFS(Sales!$G$4:$G$503,Sales!$A$4:$A$503,"&gt;="&amp;Settings!$B$15,Sales!$A$4:$A$503,"&lt;"&amp;EDATE(Settings!$B$15,12))</f>
        <v>35.45</v>
      </c>
      <c r="D12" s="14" t="s">
        <v>254</v>
      </c>
      <c r="E12" s="57" t="s">
        <v>255</v>
      </c>
    </row>
    <row r="13" customFormat="false" ht="15" hidden="false" customHeight="false" outlineLevel="0" collapsed="false">
      <c r="A13" s="23" t="s">
        <v>256</v>
      </c>
      <c r="B13" s="23" t="s">
        <v>257</v>
      </c>
      <c r="C13" s="24" t="n">
        <f aca="false">SUMIFS(Expenses!$D$4:$D$503,Expenses!$B$4:$B$503,"Shipping Supplies",Expenses!$A$4:$A$503,"&gt;="&amp;Settings!$B$15,Expenses!$A$4:$A$503,"&lt;"&amp;EDATE(Settings!$B$15,12))</f>
        <v>24.99</v>
      </c>
      <c r="D13" s="14" t="s">
        <v>258</v>
      </c>
      <c r="E13" s="57" t="s">
        <v>259</v>
      </c>
    </row>
    <row r="14" customFormat="false" ht="15" hidden="false" customHeight="false" outlineLevel="0" collapsed="false">
      <c r="A14" s="23" t="s">
        <v>260</v>
      </c>
      <c r="B14" s="23" t="s">
        <v>57</v>
      </c>
      <c r="C14" s="24" t="n">
        <f aca="false">SUMIFS(Expenses!$D$4:$D$503,Expenses!$B$4:$B$503,"Supplies",Expenses!$A$4:$A$503,"&gt;="&amp;Settings!$B$15,Expenses!$A$4:$A$503,"&lt;"&amp;EDATE(Settings!$B$15,12))</f>
        <v>38.5</v>
      </c>
      <c r="D14" s="14" t="s">
        <v>258</v>
      </c>
      <c r="E14" s="57" t="s">
        <v>261</v>
      </c>
    </row>
    <row r="15" customFormat="false" ht="15" hidden="false" customHeight="false" outlineLevel="0" collapsed="false">
      <c r="A15" s="23" t="s">
        <v>144</v>
      </c>
      <c r="B15" s="23" t="s">
        <v>262</v>
      </c>
      <c r="C15" s="24" t="n">
        <f aca="false">SUMIFS(Expenses!$D$4:$D$503,Expenses!$B$4:$B$503,"Subscriptions",Expenses!$A$4:$A$503,"&gt;="&amp;Settings!$B$15,Expenses!$A$4:$A$503,"&lt;"&amp;EDATE(Settings!$B$15,12))</f>
        <v>19.99</v>
      </c>
      <c r="D15" s="14" t="s">
        <v>263</v>
      </c>
      <c r="E15" s="57" t="s">
        <v>264</v>
      </c>
    </row>
    <row r="16" customFormat="false" ht="15" hidden="false" customHeight="false" outlineLevel="0" collapsed="false">
      <c r="A16" s="23" t="s">
        <v>265</v>
      </c>
      <c r="B16" s="23" t="s">
        <v>84</v>
      </c>
      <c r="C16" s="24" t="n">
        <f aca="false">SUMIFS(Expenses!$D$4:$D$503,Expenses!$B$4:$B$503,"Storage",Expenses!$A$4:$A$503,"&gt;="&amp;Settings!$B$15,Expenses!$A$4:$A$503,"&lt;"&amp;EDATE(Settings!$B$15,12))</f>
        <v>0</v>
      </c>
      <c r="D16" s="14" t="s">
        <v>266</v>
      </c>
      <c r="E16" s="57" t="s">
        <v>267</v>
      </c>
    </row>
    <row r="17" customFormat="false" ht="15" hidden="false" customHeight="false" outlineLevel="0" collapsed="false">
      <c r="A17" s="23" t="s">
        <v>268</v>
      </c>
      <c r="B17" s="23" t="s">
        <v>269</v>
      </c>
      <c r="C17" s="24" t="n">
        <f aca="false">SUMIFS(Expenses!$F$4:$F$503,Expenses!$A$4:$A$503,"&gt;="&amp;Settings!$B$15,Expenses!$A$4:$A$503,"&lt;"&amp;EDATE(Settings!$B$15,12))+SUMIFS(Expenses!$D$4:$D$503,Expenses!$B$4:$B$503,"Mileage",Expenses!$A$4:$A$503,"&gt;="&amp;Settings!$B$15,Expenses!$A$4:$A$503,"&lt;"&amp;EDATE(Settings!$B$15,12))</f>
        <v>22.4</v>
      </c>
      <c r="D17" s="14" t="s">
        <v>270</v>
      </c>
      <c r="E17" s="57" t="s">
        <v>271</v>
      </c>
    </row>
    <row r="18" customFormat="false" ht="15" hidden="false" customHeight="false" outlineLevel="0" collapsed="false">
      <c r="A18" s="23" t="s">
        <v>272</v>
      </c>
      <c r="B18" s="23" t="s">
        <v>273</v>
      </c>
      <c r="C18" s="24" t="n">
        <f aca="false">SUMIFS(Sales!$J$4:$J$503,Sales!$A$4:$A$503,"&gt;="&amp;Settings!$B$15,Sales!$A$4:$A$503,"&lt;"&amp;EDATE(Settings!$B$15,12))+SUMIFS(Expenses!$D$4:$D$503,Expenses!$B$4:$B$503,"Other",Expenses!$A$4:$A$503,"&gt;="&amp;Settings!$B$15,Expenses!$A$4:$A$503,"&lt;"&amp;EDATE(Settings!$B$15,12))</f>
        <v>1.5</v>
      </c>
      <c r="D18" s="14" t="s">
        <v>274</v>
      </c>
      <c r="E18" s="57" t="s">
        <v>275</v>
      </c>
    </row>
    <row r="19" customFormat="false" ht="15" hidden="false" customHeight="false" outlineLevel="0" collapsed="false">
      <c r="A19" s="17" t="s">
        <v>276</v>
      </c>
      <c r="B19" s="17" t="s">
        <v>277</v>
      </c>
      <c r="C19" s="58" t="n">
        <f aca="false">SUM(C11:C18)</f>
        <v>188.978</v>
      </c>
      <c r="D19" s="14" t="s">
        <v>278</v>
      </c>
      <c r="E19" s="57" t="s">
        <v>279</v>
      </c>
    </row>
    <row r="20" customFormat="false" ht="15" hidden="false" customHeight="false" outlineLevel="0" collapsed="false">
      <c r="A20" s="55" t="s">
        <v>280</v>
      </c>
      <c r="B20" s="56"/>
      <c r="C20" s="56"/>
      <c r="D20" s="56"/>
      <c r="E20" s="56"/>
    </row>
    <row r="21" customFormat="false" ht="15" hidden="false" customHeight="false" outlineLevel="0" collapsed="false">
      <c r="A21" s="17" t="s">
        <v>281</v>
      </c>
      <c r="B21" s="17" t="s">
        <v>282</v>
      </c>
      <c r="C21" s="58" t="n">
        <f aca="false">C9-C19</f>
        <v>45.522</v>
      </c>
      <c r="D21" s="14" t="s">
        <v>283</v>
      </c>
      <c r="E21" s="57" t="s">
        <v>284</v>
      </c>
    </row>
    <row r="22" customFormat="false" ht="15" hidden="false" customHeight="false" outlineLevel="0" collapsed="false">
      <c r="A22" s="23"/>
      <c r="B22" s="23" t="s">
        <v>285</v>
      </c>
      <c r="C22" s="24" t="n">
        <f aca="false">Dashboard!J24</f>
        <v>45.522</v>
      </c>
      <c r="D22" s="14" t="s">
        <v>286</v>
      </c>
      <c r="E22" s="57" t="s">
        <v>287</v>
      </c>
    </row>
    <row r="23" customFormat="false" ht="15" hidden="false" customHeight="false" outlineLevel="0" collapsed="false">
      <c r="A23" s="55" t="s">
        <v>288</v>
      </c>
      <c r="B23" s="56"/>
      <c r="C23" s="56"/>
      <c r="D23" s="56"/>
      <c r="E23" s="56"/>
    </row>
    <row r="24" customFormat="false" ht="15" hidden="false" customHeight="false" outlineLevel="0" collapsed="false">
      <c r="A24" s="23"/>
      <c r="B24" s="23" t="s">
        <v>289</v>
      </c>
      <c r="C24" s="24" t="n">
        <f aca="false">SUMIFS(Sales!$I$4:$I$503,Sales!$A$4:$A$503,"&gt;="&amp;Settings!$B$15,Sales!$A$4:$A$503,"&lt;"&amp;EDATE(Settings!$B$15,12))</f>
        <v>18.98</v>
      </c>
      <c r="D24" s="14" t="s">
        <v>290</v>
      </c>
      <c r="E24" s="57" t="s">
        <v>291</v>
      </c>
    </row>
    <row r="25" customFormat="false" ht="15" hidden="false" customHeight="false" outlineLevel="0" collapsed="false">
      <c r="A25" s="23"/>
      <c r="B25" s="23" t="s">
        <v>292</v>
      </c>
      <c r="C25" s="24" t="n">
        <f aca="false">SUMIFS(Expenses!$E$4:$E$503,Expenses!$A$4:$A$503,"&gt;="&amp;Settings!$B$15,Expenses!$A$4:$A$503,"&lt;"&amp;EDATE(Settings!$B$15,12))</f>
        <v>32</v>
      </c>
      <c r="D25" s="14" t="s">
        <v>293</v>
      </c>
      <c r="E25" s="57" t="s">
        <v>294</v>
      </c>
    </row>
    <row r="26" customFormat="false" ht="15" hidden="false" customHeight="false" outlineLevel="0" collapsed="false">
      <c r="A26" s="23"/>
      <c r="B26" s="23" t="s">
        <v>295</v>
      </c>
      <c r="C26" s="24" t="n">
        <f aca="false">Dashboard!A5</f>
        <v>80.99</v>
      </c>
      <c r="D26" s="14" t="s">
        <v>296</v>
      </c>
      <c r="E26" s="57" t="s">
        <v>297</v>
      </c>
    </row>
    <row r="28" customFormat="false" ht="30" hidden="false" customHeight="true" outlineLevel="0" collapsed="false">
      <c r="A28" s="59" t="s">
        <v>298</v>
      </c>
      <c r="B28" s="59"/>
      <c r="C28" s="59"/>
      <c r="D28" s="59"/>
      <c r="E28" s="59"/>
    </row>
  </sheetData>
  <mergeCells count="1">
    <mergeCell ref="A28:E28"/>
  </mergeCells>
  <conditionalFormatting sqref="C21">
    <cfRule type="expression" priority="2" aboveAverage="0" equalAverage="0" bottom="0" percent="0" rank="0" text="" dxfId="12">
      <formula>AND(ISNUMBER(C21),C21&lt;0)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2026-09-22T07:23:24Z</dcterms:created>
  <dc:creator>openpyxl</dc:creator>
  <dc:description/>
  <dc:language>en-US</dc:language>
  <cp:lastModifiedBy/>
  <dcterms:modified xsi:type="dcterms:W3CDTF">2026-09-22T07:23:25Z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