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<sst xmlns="http://schemas.openxmlformats.org/spreadsheetml/2006/main" count="395" uniqueCount="298">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</sst>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5" t="s">
        <v>53</v>
      </c>
      <c r="H7" s="10" t="s">
        <v>74</v>
      </c>
      <c r="I7" s="10" t="s">
        <v>75</v>
      </c>
      <c r="J7" s="10" t="s">
        <v>76</v>
      </c>
      <c r="K7" s="10" t="s">
        <v>77</v>
      </c>
    </row>
    <row r="8" customFormat="false" ht="15" hidden="false" customHeight="false" outlineLevel="0" collapsed="false">
      <c r="A8" s="10" t="s">
        <v>78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79</v>
      </c>
      <c r="G8" s="15" t="s">
        <v>53</v>
      </c>
      <c r="H8" s="10" t="s">
        <v>80</v>
      </c>
      <c r="I8" s="10" t="s">
        <v>81</v>
      </c>
      <c r="J8" s="10" t="s">
        <v>82</v>
      </c>
      <c r="K8" s="10" t="s">
        <v>83</v>
      </c>
    </row>
    <row r="9" customFormat="false" ht="15" hidden="false" customHeight="false" outlineLevel="0" collapsed="false">
      <c r="A9" s="10" t="s">
        <v>84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85</v>
      </c>
      <c r="G9" s="15" t="s">
        <v>53</v>
      </c>
      <c r="H9" s="10" t="s">
        <v>86</v>
      </c>
      <c r="I9" s="10" t="s">
        <v>87</v>
      </c>
      <c r="K9" s="10" t="s">
        <v>88</v>
      </c>
    </row>
    <row r="10" customFormat="false" ht="15" hidden="false" customHeight="false" outlineLevel="0" collapsed="false">
      <c r="A10" s="10" t="s">
        <v>89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90</v>
      </c>
      <c r="G10" s="15" t="s">
        <v>53</v>
      </c>
      <c r="H10" s="10" t="s">
        <v>91</v>
      </c>
      <c r="I10" s="10" t="s">
        <v>92</v>
      </c>
      <c r="K10" s="10" t="s">
        <v>91</v>
      </c>
    </row>
    <row r="11" customFormat="false" ht="15" hidden="false" customHeight="false" outlineLevel="0" collapsed="false">
      <c r="A11" s="10" t="s">
        <v>91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93</v>
      </c>
      <c r="G11" s="15" t="s">
        <v>53</v>
      </c>
      <c r="I11" s="10" t="s">
        <v>94</v>
      </c>
    </row>
    <row r="12" customFormat="false" ht="15" hidden="false" customHeight="false" outlineLevel="0" collapsed="false">
      <c r="I12" s="10" t="s">
        <v>91</v>
      </c>
    </row>
    <row r="13" customFormat="false" ht="30" hidden="false" customHeight="true" outlineLevel="0" collapsed="false">
      <c r="A13" s="9" t="s">
        <v>95</v>
      </c>
      <c r="B13" s="9" t="s">
        <v>96</v>
      </c>
      <c r="C13" s="9" t="s">
        <v>97</v>
      </c>
      <c r="D13" s="9"/>
      <c r="E13" s="9"/>
      <c r="F13" s="9"/>
    </row>
    <row r="14" customFormat="false" ht="15" hidden="false" customHeight="false" outlineLevel="0" collapsed="false">
      <c r="A14" s="17" t="s">
        <v>98</v>
      </c>
      <c r="B14" s="10" t="s">
        <v>99</v>
      </c>
      <c r="C14" s="18" t="s">
        <v>100</v>
      </c>
      <c r="D14" s="18"/>
      <c r="E14" s="18"/>
      <c r="F14" s="18"/>
      <c r="H14" s="2" t="s">
        <v>101</v>
      </c>
    </row>
    <row r="15" customFormat="false" ht="15" hidden="false" customHeight="false" outlineLevel="0" collapsed="false">
      <c r="A15" s="17" t="s">
        <v>102</v>
      </c>
      <c r="B15" s="19" t="n">
        <v>46023</v>
      </c>
      <c r="C15" s="18" t="s">
        <v>103</v>
      </c>
      <c r="D15" s="18"/>
      <c r="E15" s="18"/>
      <c r="F15" s="18"/>
    </row>
    <row r="16" customFormat="false" ht="15" hidden="false" customHeight="false" outlineLevel="0" collapsed="false">
      <c r="A16" s="17" t="s">
        <v>104</v>
      </c>
      <c r="B16" s="11" t="n">
        <v>0</v>
      </c>
      <c r="C16" s="18" t="s">
        <v>105</v>
      </c>
      <c r="D16" s="18"/>
      <c r="E16" s="18"/>
      <c r="F16" s="18"/>
    </row>
    <row r="17" customFormat="false" ht="15" hidden="false" customHeight="false" outlineLevel="0" collapsed="false">
      <c r="A17" s="17" t="s">
        <v>106</v>
      </c>
      <c r="B17" s="20" t="n">
        <v>0.7</v>
      </c>
      <c r="C17" s="18" t="s">
        <v>107</v>
      </c>
      <c r="D17" s="18"/>
      <c r="E17" s="18"/>
      <c r="F17" s="18"/>
    </row>
    <row r="18" customFormat="false" ht="15" hidden="false" customHeight="false" outlineLevel="0" collapsed="false">
      <c r="A18" s="17" t="s">
        <v>108</v>
      </c>
      <c r="B18" s="12" t="n">
        <v>9</v>
      </c>
      <c r="C18" s="18" t="s">
        <v>109</v>
      </c>
      <c r="D18" s="18"/>
      <c r="E18" s="18"/>
      <c r="F18" s="18"/>
    </row>
    <row r="19" customFormat="false" ht="15" hidden="false" customHeight="false" outlineLevel="0" collapsed="false">
      <c r="A19" s="17" t="s">
        <v>110</v>
      </c>
      <c r="B19" s="21" t="n">
        <v>60</v>
      </c>
      <c r="C19" s="18" t="s">
        <v>111</v>
      </c>
      <c r="D19" s="18"/>
      <c r="E19" s="18"/>
      <c r="F19" s="18"/>
    </row>
    <row r="20" customFormat="false" ht="15" hidden="false" customHeight="false" outlineLevel="0" collapsed="false">
      <c r="A20" s="17" t="s">
        <v>112</v>
      </c>
      <c r="B20" s="12" t="n">
        <v>15</v>
      </c>
      <c r="C20" s="18" t="s">
        <v>113</v>
      </c>
      <c r="D20" s="18"/>
      <c r="E20" s="18"/>
      <c r="F20" s="18"/>
    </row>
    <row r="21" customFormat="false" ht="15" hidden="false" customHeight="false" outlineLevel="0" collapsed="false">
      <c r="A21" s="17" t="s">
        <v>114</v>
      </c>
      <c r="B21" s="12" t="n">
        <v>2.95</v>
      </c>
      <c r="C21" s="18" t="s">
        <v>115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3" customFormat="false" ht="30" hidden="false" customHeight="true" outlineLevel="0" collapsed="false">
      <c r="A3" s="9" t="s">
        <v>118</v>
      </c>
      <c r="B3" s="9" t="s">
        <v>119</v>
      </c>
      <c r="C3" s="9" t="s">
        <v>120</v>
      </c>
      <c r="D3" s="9" t="s">
        <v>121</v>
      </c>
      <c r="E3" s="9" t="s">
        <v>122</v>
      </c>
      <c r="F3" s="9" t="s">
        <v>123</v>
      </c>
      <c r="G3" s="9" t="s">
        <v>124</v>
      </c>
      <c r="H3" s="9" t="s">
        <v>125</v>
      </c>
      <c r="I3" s="9" t="s">
        <v>126</v>
      </c>
      <c r="J3" s="9" t="s">
        <v>127</v>
      </c>
      <c r="K3" s="9" t="s">
        <v>128</v>
      </c>
      <c r="L3" s="9" t="s">
        <v>129</v>
      </c>
      <c r="M3" s="9" t="s">
        <v>130</v>
      </c>
      <c r="N3" s="9" t="s">
        <v>131</v>
      </c>
      <c r="O3" s="9" t="s">
        <v>132</v>
      </c>
      <c r="P3" s="9" t="s">
        <v>133</v>
      </c>
      <c r="Q3" s="9" t="s">
        <v>134</v>
      </c>
      <c r="R3" s="22" t="s">
        <v>135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136</v>
      </c>
      <c r="E4" s="10" t="s">
        <v>137</v>
      </c>
      <c r="F4" s="10" t="s">
        <v>55</v>
      </c>
      <c r="G4" s="10" t="s">
        <v>138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139</v>
      </c>
      <c r="E5" s="10" t="s">
        <v>140</v>
      </c>
      <c r="F5" s="10" t="s">
        <v>81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141</v>
      </c>
      <c r="E6" s="10" t="s">
        <v>142</v>
      </c>
      <c r="F6" s="10" t="s">
        <v>62</v>
      </c>
      <c r="G6" s="10" t="s">
        <v>143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144</v>
      </c>
      <c r="E7" s="10" t="s">
        <v>145</v>
      </c>
      <c r="F7" s="10" t="s">
        <v>55</v>
      </c>
      <c r="G7" s="10" t="s">
        <v>146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80</v>
      </c>
      <c r="D8" s="10" t="s">
        <v>147</v>
      </c>
      <c r="E8" s="10" t="s">
        <v>148</v>
      </c>
      <c r="F8" s="10" t="s">
        <v>87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78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149</v>
      </c>
      <c r="E9" s="10" t="s">
        <v>150</v>
      </c>
      <c r="F9" s="10" t="s">
        <v>55</v>
      </c>
      <c r="G9" s="10" t="s">
        <v>151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176</v>
      </c>
      <c r="P9" s="25" t="n">
        <f aca="true">IF(OR(L9="",K9="Sold",K9="Donated"),"",TODAY()-L9)</f>
        <v>174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74</v>
      </c>
      <c r="D10" s="10" t="s">
        <v>152</v>
      </c>
      <c r="E10" s="10" t="s">
        <v>153</v>
      </c>
      <c r="F10" s="10" t="s">
        <v>75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97</v>
      </c>
      <c r="P10" s="25" t="n">
        <f aca="true">IF(OR(L10="",K10="Sold",K10="Donated"),"",TODAY()-L10)</f>
        <v>21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86</v>
      </c>
      <c r="D11" s="10" t="s">
        <v>154</v>
      </c>
      <c r="E11" s="10" t="s">
        <v>155</v>
      </c>
      <c r="F11" s="10" t="s">
        <v>55</v>
      </c>
      <c r="G11" s="10" t="s">
        <v>156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13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3" customFormat="false" ht="30" hidden="false" customHeight="true" outlineLevel="0" collapsed="false">
      <c r="A3" s="9" t="s">
        <v>159</v>
      </c>
      <c r="B3" s="9" t="s">
        <v>118</v>
      </c>
      <c r="C3" s="9" t="s">
        <v>122</v>
      </c>
      <c r="D3" s="9" t="s">
        <v>39</v>
      </c>
      <c r="E3" s="9" t="s">
        <v>160</v>
      </c>
      <c r="F3" s="9" t="s">
        <v>161</v>
      </c>
      <c r="G3" s="9" t="s">
        <v>162</v>
      </c>
      <c r="H3" s="9" t="s">
        <v>163</v>
      </c>
      <c r="I3" s="9" t="s">
        <v>164</v>
      </c>
      <c r="J3" s="9" t="s">
        <v>165</v>
      </c>
      <c r="K3" s="9" t="s">
        <v>166</v>
      </c>
      <c r="L3" s="9" t="s">
        <v>167</v>
      </c>
      <c r="M3" s="9" t="s">
        <v>168</v>
      </c>
      <c r="N3" s="9" t="s">
        <v>169</v>
      </c>
      <c r="O3" s="9" t="s">
        <v>170</v>
      </c>
      <c r="P3" s="9" t="s">
        <v>171</v>
      </c>
    </row>
    <row r="4" customFormat="false" ht="15" hidden="false" customHeight="false" outlineLevel="0" collapsed="false">
      <c r="A4" s="19" t="n">
        <v>46050</v>
      </c>
      <c r="B4" s="10" t="s">
        <v>172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173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174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175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176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78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3" customFormat="false" ht="30" hidden="false" customHeight="true" outlineLevel="0" collapsed="false">
      <c r="A3" s="9" t="s">
        <v>179</v>
      </c>
      <c r="B3" s="9" t="s">
        <v>123</v>
      </c>
      <c r="C3" s="9" t="s">
        <v>180</v>
      </c>
      <c r="D3" s="9" t="s">
        <v>181</v>
      </c>
      <c r="E3" s="9" t="s">
        <v>182</v>
      </c>
      <c r="F3" s="9" t="s">
        <v>183</v>
      </c>
      <c r="G3" s="9" t="s">
        <v>184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185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186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77</v>
      </c>
      <c r="C6" s="10" t="s">
        <v>187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188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190</v>
      </c>
      <c r="D4" s="30"/>
      <c r="E4" s="30" t="str">
        <f aca="false">"Avg Profit per Item ("&amp;Settings!$B$14&amp;")"</f>
        <v>Avg Profit per Item ($)</v>
      </c>
      <c r="F4" s="30"/>
      <c r="G4" s="30" t="s">
        <v>191</v>
      </c>
      <c r="H4" s="30"/>
      <c r="I4" s="30" t="s">
        <v>192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193</v>
      </c>
      <c r="B7" s="30"/>
      <c r="C7" s="30" t="s">
        <v>194</v>
      </c>
      <c r="D7" s="30"/>
      <c r="E7" s="30" t="str">
        <f aca="false">"Death Pile Cost ("&amp;Settings!$B$14&amp;")"</f>
        <v>Death Pile Cost ($)</v>
      </c>
      <c r="F7" s="30"/>
      <c r="G7" s="30" t="s">
        <v>195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196</v>
      </c>
    </row>
    <row r="11" customFormat="false" ht="30" hidden="false" customHeight="true" outlineLevel="0" collapsed="false">
      <c r="A11" s="9" t="s">
        <v>197</v>
      </c>
      <c r="B11" s="9" t="s">
        <v>198</v>
      </c>
      <c r="C11" s="9" t="s">
        <v>199</v>
      </c>
      <c r="D11" s="9" t="s">
        <v>200</v>
      </c>
      <c r="E11" s="9" t="s">
        <v>201</v>
      </c>
      <c r="F11" s="9" t="s">
        <v>88</v>
      </c>
      <c r="G11" s="9" t="s">
        <v>202</v>
      </c>
      <c r="H11" s="9" t="s">
        <v>203</v>
      </c>
      <c r="I11" s="9" t="s">
        <v>204</v>
      </c>
      <c r="J11" s="9" t="s">
        <v>167</v>
      </c>
      <c r="K11" s="37"/>
      <c r="L11" s="38" t="s">
        <v>205</v>
      </c>
      <c r="M11" s="38" t="s">
        <v>206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207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208</v>
      </c>
    </row>
    <row r="27" customFormat="false" ht="30" hidden="false" customHeight="true" outlineLevel="0" collapsed="false">
      <c r="A27" s="9" t="s">
        <v>39</v>
      </c>
      <c r="B27" s="9" t="s">
        <v>200</v>
      </c>
      <c r="C27" s="9" t="s">
        <v>201</v>
      </c>
      <c r="D27" s="9" t="s">
        <v>88</v>
      </c>
      <c r="E27" s="9" t="s">
        <v>167</v>
      </c>
      <c r="F27" s="9" t="s">
        <v>209</v>
      </c>
      <c r="G27" s="9" t="s">
        <v>191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210</v>
      </c>
    </row>
    <row r="38" customFormat="false" ht="30" hidden="false" customHeight="true" outlineLevel="0" collapsed="false">
      <c r="A38" s="9" t="s">
        <v>123</v>
      </c>
      <c r="B38" s="9" t="s">
        <v>198</v>
      </c>
      <c r="C38" s="9" t="s">
        <v>200</v>
      </c>
      <c r="D38" s="9" t="s">
        <v>211</v>
      </c>
      <c r="E38" s="9" t="s">
        <v>212</v>
      </c>
      <c r="F38" s="9" t="s">
        <v>213</v>
      </c>
      <c r="G38" s="9" t="s">
        <v>214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215</v>
      </c>
    </row>
    <row r="50" customFormat="false" ht="30" hidden="false" customHeight="true" outlineLevel="0" collapsed="false">
      <c r="A50" s="9" t="s">
        <v>120</v>
      </c>
      <c r="B50" s="9" t="s">
        <v>198</v>
      </c>
      <c r="C50" s="9" t="s">
        <v>200</v>
      </c>
      <c r="D50" s="9" t="s">
        <v>216</v>
      </c>
      <c r="E50" s="9" t="s">
        <v>217</v>
      </c>
      <c r="F50" s="9" t="s">
        <v>213</v>
      </c>
      <c r="G50" s="9" t="s">
        <v>214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</row>
    <row r="4" customFormat="false" ht="15" hidden="false" customHeight="false" outlineLevel="0" collapsed="false">
      <c r="A4" s="47" t="s">
        <v>220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221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222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223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224</v>
      </c>
      <c r="B9" s="9" t="s">
        <v>118</v>
      </c>
      <c r="C9" s="9" t="s">
        <v>121</v>
      </c>
      <c r="D9" s="9" t="s">
        <v>122</v>
      </c>
      <c r="E9" s="9" t="s">
        <v>123</v>
      </c>
      <c r="F9" s="9" t="s">
        <v>131</v>
      </c>
      <c r="G9" s="9" t="s">
        <v>129</v>
      </c>
      <c r="H9" s="9" t="s">
        <v>133</v>
      </c>
      <c r="I9" s="9" t="s">
        <v>130</v>
      </c>
      <c r="J9" s="9" t="s">
        <v>127</v>
      </c>
      <c r="K9" s="9" t="s">
        <v>225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174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3" customFormat="false" ht="30" hidden="false" customHeight="true" outlineLevel="0" collapsed="false">
      <c r="A3" s="9" t="s">
        <v>229</v>
      </c>
      <c r="B3" s="9" t="s">
        <v>230</v>
      </c>
      <c r="C3" s="9" t="s">
        <v>181</v>
      </c>
      <c r="D3" s="9" t="s">
        <v>231</v>
      </c>
      <c r="E3" s="9" t="s">
        <v>120</v>
      </c>
    </row>
    <row r="4" customFormat="false" ht="15" hidden="false" customHeight="false" outlineLevel="0" collapsed="false">
      <c r="A4" s="55" t="s">
        <v>232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233</v>
      </c>
      <c r="C5" s="24" t="n">
        <f aca="false">SUMIFS(Sales!$E$4:$E$503,Sales!$A$4:$A$503,"&gt;="&amp;Settings!$B$15,Sales!$A$4:$A$503,"&lt;"&amp;EDATE(Settings!$B$15,12))</f>
        <v>321</v>
      </c>
      <c r="D5" s="14" t="s">
        <v>234</v>
      </c>
      <c r="E5" s="57" t="s">
        <v>235</v>
      </c>
    </row>
    <row r="6" customFormat="false" ht="15" hidden="false" customHeight="false" outlineLevel="0" collapsed="false">
      <c r="A6" s="23" t="s">
        <v>5</v>
      </c>
      <c r="B6" s="23" t="s">
        <v>236</v>
      </c>
      <c r="C6" s="24" t="n">
        <f aca="false">SUMIFS(Sales!$F$4:$F$503,Sales!$A$4:$A$503,"&gt;="&amp;Settings!$B$15,Sales!$A$4:$A$503,"&lt;"&amp;EDATE(Settings!$B$15,12))</f>
        <v>20.99</v>
      </c>
      <c r="D6" s="14" t="s">
        <v>234</v>
      </c>
      <c r="E6" s="57" t="s">
        <v>237</v>
      </c>
    </row>
    <row r="7" customFormat="false" ht="15" hidden="false" customHeight="false" outlineLevel="0" collapsed="false">
      <c r="A7" s="17" t="s">
        <v>7</v>
      </c>
      <c r="B7" s="17" t="s">
        <v>238</v>
      </c>
      <c r="C7" s="58" t="n">
        <f aca="false">C5+C6</f>
        <v>341.99</v>
      </c>
      <c r="D7" s="14" t="s">
        <v>239</v>
      </c>
      <c r="E7" s="57" t="s">
        <v>240</v>
      </c>
    </row>
    <row r="8" customFormat="false" ht="15" hidden="false" customHeight="false" outlineLevel="0" collapsed="false">
      <c r="A8" s="23" t="s">
        <v>9</v>
      </c>
      <c r="B8" s="23" t="s">
        <v>241</v>
      </c>
      <c r="C8" s="24" t="n">
        <f aca="false">SUMIFS(Sales!$K$4:$K$503,Sales!$A$4:$A$503,"&gt;="&amp;Settings!$B$15,Sales!$A$4:$A$503,"&lt;"&amp;EDATE(Settings!$B$15,12))</f>
        <v>107.49</v>
      </c>
      <c r="D8" s="14" t="s">
        <v>242</v>
      </c>
      <c r="E8" s="57" t="s">
        <v>243</v>
      </c>
    </row>
    <row r="9" customFormat="false" ht="15" hidden="false" customHeight="false" outlineLevel="0" collapsed="false">
      <c r="A9" s="17" t="s">
        <v>11</v>
      </c>
      <c r="B9" s="17" t="s">
        <v>244</v>
      </c>
      <c r="C9" s="58" t="n">
        <f aca="false">C7-C8</f>
        <v>234.5</v>
      </c>
      <c r="D9" s="14" t="s">
        <v>245</v>
      </c>
      <c r="E9" s="57" t="s">
        <v>246</v>
      </c>
    </row>
    <row r="10" customFormat="false" ht="15" hidden="false" customHeight="false" outlineLevel="0" collapsed="false">
      <c r="A10" s="55" t="s">
        <v>247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156</v>
      </c>
      <c r="B11" s="23" t="s">
        <v>248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249</v>
      </c>
      <c r="E11" s="57" t="s">
        <v>250</v>
      </c>
    </row>
    <row r="12" customFormat="false" ht="15" hidden="false" customHeight="false" outlineLevel="0" collapsed="false">
      <c r="A12" s="23" t="s">
        <v>251</v>
      </c>
      <c r="B12" s="23" t="s">
        <v>252</v>
      </c>
      <c r="C12" s="24" t="n">
        <f aca="false">SUMIFS(Sales!$G$4:$G$503,Sales!$A$4:$A$503,"&gt;="&amp;Settings!$B$15,Sales!$A$4:$A$503,"&lt;"&amp;EDATE(Settings!$B$15,12))</f>
        <v>35.45</v>
      </c>
      <c r="D12" s="14" t="s">
        <v>253</v>
      </c>
      <c r="E12" s="57" t="s">
        <v>254</v>
      </c>
    </row>
    <row r="13" customFormat="false" ht="15" hidden="false" customHeight="false" outlineLevel="0" collapsed="false">
      <c r="A13" s="23" t="s">
        <v>255</v>
      </c>
      <c r="B13" s="23" t="s">
        <v>256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257</v>
      </c>
      <c r="E13" s="57" t="s">
        <v>258</v>
      </c>
    </row>
    <row r="14" customFormat="false" ht="15" hidden="false" customHeight="false" outlineLevel="0" collapsed="false">
      <c r="A14" s="23" t="s">
        <v>259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257</v>
      </c>
      <c r="E14" s="57" t="s">
        <v>260</v>
      </c>
    </row>
    <row r="15" customFormat="false" ht="15" hidden="false" customHeight="false" outlineLevel="0" collapsed="false">
      <c r="A15" s="23" t="s">
        <v>143</v>
      </c>
      <c r="B15" s="23" t="s">
        <v>261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262</v>
      </c>
      <c r="E15" s="57" t="s">
        <v>263</v>
      </c>
    </row>
    <row r="16" customFormat="false" ht="15" hidden="false" customHeight="false" outlineLevel="0" collapsed="false">
      <c r="A16" s="23" t="s">
        <v>264</v>
      </c>
      <c r="B16" s="23" t="s">
        <v>83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265</v>
      </c>
      <c r="E16" s="57" t="s">
        <v>266</v>
      </c>
    </row>
    <row r="17" customFormat="false" ht="15" hidden="false" customHeight="false" outlineLevel="0" collapsed="false">
      <c r="A17" s="23" t="s">
        <v>267</v>
      </c>
      <c r="B17" s="23" t="s">
        <v>268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269</v>
      </c>
      <c r="E17" s="57" t="s">
        <v>270</v>
      </c>
    </row>
    <row r="18" customFormat="false" ht="15" hidden="false" customHeight="false" outlineLevel="0" collapsed="false">
      <c r="A18" s="23" t="s">
        <v>271</v>
      </c>
      <c r="B18" s="23" t="s">
        <v>272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273</v>
      </c>
      <c r="E18" s="57" t="s">
        <v>274</v>
      </c>
    </row>
    <row r="19" customFormat="false" ht="15" hidden="false" customHeight="false" outlineLevel="0" collapsed="false">
      <c r="A19" s="17" t="s">
        <v>275</v>
      </c>
      <c r="B19" s="17" t="s">
        <v>276</v>
      </c>
      <c r="C19" s="58" t="n">
        <f aca="false">SUM(C11:C18)</f>
        <v>188.978</v>
      </c>
      <c r="D19" s="14" t="s">
        <v>277</v>
      </c>
      <c r="E19" s="57" t="s">
        <v>278</v>
      </c>
    </row>
    <row r="20" customFormat="false" ht="15" hidden="false" customHeight="false" outlineLevel="0" collapsed="false">
      <c r="A20" s="55" t="s">
        <v>279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280</v>
      </c>
      <c r="B21" s="17" t="s">
        <v>281</v>
      </c>
      <c r="C21" s="58" t="n">
        <f aca="false">C9-C19</f>
        <v>45.522</v>
      </c>
      <c r="D21" s="14" t="s">
        <v>282</v>
      </c>
      <c r="E21" s="57" t="s">
        <v>283</v>
      </c>
    </row>
    <row r="22" customFormat="false" ht="15" hidden="false" customHeight="false" outlineLevel="0" collapsed="false">
      <c r="A22" s="23"/>
      <c r="B22" s="23" t="s">
        <v>284</v>
      </c>
      <c r="C22" s="24" t="n">
        <f aca="false">Dashboard!J24</f>
        <v>45.522</v>
      </c>
      <c r="D22" s="14" t="s">
        <v>285</v>
      </c>
      <c r="E22" s="57" t="s">
        <v>286</v>
      </c>
    </row>
    <row r="23" customFormat="false" ht="15" hidden="false" customHeight="false" outlineLevel="0" collapsed="false">
      <c r="A23" s="55" t="s">
        <v>287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288</v>
      </c>
      <c r="C24" s="24" t="n">
        <f aca="false">SUMIFS(Sales!$I$4:$I$503,Sales!$A$4:$A$503,"&gt;="&amp;Settings!$B$15,Sales!$A$4:$A$503,"&lt;"&amp;EDATE(Settings!$B$15,12))</f>
        <v>18.98</v>
      </c>
      <c r="D24" s="14" t="s">
        <v>289</v>
      </c>
      <c r="E24" s="57" t="s">
        <v>290</v>
      </c>
    </row>
    <row r="25" customFormat="false" ht="15" hidden="false" customHeight="false" outlineLevel="0" collapsed="false">
      <c r="A25" s="23"/>
      <c r="B25" s="23" t="s">
        <v>291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292</v>
      </c>
      <c r="E25" s="57" t="s">
        <v>293</v>
      </c>
    </row>
    <row r="26" customFormat="false" ht="15" hidden="false" customHeight="false" outlineLevel="0" collapsed="false">
      <c r="A26" s="23"/>
      <c r="B26" s="23" t="s">
        <v>294</v>
      </c>
      <c r="C26" s="24" t="n">
        <f aca="false">Dashboard!A5</f>
        <v>80.99</v>
      </c>
      <c r="D26" s="14" t="s">
        <v>295</v>
      </c>
      <c r="E26" s="57" t="s">
        <v>296</v>
      </c>
    </row>
    <row r="28" customFormat="false" ht="30" hidden="false" customHeight="true" outlineLevel="0" collapsed="false">
      <c r="A28" s="59" t="s">
        <v>297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2026-09-10T07:20:44Z</dcterms:created>
  <dc:creator>openpyxl</dc:creator>
  <dc:description/>
  <dc:language>en-US</dc:language>
  <cp:lastModifiedBy/>
  <dcterms:modified xsi:type="dcterms:W3CDTF">2026-09-10T07:20:45Z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